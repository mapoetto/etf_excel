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esktop\Portfolio\"/>
    </mc:Choice>
  </mc:AlternateContent>
  <xr:revisionPtr revIDLastSave="0" documentId="13_ncr:1_{9161F009-5EF8-462C-8D19-A471E4A34688}" xr6:coauthVersionLast="47" xr6:coauthVersionMax="47" xr10:uidLastSave="{00000000-0000-0000-0000-000000000000}"/>
  <bookViews>
    <workbookView xWindow="-120" yWindow="-120" windowWidth="29040" windowHeight="15720" activeTab="1" xr2:uid="{69A6C0A0-98D2-4CA8-BC61-9B21C7B74C73}"/>
  </bookViews>
  <sheets>
    <sheet name="IE00B5BMR087" sheetId="118" r:id="rId1"/>
    <sheet name="PORTAFOGLIO" sheetId="1" r:id="rId2"/>
    <sheet name="GRAFICI" sheetId="70" r:id="rId3"/>
    <sheet name="Lista ETF" sheetId="108" r:id="rId4"/>
  </sheets>
  <functionGroups builtInGroupCount="19"/>
  <externalReferences>
    <externalReference r:id="rId5"/>
  </externalReferences>
  <definedNames>
    <definedName name="ElencoETF">#REF!</definedName>
    <definedName name="ElencoNuovoETF">'Lista ETF'!$A:$A</definedName>
    <definedName name="name">'[1]Lista ETF2'!$A:$A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1" l="1"/>
  <c r="D18" i="1"/>
  <c r="D7" i="1"/>
  <c r="D8" i="1"/>
  <c r="D9" i="1"/>
  <c r="D10" i="1"/>
  <c r="D11" i="1"/>
  <c r="D12" i="1"/>
  <c r="D13" i="1"/>
  <c r="D14" i="1"/>
  <c r="D15" i="1"/>
  <c r="D16" i="1"/>
  <c r="D17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L11" i="1"/>
  <c r="D3" i="1" s="1"/>
  <c r="H32" i="1"/>
  <c r="H25" i="1"/>
  <c r="H7" i="1"/>
  <c r="H6" i="1"/>
  <c r="H24" i="1"/>
  <c r="G26" i="1"/>
  <c r="G12" i="1"/>
  <c r="G23" i="1"/>
  <c r="H26" i="1"/>
  <c r="H28" i="1"/>
  <c r="G27" i="1"/>
  <c r="G18" i="1"/>
  <c r="G10" i="1"/>
  <c r="G8" i="1"/>
  <c r="G5" i="1"/>
  <c r="H29" i="1"/>
  <c r="G28" i="1"/>
  <c r="H33" i="1"/>
  <c r="H20" i="1"/>
  <c r="H17" i="1"/>
  <c r="G29" i="1"/>
  <c r="G6" i="1"/>
  <c r="G22" i="1"/>
  <c r="H14" i="1"/>
  <c r="G15" i="1"/>
  <c r="G24" i="1"/>
  <c r="G17" i="1"/>
  <c r="G14" i="1"/>
  <c r="H3" i="1"/>
  <c r="G16" i="1"/>
  <c r="G21" i="1"/>
  <c r="H30" i="1"/>
  <c r="H18" i="1"/>
  <c r="H5" i="1"/>
  <c r="H22" i="1"/>
  <c r="H15" i="1"/>
  <c r="H19" i="1"/>
  <c r="G13" i="1"/>
  <c r="G33" i="1"/>
  <c r="H31" i="1"/>
  <c r="G3" i="1"/>
  <c r="G9" i="1"/>
  <c r="H10" i="1"/>
  <c r="G7" i="1"/>
  <c r="H11" i="1"/>
  <c r="H4" i="1"/>
  <c r="H13" i="1"/>
  <c r="H12" i="1"/>
  <c r="H9" i="1"/>
  <c r="G25" i="1"/>
  <c r="G31" i="1"/>
  <c r="H16" i="1"/>
  <c r="G30" i="1"/>
  <c r="H23" i="1"/>
  <c r="H8" i="1"/>
  <c r="H27" i="1"/>
  <c r="G32" i="1"/>
  <c r="H21" i="1"/>
  <c r="G11" i="1"/>
  <c r="G19" i="1"/>
  <c r="G4" i="1"/>
  <c r="G34" i="1"/>
  <c r="H34" i="1"/>
  <c r="G20" i="1"/>
  <c r="D6" i="1" l="1"/>
  <c r="D5" i="1"/>
  <c r="D4" i="1"/>
  <c r="I34" i="1"/>
  <c r="F34" i="1" s="1"/>
  <c r="I26" i="1"/>
  <c r="F26" i="1" s="1"/>
  <c r="I9" i="1"/>
  <c r="F9" i="1" s="1"/>
  <c r="I32" i="1"/>
  <c r="F32" i="1" s="1"/>
  <c r="I23" i="1"/>
  <c r="F23" i="1" s="1"/>
  <c r="I22" i="1"/>
  <c r="F22" i="1" s="1"/>
  <c r="I6" i="1"/>
  <c r="F6" i="1" s="1"/>
  <c r="I18" i="1"/>
  <c r="F18" i="1" s="1"/>
  <c r="I33" i="1"/>
  <c r="F33" i="1" s="1"/>
  <c r="I8" i="1"/>
  <c r="F8" i="1" s="1"/>
  <c r="I15" i="1"/>
  <c r="F15" i="1" s="1"/>
  <c r="I14" i="1"/>
  <c r="F14" i="1" s="1"/>
  <c r="I29" i="1"/>
  <c r="F29" i="1" s="1"/>
  <c r="I21" i="1"/>
  <c r="F21" i="1" s="1"/>
  <c r="I13" i="1"/>
  <c r="F13" i="1" s="1"/>
  <c r="I5" i="1"/>
  <c r="F5" i="1" s="1"/>
  <c r="I10" i="1"/>
  <c r="F10" i="1" s="1"/>
  <c r="I25" i="1"/>
  <c r="F25" i="1" s="1"/>
  <c r="I16" i="1"/>
  <c r="F16" i="1" s="1"/>
  <c r="I31" i="1"/>
  <c r="F31" i="1" s="1"/>
  <c r="I30" i="1"/>
  <c r="F30" i="1" s="1"/>
  <c r="I28" i="1"/>
  <c r="F28" i="1" s="1"/>
  <c r="I20" i="1"/>
  <c r="F20" i="1" s="1"/>
  <c r="I12" i="1"/>
  <c r="F12" i="1" s="1"/>
  <c r="I4" i="1"/>
  <c r="F4" i="1" s="1"/>
  <c r="I17" i="1"/>
  <c r="F17" i="1" s="1"/>
  <c r="I24" i="1"/>
  <c r="F24" i="1" s="1"/>
  <c r="I7" i="1"/>
  <c r="F7" i="1" s="1"/>
  <c r="I27" i="1"/>
  <c r="F27" i="1" s="1"/>
  <c r="I19" i="1"/>
  <c r="F19" i="1" s="1"/>
  <c r="I11" i="1"/>
  <c r="F11" i="1" s="1"/>
  <c r="I3" i="1"/>
  <c r="F3" i="1" s="1"/>
  <c r="N11" i="1" l="1"/>
  <c r="P11" i="1" s="1"/>
</calcChain>
</file>

<file path=xl/sharedStrings.xml><?xml version="1.0" encoding="utf-8"?>
<sst xmlns="http://schemas.openxmlformats.org/spreadsheetml/2006/main" count="39217" uniqueCount="7094">
  <si>
    <t xml:space="preserve">"
</t>
  </si>
  <si>
    <t>quote</t>
  </si>
  <si>
    <t>"date</t>
  </si>
  <si>
    <t>IE00BKPTXQ89</t>
  </si>
  <si>
    <t>Ireland</t>
  </si>
  <si>
    <t>LU1900069219</t>
  </si>
  <si>
    <t>Luxembourg</t>
  </si>
  <si>
    <t>LU1829218749</t>
  </si>
  <si>
    <t>LU1681046931</t>
  </si>
  <si>
    <t>LU2240851688</t>
  </si>
  <si>
    <t>FR0010655712</t>
  </si>
  <si>
    <t>France</t>
  </si>
  <si>
    <t>FR0010754200</t>
  </si>
  <si>
    <t>FR0010755611</t>
  </si>
  <si>
    <t>FR0010821819</t>
  </si>
  <si>
    <t>FR0010655746</t>
  </si>
  <si>
    <t>FR0010756114</t>
  </si>
  <si>
    <t>LU1525418643</t>
  </si>
  <si>
    <t>LU1829219127</t>
  </si>
  <si>
    <t>LU2300294316</t>
  </si>
  <si>
    <t>LU1681046261</t>
  </si>
  <si>
    <t>LU1681040496</t>
  </si>
  <si>
    <t>Amundi Euro High Yield Bond ESG UCITS ETF Dist</t>
  </si>
  <si>
    <t>LU1215415214</t>
  </si>
  <si>
    <t>LU1681047236</t>
  </si>
  <si>
    <t>LU1681041114</t>
  </si>
  <si>
    <t>LU1812091194</t>
  </si>
  <si>
    <t>LU1681039480</t>
  </si>
  <si>
    <t>LU2572256829</t>
  </si>
  <si>
    <t>LU2439734141</t>
  </si>
  <si>
    <t>LU1681046006</t>
  </si>
  <si>
    <t>LU1525418726</t>
  </si>
  <si>
    <t>LU1681041205</t>
  </si>
  <si>
    <t>LU1681046691</t>
  </si>
  <si>
    <t>LU1681046345</t>
  </si>
  <si>
    <t>LU1681046774</t>
  </si>
  <si>
    <t>LU1602145119</t>
  </si>
  <si>
    <t>LU2182388236</t>
  </si>
  <si>
    <t>LU1437018168</t>
  </si>
  <si>
    <t>LU2037748774</t>
  </si>
  <si>
    <t>LU1681039647</t>
  </si>
  <si>
    <t>LU1437018838</t>
  </si>
  <si>
    <t>LU1708330318</t>
  </si>
  <si>
    <t>LU1437024729</t>
  </si>
  <si>
    <t>LU1437018598</t>
  </si>
  <si>
    <t>LU1437016204</t>
  </si>
  <si>
    <t>LU1708330235</t>
  </si>
  <si>
    <t>LU2109787049</t>
  </si>
  <si>
    <t>LU1861138961</t>
  </si>
  <si>
    <t>LU1602144575</t>
  </si>
  <si>
    <t>LU2109787635</t>
  </si>
  <si>
    <t>LU1681042609</t>
  </si>
  <si>
    <t>LU1861137484</t>
  </si>
  <si>
    <t>LU2059756598</t>
  </si>
  <si>
    <t>LU1437015735</t>
  </si>
  <si>
    <t>LU1602144906</t>
  </si>
  <si>
    <t>LU1806495575</t>
  </si>
  <si>
    <t>LU1525419294</t>
  </si>
  <si>
    <t>LU1681037518</t>
  </si>
  <si>
    <t>LU1681037864</t>
  </si>
  <si>
    <t>LU1681039134</t>
  </si>
  <si>
    <t>LU1681038912</t>
  </si>
  <si>
    <t>LU1437024992</t>
  </si>
  <si>
    <t>LU1681043912</t>
  </si>
  <si>
    <t>LU2023678878</t>
  </si>
  <si>
    <t>LU1681044480</t>
  </si>
  <si>
    <t>LU1681045024</t>
  </si>
  <si>
    <t>LU2109787551</t>
  </si>
  <si>
    <t>LU2573967036</t>
  </si>
  <si>
    <t>LU2573966905</t>
  </si>
  <si>
    <t>LU1681045370</t>
  </si>
  <si>
    <t>LU2130768844</t>
  </si>
  <si>
    <t>LU1681041627</t>
  </si>
  <si>
    <t>LU1681041460</t>
  </si>
  <si>
    <t>LU1681041890</t>
  </si>
  <si>
    <t>LU1681042518</t>
  </si>
  <si>
    <t>LU1681043086</t>
  </si>
  <si>
    <t>LU1781541252</t>
  </si>
  <si>
    <t>LU1681044647</t>
  </si>
  <si>
    <t>LU1861132840</t>
  </si>
  <si>
    <t>LU1900066033</t>
  </si>
  <si>
    <t>IE000PEAJOT0</t>
  </si>
  <si>
    <t>LU1681042864</t>
  </si>
  <si>
    <t>FR0013209921</t>
  </si>
  <si>
    <t>IE00016PSX47</t>
  </si>
  <si>
    <t>LU1681043599</t>
  </si>
  <si>
    <t>LU1681038243</t>
  </si>
  <si>
    <t>LU1681038599</t>
  </si>
  <si>
    <t>FR0013416716</t>
  </si>
  <si>
    <t>LU2089238625</t>
  </si>
  <si>
    <t>LU1931975079</t>
  </si>
  <si>
    <t>LU1931975152</t>
  </si>
  <si>
    <t>LU1931974262</t>
  </si>
  <si>
    <t>LU1931974429</t>
  </si>
  <si>
    <t>LU1931975236</t>
  </si>
  <si>
    <t>LU1931974692</t>
  </si>
  <si>
    <t>LU1931974775</t>
  </si>
  <si>
    <t>LU2037749152</t>
  </si>
  <si>
    <t>LU1931975319</t>
  </si>
  <si>
    <t>LU1681038672</t>
  </si>
  <si>
    <t>LU1681048127</t>
  </si>
  <si>
    <t>LU1681049109</t>
  </si>
  <si>
    <t>LU1681048804</t>
  </si>
  <si>
    <t>IE000J0LN0R5</t>
  </si>
  <si>
    <t>IE000LTA2082</t>
  </si>
  <si>
    <t>IE000FCGBU62</t>
  </si>
  <si>
    <t>IE000PMX0MW6</t>
  </si>
  <si>
    <t>IE000EFHIFG3</t>
  </si>
  <si>
    <t>IE000NM0ALX6</t>
  </si>
  <si>
    <t>IE000ZIJ5B20</t>
  </si>
  <si>
    <t>LU1681048630</t>
  </si>
  <si>
    <t>LU2037748345</t>
  </si>
  <si>
    <t>LU2037749822</t>
  </si>
  <si>
    <t>LU1834988278</t>
  </si>
  <si>
    <t>LU1407887915</t>
  </si>
  <si>
    <t>LU1407887329</t>
  </si>
  <si>
    <t>LU1407890620</t>
  </si>
  <si>
    <t>Amundi US Treasury Bond 1-3Y UCITS ETF Acc</t>
  </si>
  <si>
    <t>LU1407887089</t>
  </si>
  <si>
    <t>Amundi US Treasury Bond 1-3Y UCITS ETF Dist</t>
  </si>
  <si>
    <t>LU1407887162</t>
  </si>
  <si>
    <t>Amundi US Treasury Bond 3-7Y UCITS ETF Dist</t>
  </si>
  <si>
    <t>LU1407888996</t>
  </si>
  <si>
    <t>LU1681041031</t>
  </si>
  <si>
    <t>LU1681040900</t>
  </si>
  <si>
    <t>LU1602144732</t>
  </si>
  <si>
    <t>IE00BNTVVR89</t>
  </si>
  <si>
    <t>IE000SBHVL31</t>
  </si>
  <si>
    <t>IE0003IT72N9</t>
  </si>
  <si>
    <t>IE000E66LX20</t>
  </si>
  <si>
    <t>IE000Z8BHG02</t>
  </si>
  <si>
    <t>IE000JBB8CR7</t>
  </si>
  <si>
    <t>AXA IM Nasdaq 100 UCITS ETF USD Acc</t>
  </si>
  <si>
    <t>IE000QDFFK00</t>
  </si>
  <si>
    <t>IE00BJK9HH50</t>
  </si>
  <si>
    <t>LU2008760592</t>
  </si>
  <si>
    <t>LU2008761053</t>
  </si>
  <si>
    <t>LU1859444769</t>
  </si>
  <si>
    <t>LU2244387887</t>
  </si>
  <si>
    <t>LU1377381717</t>
  </si>
  <si>
    <t>LU1377381980</t>
  </si>
  <si>
    <t>LU1377382012</t>
  </si>
  <si>
    <t>LU1377382103</t>
  </si>
  <si>
    <t>LU1377382285</t>
  </si>
  <si>
    <t>IE0004J37T45</t>
  </si>
  <si>
    <t>FR0011550185</t>
  </si>
  <si>
    <t>FR0013041530</t>
  </si>
  <si>
    <t>LU2244386053</t>
  </si>
  <si>
    <t>LU2244386137</t>
  </si>
  <si>
    <t>LU2533812991</t>
  </si>
  <si>
    <t>LU2533812728</t>
  </si>
  <si>
    <t>LU1953136527</t>
  </si>
  <si>
    <t>LU2194447293</t>
  </si>
  <si>
    <t>LU2365458145</t>
  </si>
  <si>
    <t>LU2365457410</t>
  </si>
  <si>
    <t>LU1291109616</t>
  </si>
  <si>
    <t>LU2446381555</t>
  </si>
  <si>
    <t>LU0950381748</t>
  </si>
  <si>
    <t>LU1547515137</t>
  </si>
  <si>
    <t>LU2533810862</t>
  </si>
  <si>
    <t>LU2533810789</t>
  </si>
  <si>
    <t>LU1481202692</t>
  </si>
  <si>
    <t>LU2244387457</t>
  </si>
  <si>
    <t>LU1377382368</t>
  </si>
  <si>
    <t>LU2194448267</t>
  </si>
  <si>
    <t>LU2194449075</t>
  </si>
  <si>
    <t>LU1659681313</t>
  </si>
  <si>
    <t>LU1291097779</t>
  </si>
  <si>
    <t>LU1291098827</t>
  </si>
  <si>
    <t>LU1953137681</t>
  </si>
  <si>
    <t>LU1291099718</t>
  </si>
  <si>
    <t>LU1753045415</t>
  </si>
  <si>
    <t>LU1481203070</t>
  </si>
  <si>
    <t>LU1753045928</t>
  </si>
  <si>
    <t>LU1291104575</t>
  </si>
  <si>
    <t>LU1291106356</t>
  </si>
  <si>
    <t>LU1659681669</t>
  </si>
  <si>
    <t>LU1615092217</t>
  </si>
  <si>
    <t>LU2365458905</t>
  </si>
  <si>
    <t>LU2008763935</t>
  </si>
  <si>
    <t>LU2365458814</t>
  </si>
  <si>
    <t>LU2314312849</t>
  </si>
  <si>
    <t>LU1291101555</t>
  </si>
  <si>
    <t>IE00BL643144</t>
  </si>
  <si>
    <t>IE00BFYN8Y92</t>
  </si>
  <si>
    <t>IE000KDY10O3</t>
  </si>
  <si>
    <t>Jersey</t>
  </si>
  <si>
    <t>JE00B7305Z55</t>
  </si>
  <si>
    <t>JE00B4PDKD43</t>
  </si>
  <si>
    <t>JE00B4RKQV36</t>
  </si>
  <si>
    <t>JE00B78NPW60</t>
  </si>
  <si>
    <t>JE00B6XF0923</t>
  </si>
  <si>
    <t>JE00B8DFY052</t>
  </si>
  <si>
    <t>JE00B5SV2703</t>
  </si>
  <si>
    <t>JE00B78NNK09</t>
  </si>
  <si>
    <t>JE00B44F1611</t>
  </si>
  <si>
    <t>IE0002MXIF34</t>
  </si>
  <si>
    <t>IE000M0ZXLY9</t>
  </si>
  <si>
    <t>IE000BPQIAA3</t>
  </si>
  <si>
    <t>IE0009MG7KH8</t>
  </si>
  <si>
    <t>IE00BYSX4846</t>
  </si>
  <si>
    <t>IE00BYSX4739</t>
  </si>
  <si>
    <t>IE00BYSX4283</t>
  </si>
  <si>
    <t>IE00BYSX4176</t>
  </si>
  <si>
    <t>IE000IF0HTJ9</t>
  </si>
  <si>
    <t>IE000G4ONBO6</t>
  </si>
  <si>
    <t>IE00BYV1YH46</t>
  </si>
  <si>
    <t>IE00BYXVGZ48</t>
  </si>
  <si>
    <t>IE000TLLSP66</t>
  </si>
  <si>
    <t>IE0006QCIHM0</t>
  </si>
  <si>
    <t>IE0006KNOFD1</t>
  </si>
  <si>
    <t>IE0006OIQXE9</t>
  </si>
  <si>
    <t>IE00BM9GRM34</t>
  </si>
  <si>
    <t>IE00BKSBGS44</t>
  </si>
  <si>
    <t>IE00BLRPN388</t>
  </si>
  <si>
    <t>IE00BKSBGT50</t>
  </si>
  <si>
    <t>IE00BKSBGV72</t>
  </si>
  <si>
    <t>IE00BNGFMX61</t>
  </si>
  <si>
    <t>IE00BNGFMY78</t>
  </si>
  <si>
    <t>IE00BM9GRP64</t>
  </si>
  <si>
    <t>IE00BYV1Y969</t>
  </si>
  <si>
    <t>IE00BYXVGY31</t>
  </si>
  <si>
    <t>IE00BYXVGX24</t>
  </si>
  <si>
    <t>IE00BFD2H405</t>
  </si>
  <si>
    <t>IE00BT9PVG14</t>
  </si>
  <si>
    <t>IE00B8X9NY41</t>
  </si>
  <si>
    <t>IE00BF5DXP42</t>
  </si>
  <si>
    <t>IE00BWTNM743</t>
  </si>
  <si>
    <t>IE00BFD26097</t>
  </si>
  <si>
    <t>IE000J80JTL1</t>
  </si>
  <si>
    <t>IE00BF16M727</t>
  </si>
  <si>
    <t>IE00BL0L0H60</t>
  </si>
  <si>
    <t>IE00BD6GCF16</t>
  </si>
  <si>
    <t>IE00BFWXDV39</t>
  </si>
  <si>
    <t>IE000YZIVX22</t>
  </si>
  <si>
    <t>Franklin Emerging Markets UCITS ETF</t>
  </si>
  <si>
    <t>IE00BF2B0K52</t>
  </si>
  <si>
    <t>IE00BHZRR253</t>
  </si>
  <si>
    <t>IE00BFWXDY69</t>
  </si>
  <si>
    <t>IE000STIHQB2</t>
  </si>
  <si>
    <t>Franklin FTSE Brazil UCITS ETF</t>
  </si>
  <si>
    <t>IE00BHZRQY00</t>
  </si>
  <si>
    <t>Franklin FTSE China UCITS ETF</t>
  </si>
  <si>
    <t>IE00BHZRR147</t>
  </si>
  <si>
    <t>Franklin FTSE India UCITS ETF</t>
  </si>
  <si>
    <t>IE00BHZRQZ17</t>
  </si>
  <si>
    <t>Franklin FTSE Korea UCITS ETF</t>
  </si>
  <si>
    <t>IE00BHZRR030</t>
  </si>
  <si>
    <t>IE000CM02H85</t>
  </si>
  <si>
    <t>IE000ZOKLHY7</t>
  </si>
  <si>
    <t>IE0003WEWAX4</t>
  </si>
  <si>
    <t>Franklin Global Equity SRI UCITS ETF</t>
  </si>
  <si>
    <t>IE00BF2B0N83</t>
  </si>
  <si>
    <t>IE000IM4K4K2</t>
  </si>
  <si>
    <t>IE000EBPC0Z7</t>
  </si>
  <si>
    <t>IE000QLV3SY5</t>
  </si>
  <si>
    <t>Franklin S&amp;P 500 Paris Aligned Climate UCITS ETF</t>
  </si>
  <si>
    <t>IE00BMDPBZ72</t>
  </si>
  <si>
    <t>IE00BMDPBY65</t>
  </si>
  <si>
    <t>IE00BF2B0L69</t>
  </si>
  <si>
    <t>IE00BF2B0M76</t>
  </si>
  <si>
    <t>Franklin U.S. Equity UCITS ETF</t>
  </si>
  <si>
    <t>IE00BF2B0P08</t>
  </si>
  <si>
    <t>IE00BFWXDX52</t>
  </si>
  <si>
    <t>IE000OJ5TQP4</t>
  </si>
  <si>
    <t>IE000EBFYWX3</t>
  </si>
  <si>
    <t>IE00BMH5YR69</t>
  </si>
  <si>
    <t>IE000XAGSCY5</t>
  </si>
  <si>
    <t>IE00094FRAA6</t>
  </si>
  <si>
    <t>IE000BWKUES1</t>
  </si>
  <si>
    <t>IE00BMH5YL08</t>
  </si>
  <si>
    <t>IE00BMH5YF48</t>
  </si>
  <si>
    <t>IE0003Z9E2Y3</t>
  </si>
  <si>
    <t>IE00BMH5Y871</t>
  </si>
  <si>
    <t>IE00BMH5Y327</t>
  </si>
  <si>
    <t>IE000FP52WM7</t>
  </si>
  <si>
    <t>IE00BMH5XY61</t>
  </si>
  <si>
    <t>IE00BLCHJZ35</t>
  </si>
  <si>
    <t>IE00BM8R0N95</t>
  </si>
  <si>
    <t>IE0002RPS3K2</t>
  </si>
  <si>
    <t>IE00BLCHJT74</t>
  </si>
  <si>
    <t>IE00BLCHJN13</t>
  </si>
  <si>
    <t>IE00BM8R0J59</t>
  </si>
  <si>
    <t>IE00BLCHJH52</t>
  </si>
  <si>
    <t>IE00BLCHJB90</t>
  </si>
  <si>
    <t>IE0002L5QB31</t>
  </si>
  <si>
    <t>IE000LSRKCB4</t>
  </si>
  <si>
    <t>IE000EPX8KB7</t>
  </si>
  <si>
    <t>IE000UL6CLP7</t>
  </si>
  <si>
    <t>IE000XD7KCJ7</t>
  </si>
  <si>
    <t>IE00077FRP95</t>
  </si>
  <si>
    <t>IE00BLR6QB00</t>
  </si>
  <si>
    <t>IE000NDWFGA5</t>
  </si>
  <si>
    <t>IE00BLCHJ534</t>
  </si>
  <si>
    <t>IE00BLR6Q544</t>
  </si>
  <si>
    <t>IE000JNHCBM6</t>
  </si>
  <si>
    <t>GB00B00FHZ82</t>
  </si>
  <si>
    <t>IE00BJSBCS90</t>
  </si>
  <si>
    <t>IE00BJ5CMD00</t>
  </si>
  <si>
    <t>IE00BJ5CNR11</t>
  </si>
  <si>
    <t>GraniteShares 3x Long Alibaba Daily ETP</t>
  </si>
  <si>
    <t>GraniteShares 3x Long Coinbase Daily ETP</t>
  </si>
  <si>
    <t>XS2575914176</t>
  </si>
  <si>
    <t>XS2656469561</t>
  </si>
  <si>
    <t>XS2617255760</t>
  </si>
  <si>
    <t>XS2656472193</t>
  </si>
  <si>
    <t>XS2435550947</t>
  </si>
  <si>
    <t>GraniteShares 3x Short Alibaba Daily ETP</t>
  </si>
  <si>
    <t>XS2671672819</t>
  </si>
  <si>
    <t>XS2656471039</t>
  </si>
  <si>
    <t>XS2531767502</t>
  </si>
  <si>
    <t>XS2531767767</t>
  </si>
  <si>
    <t>IE000TVPSRI1</t>
  </si>
  <si>
    <t>IE00BJQTJ848</t>
  </si>
  <si>
    <t>IE00BDDRF700</t>
  </si>
  <si>
    <t>IE00BKY58G26</t>
  </si>
  <si>
    <t>IE000XGNMWE1</t>
  </si>
  <si>
    <t>IE00BKY59K37</t>
  </si>
  <si>
    <t>IE00BKY59G90</t>
  </si>
  <si>
    <t>IE00B4K6B022</t>
  </si>
  <si>
    <t>IE000MWUQBJ0</t>
  </si>
  <si>
    <t>HSBC Europe Sustainable Equity UCITS ETF EUR</t>
  </si>
  <si>
    <t>IE00BKY55W78</t>
  </si>
  <si>
    <t>HSBC FTSE EPRA NAREIT Developed UCITS ETF USD</t>
  </si>
  <si>
    <t>IE00B5L01S80</t>
  </si>
  <si>
    <t>IE000389GTC0</t>
  </si>
  <si>
    <t>IE00BMWXKN31</t>
  </si>
  <si>
    <t>HSBC Japan Sustainable Equity UCITS ETF USD</t>
  </si>
  <si>
    <t>IE00BKY55S33</t>
  </si>
  <si>
    <t>IE000XFORJ80</t>
  </si>
  <si>
    <t>HSBC MSCI AC Far East ex Japan UCITS ETF USD</t>
  </si>
  <si>
    <t>IE00BBQ2W338</t>
  </si>
  <si>
    <t>IE00BF4NQ904</t>
  </si>
  <si>
    <t>HSBC MSCI China UCITS ETF USD</t>
  </si>
  <si>
    <t>IE00B44T3H88</t>
  </si>
  <si>
    <t>IE0007P4PBU1</t>
  </si>
  <si>
    <t>IE000FNVOB27</t>
  </si>
  <si>
    <t>IE000NVVIF88</t>
  </si>
  <si>
    <t>HSBC MSCI Emerging Markets UCITS ETF USD</t>
  </si>
  <si>
    <t>IE00B5SSQT16</t>
  </si>
  <si>
    <t>IE000KCS7J59</t>
  </si>
  <si>
    <t>IE00BP2C0316</t>
  </si>
  <si>
    <t>HSBC MSCI Europe UCITS ETF EUR</t>
  </si>
  <si>
    <t>IE00B5BD5K76</t>
  </si>
  <si>
    <t>IE000ZQOIPB1</t>
  </si>
  <si>
    <t>HSBC MSCI Indonesia UCITS ETF USD</t>
  </si>
  <si>
    <t>IE00B46G8275</t>
  </si>
  <si>
    <t>IE000UU299V4</t>
  </si>
  <si>
    <t>HSBC MSCI Japan UCITS ETF USD</t>
  </si>
  <si>
    <t>IE00B5VX7566</t>
  </si>
  <si>
    <t>HSBC MSCI Korea Capped UCITS ETF USD</t>
  </si>
  <si>
    <t>IE00B3Z0X395</t>
  </si>
  <si>
    <t>HSBC MSCI Pacific ex Japan UCITS ETF USD</t>
  </si>
  <si>
    <t>IE00B5SG8Z57</t>
  </si>
  <si>
    <t>HSBC MSCI Taiwan Capped UCITS ETF USD</t>
  </si>
  <si>
    <t>IE00B3S1J086</t>
  </si>
  <si>
    <t>IE00BP2C1S34</t>
  </si>
  <si>
    <t>IE00BP2C1V62</t>
  </si>
  <si>
    <t>IE000QMIHY81</t>
  </si>
  <si>
    <t>HSBC MSCI World UCITS ETF USD</t>
  </si>
  <si>
    <t>IE00B4X9L533</t>
  </si>
  <si>
    <t>IE000UQND7H4</t>
  </si>
  <si>
    <t>IE000LYBU7X5</t>
  </si>
  <si>
    <t>IE000YDZG487</t>
  </si>
  <si>
    <t>HSBC S&amp;P 500 UCITS ETF USD</t>
  </si>
  <si>
    <t>IE00B5KQNG97</t>
  </si>
  <si>
    <t>IE000JZ473P7</t>
  </si>
  <si>
    <t>HSBC USA Sustainable Equity UCITS ETF USD</t>
  </si>
  <si>
    <t>IE00BKY40J65</t>
  </si>
  <si>
    <t>IE0002UTLE51</t>
  </si>
  <si>
    <t>IE00BNC1F287</t>
  </si>
  <si>
    <t>LU1603790731</t>
  </si>
  <si>
    <t>LU1603795458</t>
  </si>
  <si>
    <t>LU1603797587</t>
  </si>
  <si>
    <t>LU1603795292</t>
  </si>
  <si>
    <t>LU1603797074</t>
  </si>
  <si>
    <t>Invesco AT1 Capital Bond UCITS ETF Acc</t>
  </si>
  <si>
    <t>IE00BFZPF322</t>
  </si>
  <si>
    <t>Invesco AT1 Capital Bond UCITS ETF Dist</t>
  </si>
  <si>
    <t>IE00BG0TQB18</t>
  </si>
  <si>
    <t>IE00BFZPF439</t>
  </si>
  <si>
    <t>IE000CYTPBT0</t>
  </si>
  <si>
    <t>IE00BF4J0300</t>
  </si>
  <si>
    <t>IE00BD6FTQ80</t>
  </si>
  <si>
    <t>IE00B435BG20</t>
  </si>
  <si>
    <t>IE00BG7PP820</t>
  </si>
  <si>
    <t>IE00B449XP68</t>
  </si>
  <si>
    <t>Invesco Emerging Markets USD Bond UCITS ETF Dist</t>
  </si>
  <si>
    <t>IE00BF51K132</t>
  </si>
  <si>
    <t>IE00B435CG94</t>
  </si>
  <si>
    <t>IE00BFZXGZ54</t>
  </si>
  <si>
    <t>IE0032077012</t>
  </si>
  <si>
    <t>IE00BYVTMS52</t>
  </si>
  <si>
    <t>IE00021E4FE3</t>
  </si>
  <si>
    <t>IE0006LBEDV2</t>
  </si>
  <si>
    <t>IE000PA766T7</t>
  </si>
  <si>
    <t>IE000MUAJIF4</t>
  </si>
  <si>
    <t>IE0008SEV3B2</t>
  </si>
  <si>
    <t>IE00BF51K249</t>
  </si>
  <si>
    <t>Invesco Euro Cash 3 Months UCITS ETF Acc</t>
  </si>
  <si>
    <t>IE00B3BPCH51</t>
  </si>
  <si>
    <t>Invesco Euro Corporate Hybrid Bond UCITS ETF Acc</t>
  </si>
  <si>
    <t>IE00BKWD3B81</t>
  </si>
  <si>
    <t>Invesco Euro Corporate Hybrid Bond UCITS ETF Dist</t>
  </si>
  <si>
    <t>IE00BKWD3966</t>
  </si>
  <si>
    <t>IE00BGJWWY63</t>
  </si>
  <si>
    <t>IE00BGJWWV33</t>
  </si>
  <si>
    <t>IE00BGJWWT11</t>
  </si>
  <si>
    <t>IE00BGJWWW40</t>
  </si>
  <si>
    <t>Invesco Euro Government Bond UCITS ETF Dist</t>
  </si>
  <si>
    <t>IE00BGJWWX56</t>
  </si>
  <si>
    <t>IE00B60SWX25</t>
  </si>
  <si>
    <t>Invesco EURO STOXX 50 UCITS ETF Dist</t>
  </si>
  <si>
    <t>IE00B5B5TG76</t>
  </si>
  <si>
    <t>IE00BZ4BMM98</t>
  </si>
  <si>
    <t>IE00B42Q4896</t>
  </si>
  <si>
    <t>IE000716YHJ7</t>
  </si>
  <si>
    <t>IE0006VDD4K1</t>
  </si>
  <si>
    <t>IE00BYYXBF44</t>
  </si>
  <si>
    <t>IE00B23LNQ02</t>
  </si>
  <si>
    <t>IE00B23D9570</t>
  </si>
  <si>
    <t>Invesco FTSE RAFI Europe UCITS ETF Dist</t>
  </si>
  <si>
    <t>IE00B23D8X81</t>
  </si>
  <si>
    <t>IE00B23D8S39</t>
  </si>
  <si>
    <t>IE000XG0ZRI7</t>
  </si>
  <si>
    <t>IE00BLSNMW37</t>
  </si>
  <si>
    <t>Invesco Global Clean Energy UCITS ETF Acc</t>
  </si>
  <si>
    <t>IE00BLRB0242</t>
  </si>
  <si>
    <t>IE000ZWSN3F7</t>
  </si>
  <si>
    <t>IE00B3WMTH43</t>
  </si>
  <si>
    <t>Invesco Hydrogen Economy UCITS ETF Acc</t>
  </si>
  <si>
    <t>IE00053WDH64</t>
  </si>
  <si>
    <t>IE00B3YC1100</t>
  </si>
  <si>
    <t>IE00BPRCH686</t>
  </si>
  <si>
    <t>IE00B3XM3R14</t>
  </si>
  <si>
    <t>IE00B94ZB998</t>
  </si>
  <si>
    <t>IE00B8CJW150</t>
  </si>
  <si>
    <t>IE00BK80XL30</t>
  </si>
  <si>
    <t>IE00BM8QS095</t>
  </si>
  <si>
    <t>IE000PJL7R74</t>
  </si>
  <si>
    <t>IE00B3DWVS88</t>
  </si>
  <si>
    <t>IE00BG0NY640</t>
  </si>
  <si>
    <t>IE000TI21P14</t>
  </si>
  <si>
    <t>IE00BJQRDL90</t>
  </si>
  <si>
    <t>IE00B60SWY32</t>
  </si>
  <si>
    <t>IE000I8IKC59</t>
  </si>
  <si>
    <t>Invesco MSCI Japan UCITS ETF Acc</t>
  </si>
  <si>
    <t>IE00B60SX287</t>
  </si>
  <si>
    <t>IE000RLUE8E9</t>
  </si>
  <si>
    <t>IE00BJQRDM08</t>
  </si>
  <si>
    <t>IE00B60SX170</t>
  </si>
  <si>
    <t>IE00BK5LYT47</t>
  </si>
  <si>
    <t>IE000V93BNU0</t>
  </si>
  <si>
    <t>IE00BJQRDK83</t>
  </si>
  <si>
    <t>Invesco MSCI World UCITS ETF Acc</t>
  </si>
  <si>
    <t>IE00B60SX394</t>
  </si>
  <si>
    <t>IE000COQKPO9</t>
  </si>
  <si>
    <t>IE00BQ70R696</t>
  </si>
  <si>
    <t>IE00BMD8KP97</t>
  </si>
  <si>
    <t>XS2183935274</t>
  </si>
  <si>
    <t>IE00B579F325</t>
  </si>
  <si>
    <t>IE00BDVJF675</t>
  </si>
  <si>
    <t>IE00BDT8V027</t>
  </si>
  <si>
    <t>IE00BJQRDP39</t>
  </si>
  <si>
    <t>IE00BJQRDN15</t>
  </si>
  <si>
    <t>IE000XIBT2R7</t>
  </si>
  <si>
    <t>IE000N42HDP2</t>
  </si>
  <si>
    <t>IE0008YN55P8</t>
  </si>
  <si>
    <t>IE00BYM8JD58</t>
  </si>
  <si>
    <t>Invesco Russell 2000 UCITS ETF Acc</t>
  </si>
  <si>
    <t>IE00B60SX402</t>
  </si>
  <si>
    <t>Invesco S&amp;P 500 Equal Weight UCITS ETF Acc</t>
  </si>
  <si>
    <t>IE00BNGJJT35</t>
  </si>
  <si>
    <t>Invesco S&amp;P 500 ESG UCITS ETF Acc</t>
  </si>
  <si>
    <t>IE00BKS7L097</t>
  </si>
  <si>
    <t>IE000QF66PE6</t>
  </si>
  <si>
    <t>IE00BWTN6Y99</t>
  </si>
  <si>
    <t>Invesco S&amp;P 500 Low Volatility UCITS ETF Acc</t>
  </si>
  <si>
    <t>IE00BKW9SX35</t>
  </si>
  <si>
    <t>IE00BDZCKK11</t>
  </si>
  <si>
    <t>IE00B3YCGJ38</t>
  </si>
  <si>
    <t>Invesco S&amp;P 500 UCITS ETF Dist</t>
  </si>
  <si>
    <t>IE00BYML9W36</t>
  </si>
  <si>
    <t>IE00BRKWGL70</t>
  </si>
  <si>
    <t>IE000K9Z3SF5</t>
  </si>
  <si>
    <t>Invesco S&amp;P China A MidCap 500 Swap UCITS ETF Acc</t>
  </si>
  <si>
    <t>IE0000FCGYF9</t>
  </si>
  <si>
    <t>IE000Q0IU5T1</t>
  </si>
  <si>
    <t>Invesco S&amp;P World Energy ESG UCITS ETF Acc</t>
  </si>
  <si>
    <t>IE000AIFGRB9</t>
  </si>
  <si>
    <t>Invesco S&amp;P World Financials ESG UCITS ETF Acc</t>
  </si>
  <si>
    <t>IE00018LB0D8</t>
  </si>
  <si>
    <t>Invesco S&amp;P World Health Care ESG UCITS ETF Acc</t>
  </si>
  <si>
    <t>IE000L4EH2K5</t>
  </si>
  <si>
    <t>IE00BM8QRZ79</t>
  </si>
  <si>
    <t>IE00B5MTWD60</t>
  </si>
  <si>
    <t>IE00B60SWW18</t>
  </si>
  <si>
    <t>IE00B3VSSL01</t>
  </si>
  <si>
    <t>Invesco US High Yield Fallen Angels UCITS ETF Dist</t>
  </si>
  <si>
    <t>IE00BD0Q9673</t>
  </si>
  <si>
    <t>IE00BYVTMZ20</t>
  </si>
  <si>
    <t>Invesco US Municipal Bond UCITS ETF Dist</t>
  </si>
  <si>
    <t>IE00BNG70R26</t>
  </si>
  <si>
    <t>IE00BF2FNG46</t>
  </si>
  <si>
    <t>IE00BF2FNQ44</t>
  </si>
  <si>
    <t>IE00BF2FN646</t>
  </si>
  <si>
    <t>IE00BF2FN869</t>
  </si>
  <si>
    <t>Invesco US Treasury Bond 0-1 Year UCITS ETF Dist</t>
  </si>
  <si>
    <t>IE00BKWD3C98</t>
  </si>
  <si>
    <t>IE000FXHG8D6</t>
  </si>
  <si>
    <t>Invesco US Treasury Bond 10+ Year UCITS ETF Dist</t>
  </si>
  <si>
    <t>IE00BKWD3743</t>
  </si>
  <si>
    <t>Invesco US Treasury Bond UCITS ETF Dist</t>
  </si>
  <si>
    <t>IE00BF2GFH28</t>
  </si>
  <si>
    <t>IE00BJP5NL42</t>
  </si>
  <si>
    <t>IE00BF51K025</t>
  </si>
  <si>
    <t>IE00B3VPKB53</t>
  </si>
  <si>
    <t>IE00BG21M733</t>
  </si>
  <si>
    <t>Invesco Wind Energy UCITS ETF Acc</t>
  </si>
  <si>
    <t>IE0008RX29L5</t>
  </si>
  <si>
    <t>IE00BG5QQ390</t>
  </si>
  <si>
    <t>IE00BK4W7N32</t>
  </si>
  <si>
    <t>IE0032895942</t>
  </si>
  <si>
    <t>IE00BF11F458</t>
  </si>
  <si>
    <t>IE00BZ048462</t>
  </si>
  <si>
    <t>IE00BF3N7102</t>
  </si>
  <si>
    <t>IE00B4PY7Y77</t>
  </si>
  <si>
    <t>IE00BCRY6003</t>
  </si>
  <si>
    <t>IE00B1FZSC47</t>
  </si>
  <si>
    <t>IE000F6XDNZ5</t>
  </si>
  <si>
    <t>IE00B14X4S71</t>
  </si>
  <si>
    <t>IE00B1FZS798</t>
  </si>
  <si>
    <t>IE00B3VWN179</t>
  </si>
  <si>
    <t>IE00B3VWN393</t>
  </si>
  <si>
    <t>IE00B1FZSD53</t>
  </si>
  <si>
    <t>IE00B3DKXQ41</t>
  </si>
  <si>
    <t>IE000AK4O3W6</t>
  </si>
  <si>
    <t>IE00BYZTVV78</t>
  </si>
  <si>
    <t>IE00B4L60045</t>
  </si>
  <si>
    <t>IE00BSKRK281</t>
  </si>
  <si>
    <t>IE000L2TO2T2</t>
  </si>
  <si>
    <t>IE00BYZTVT56</t>
  </si>
  <si>
    <t>IE00B4L5ZG21</t>
  </si>
  <si>
    <t>IE0032523478</t>
  </si>
  <si>
    <t>IE00B3B8Q275</t>
  </si>
  <si>
    <t>IE00B3FH7618</t>
  </si>
  <si>
    <t>IE00B4WXJH41</t>
  </si>
  <si>
    <t>IE00B14X4Q57</t>
  </si>
  <si>
    <t>IE00B1FZS681</t>
  </si>
  <si>
    <t>IE00B4WXJG34</t>
  </si>
  <si>
    <t>IE00B1FZS806</t>
  </si>
  <si>
    <t>IE00BLDGH553</t>
  </si>
  <si>
    <t>IE00BMDBMN04</t>
  </si>
  <si>
    <t>IE00B66F4759</t>
  </si>
  <si>
    <t>IE00BJK55C48</t>
  </si>
  <si>
    <t>IE00B0M62X26</t>
  </si>
  <si>
    <t>IE000NBRE3P7</t>
  </si>
  <si>
    <t>IE00BCRY6557</t>
  </si>
  <si>
    <t>IE00BYZK4669</t>
  </si>
  <si>
    <t>IE00B6R52143</t>
  </si>
  <si>
    <t>IE00B14X4T88</t>
  </si>
  <si>
    <t>IE00B1FZS244</t>
  </si>
  <si>
    <t>IE00BYZK4552</t>
  </si>
  <si>
    <t>iShares BIC 50 UCITS ETF USD (Dist)</t>
  </si>
  <si>
    <t>IE00B1W57M07</t>
  </si>
  <si>
    <t>IE000RDRMSD1</t>
  </si>
  <si>
    <t>iShares China CNY Bond UCITS ETF USD (Dist)</t>
  </si>
  <si>
    <t>IE00BYPC1H27</t>
  </si>
  <si>
    <t>IE00B02KXK85</t>
  </si>
  <si>
    <t>IE00B3F81R35</t>
  </si>
  <si>
    <t>IE00B4WXJJ64</t>
  </si>
  <si>
    <t>DE0005933931</t>
  </si>
  <si>
    <t>Germany</t>
  </si>
  <si>
    <t>iShares Core EURO STOXX 50 UCITS ETF EUR (Acc)</t>
  </si>
  <si>
    <t>IE00B53L3W79</t>
  </si>
  <si>
    <t>IE0008471009</t>
  </si>
  <si>
    <t>IE0005042456</t>
  </si>
  <si>
    <t>IE00BDBRDM35</t>
  </si>
  <si>
    <t>IE00BKM4GZ66</t>
  </si>
  <si>
    <t>iShares Core MSCI EMU UCITS ETF EUR (Acc)</t>
  </si>
  <si>
    <t>IE00B53QG562</t>
  </si>
  <si>
    <t>iShares Core MSCI EMU UCITS ETF EUR (Dist)</t>
  </si>
  <si>
    <t>IE00BYXZ2585</t>
  </si>
  <si>
    <t>iShares Core MSCI Europe UCITS ETF EUR (Acc)</t>
  </si>
  <si>
    <t>IE00B4K48X80</t>
  </si>
  <si>
    <t>IE00B1YZSC51</t>
  </si>
  <si>
    <t>IE00B4L5YX21</t>
  </si>
  <si>
    <t>IE00B52MJY50</t>
  </si>
  <si>
    <t>iShares Core MSCI World UCITS ETF USD (Acc)</t>
  </si>
  <si>
    <t>IE00B4L5Y983</t>
  </si>
  <si>
    <t>iShares Core S&amp;P 500 UCITS ETF USD (Acc)</t>
  </si>
  <si>
    <t>IE00B5BMR087</t>
  </si>
  <si>
    <t>iShares Core S&amp;P 500 UCITS ETF USD (Dist)</t>
  </si>
  <si>
    <t>IE0031442068</t>
  </si>
  <si>
    <t>IE00B1FZSB30</t>
  </si>
  <si>
    <t>iShares Digital Security UCITS ETF USD (Acc)</t>
  </si>
  <si>
    <t>IE00BG0J4C88</t>
  </si>
  <si>
    <t>IE00BYZK4883</t>
  </si>
  <si>
    <t>DE000A0H0728</t>
  </si>
  <si>
    <t>DE000A0D8Q49</t>
  </si>
  <si>
    <t>IE00B1FZS350</t>
  </si>
  <si>
    <t>DE000A0Q4RZ9</t>
  </si>
  <si>
    <t>IE00B8KGV557</t>
  </si>
  <si>
    <t>IE00B86MWN23</t>
  </si>
  <si>
    <t>IE00BZ0PKV06</t>
  </si>
  <si>
    <t>IE00BQN1K562</t>
  </si>
  <si>
    <t>IE00BQN1K901</t>
  </si>
  <si>
    <t>IE00BZ0PKS76</t>
  </si>
  <si>
    <t>IE00B8FHGS14</t>
  </si>
  <si>
    <t>IE00BP3QZ825</t>
  </si>
  <si>
    <t>IE00BZ0PKT83</t>
  </si>
  <si>
    <t>IE00BP3QZ601</t>
  </si>
  <si>
    <t>IE00BP3QZD73</t>
  </si>
  <si>
    <t>IE00BP3QZB59</t>
  </si>
  <si>
    <t>IE00B6SPMN59</t>
  </si>
  <si>
    <t>IE00BGL86Z12</t>
  </si>
  <si>
    <t>IE00B0M62S72</t>
  </si>
  <si>
    <t>IE00B3VTMJ91</t>
  </si>
  <si>
    <t>IE00B3VTML14</t>
  </si>
  <si>
    <t>IE00B02KXL92</t>
  </si>
  <si>
    <t>IE00B02KXM00</t>
  </si>
  <si>
    <t>iShares EURO STOXX UCITS ETF (DE)</t>
  </si>
  <si>
    <t>DE000A0D8Q07</t>
  </si>
  <si>
    <t>IE00B0M63284</t>
  </si>
  <si>
    <t>IE00BYM31M36</t>
  </si>
  <si>
    <t>IE00B53L4X51</t>
  </si>
  <si>
    <t>iShares FTSE MIB UCITS ETF EUR (Dist)</t>
  </si>
  <si>
    <t>IE00B1XNH568</t>
  </si>
  <si>
    <t>IE000APK27S2</t>
  </si>
  <si>
    <t>iShares Global Clean Energy UCITS ETF USD (Dist)</t>
  </si>
  <si>
    <t>IE00B1XNHC34</t>
  </si>
  <si>
    <t>IE00B7J7TB45</t>
  </si>
  <si>
    <t>IE00B74DQ490</t>
  </si>
  <si>
    <t>IE00B1FZS467</t>
  </si>
  <si>
    <t>IE00B1TXK627</t>
  </si>
  <si>
    <t>IE00B1FZS913</t>
  </si>
  <si>
    <t>IE00BYZK4776</t>
  </si>
  <si>
    <t>IE000GUOATN7</t>
  </si>
  <si>
    <t>IE000ZOI8OK5</t>
  </si>
  <si>
    <t>IE000SIZJ2B2</t>
  </si>
  <si>
    <t>IE000264WWY0</t>
  </si>
  <si>
    <t>IE000589MF42</t>
  </si>
  <si>
    <t>IE00B7LW6Y90</t>
  </si>
  <si>
    <t>IE00B9M6RS56</t>
  </si>
  <si>
    <t>IE00B6TLBW47</t>
  </si>
  <si>
    <t>IE00B2NPKV68</t>
  </si>
  <si>
    <t>IE00B5M4WH52</t>
  </si>
  <si>
    <t>IE00BF553838</t>
  </si>
  <si>
    <t>DE0005933923</t>
  </si>
  <si>
    <t>iShares Metaverse UCITS ETF USD (Acc)</t>
  </si>
  <si>
    <t>IE000RN58M26</t>
  </si>
  <si>
    <t>IE00B0M63730</t>
  </si>
  <si>
    <t>IE00B5377D42</t>
  </si>
  <si>
    <t>IE00B0M63516</t>
  </si>
  <si>
    <t>IE00B52SF786</t>
  </si>
  <si>
    <t>iShares MSCI China A UCITS ETF EUR Hedged (Acc)</t>
  </si>
  <si>
    <t>IE00099GAJC6</t>
  </si>
  <si>
    <t>IE00B5L8K969</t>
  </si>
  <si>
    <t>iShares MSCI EM ESG Enhanced UCITS ETF USD (Acc)</t>
  </si>
  <si>
    <t>IE00BHZPJ239</t>
  </si>
  <si>
    <t>IE00B27YCK28</t>
  </si>
  <si>
    <t>IE00BYVJRP78</t>
  </si>
  <si>
    <t>IE00B4L5YC18</t>
  </si>
  <si>
    <t>IE00B0M63177</t>
  </si>
  <si>
    <t>iShares MSCI EMU ESG Enhanced UCITS ETF EUR (Acc)</t>
  </si>
  <si>
    <t>IE00BHZPJ015</t>
  </si>
  <si>
    <t>IE00BCLWRF22</t>
  </si>
  <si>
    <t>IE00BHZPJ783</t>
  </si>
  <si>
    <t>IE00B14X4N27</t>
  </si>
  <si>
    <t>IE00B52VJ196</t>
  </si>
  <si>
    <t>IE000I8KRLL9</t>
  </si>
  <si>
    <t>IE00BHZPJ452</t>
  </si>
  <si>
    <t>iShares MSCI Japan EUR Hedged UCITS ETF (Acc)</t>
  </si>
  <si>
    <t>IE00B42Z5J44</t>
  </si>
  <si>
    <t>IE00B2QWDY88</t>
  </si>
  <si>
    <t>iShares MSCI Japan SRI UCITS ETF USD (Acc)</t>
  </si>
  <si>
    <t>IE00BYX8XC17</t>
  </si>
  <si>
    <t>iShares MSCI Japan UCITS ETF USD (Acc)</t>
  </si>
  <si>
    <t>IE00B53QDK08</t>
  </si>
  <si>
    <t>IE00B02KXH56</t>
  </si>
  <si>
    <t>IE00B5W4TY14</t>
  </si>
  <si>
    <t>IE00B0M63391</t>
  </si>
  <si>
    <t>IE00B5WHFQ43</t>
  </si>
  <si>
    <t>IE00B14X4M10</t>
  </si>
  <si>
    <t>IE00B4WXJD03</t>
  </si>
  <si>
    <t>IE00B52XQP83</t>
  </si>
  <si>
    <t>IE00B0M63623</t>
  </si>
  <si>
    <t>IE00B1FZS574</t>
  </si>
  <si>
    <t>IE00B539F030</t>
  </si>
  <si>
    <t>iShares MSCI USA ESG Enhanced UCITS ETF USD (Acc)</t>
  </si>
  <si>
    <t>IE00BHZPJ908</t>
  </si>
  <si>
    <t>IE000G2LIHG9</t>
  </si>
  <si>
    <t>IE00B3VWM098</t>
  </si>
  <si>
    <t>iShares MSCI USA SRI UCITS ETF EUR Hedged (Dist)</t>
  </si>
  <si>
    <t>IE00BZ173V67</t>
  </si>
  <si>
    <t>iShares MSCI USA SRI UCITS ETF USD (Acc)</t>
  </si>
  <si>
    <t>IE00BYVJRR92</t>
  </si>
  <si>
    <t>IE00B52SFT06</t>
  </si>
  <si>
    <t>IE000MELAE65</t>
  </si>
  <si>
    <t>IE00BJ5JNZ06</t>
  </si>
  <si>
    <t>IE00BJ5JNY98</t>
  </si>
  <si>
    <t>IE00BJ5JP766</t>
  </si>
  <si>
    <t>IE00BHZPJ569</t>
  </si>
  <si>
    <t>IE00BFNM3J75</t>
  </si>
  <si>
    <t>iShares MSCI World EUR Hedged UCITS ETF (Acc)</t>
  </si>
  <si>
    <t>IE00B441G979</t>
  </si>
  <si>
    <t>IE000U1MQKJ2</t>
  </si>
  <si>
    <t>iShares MSCI World SRI UCITS ETF EUR (Acc)</t>
  </si>
  <si>
    <t>IE00BYX2JD69</t>
  </si>
  <si>
    <t>IE00B0M62Q58</t>
  </si>
  <si>
    <t>IE00B53SZB19</t>
  </si>
  <si>
    <t>IE00B52MJD48</t>
  </si>
  <si>
    <t>iShares Pfandbriefe UCITS ETF (DE)</t>
  </si>
  <si>
    <t>DE0002635265</t>
  </si>
  <si>
    <t>iShares S&amp;P 500 EUR Hedged UCITS ETF (Acc)</t>
  </si>
  <si>
    <t>IE00B3ZW0K18</t>
  </si>
  <si>
    <t>IE00BKTLJC87</t>
  </si>
  <si>
    <t>IE0008470928</t>
  </si>
  <si>
    <t>iShares STOXX Europe 600 UCITS ETF (DE)</t>
  </si>
  <si>
    <t>DE0002635307</t>
  </si>
  <si>
    <t>DE0002635299</t>
  </si>
  <si>
    <t>IE00B0M63060</t>
  </si>
  <si>
    <t>IE00B1TXLS18</t>
  </si>
  <si>
    <t>IE00B1FZSF77</t>
  </si>
  <si>
    <t>IE00B3VWMM18</t>
  </si>
  <si>
    <t>IE000SE6KPV2</t>
  </si>
  <si>
    <t>IE00B6X2VY59</t>
  </si>
  <si>
    <t>IE00BQN1K786</t>
  </si>
  <si>
    <t>IE00BQN1KC32</t>
  </si>
  <si>
    <t>IE000WA6L436</t>
  </si>
  <si>
    <t>IE0008UEVOE0</t>
  </si>
  <si>
    <t>IE00BGBN6P67</t>
  </si>
  <si>
    <t>IE000L2SA8K5</t>
  </si>
  <si>
    <t>IE00BMDV7354</t>
  </si>
  <si>
    <t>IE000TB7IEF3</t>
  </si>
  <si>
    <t>IE000B8M14I0</t>
  </si>
  <si>
    <t>IE00BYVZV757</t>
  </si>
  <si>
    <t>IE00BJK9HD13</t>
  </si>
  <si>
    <t>IE00BJK9H753</t>
  </si>
  <si>
    <t>IE000JNKVS10</t>
  </si>
  <si>
    <t>IE00BJK3WF00</t>
  </si>
  <si>
    <t>IE00BD9MMD49</t>
  </si>
  <si>
    <t>IE000G3A6RN7</t>
  </si>
  <si>
    <t>IE000W95TAE6</t>
  </si>
  <si>
    <t>IE00BMDWYZ92</t>
  </si>
  <si>
    <t>IE00BMDV7578</t>
  </si>
  <si>
    <t>IE000O8S1EX4</t>
  </si>
  <si>
    <t>IE00BF59RX87</t>
  </si>
  <si>
    <t>IE00BF59RW70</t>
  </si>
  <si>
    <t>IE00BD9MMF62</t>
  </si>
  <si>
    <t>IE00BF4G7183</t>
  </si>
  <si>
    <t>IE00004PGEY9</t>
  </si>
  <si>
    <t>IE00BF4G6Z54</t>
  </si>
  <si>
    <t>IE000YK1TO74</t>
  </si>
  <si>
    <t>IE00BKKCKJ46</t>
  </si>
  <si>
    <t>IE00BF4G6Y48</t>
  </si>
  <si>
    <t>IE0000UW95D6</t>
  </si>
  <si>
    <t>IE000BXC49I6</t>
  </si>
  <si>
    <t>IE00BJRCLL96</t>
  </si>
  <si>
    <t>IE000UZIKD07</t>
  </si>
  <si>
    <t>IE000FBG59J1</t>
  </si>
  <si>
    <t>IE0005FKEK99</t>
  </si>
  <si>
    <t>IE000QGWZZO0</t>
  </si>
  <si>
    <t>IE00BP2NF958</t>
  </si>
  <si>
    <t>IE0006HMLPV6</t>
  </si>
  <si>
    <t>IE00BF4G7076</t>
  </si>
  <si>
    <t>IE00069JGT58</t>
  </si>
  <si>
    <t>IE000CN8T855</t>
  </si>
  <si>
    <t>IE0000J0F3C5</t>
  </si>
  <si>
    <t>IE00BF59RV63</t>
  </si>
  <si>
    <t>IE00BDDRDY39</t>
  </si>
  <si>
    <t>IE00BJ06C937</t>
  </si>
  <si>
    <t>IE00BDFC6G93</t>
  </si>
  <si>
    <t>IE00BG8BCY43</t>
  </si>
  <si>
    <t>IE00BDFC6Q91</t>
  </si>
  <si>
    <t>KraneShares CSI China Internet UCITS ETF EUR</t>
  </si>
  <si>
    <t>IE00BFXR7900</t>
  </si>
  <si>
    <t>IE000YUAPTQ0</t>
  </si>
  <si>
    <t>IE00BKPJY541</t>
  </si>
  <si>
    <t>IE00BK5BCD43</t>
  </si>
  <si>
    <t>IE00BFXR5W90</t>
  </si>
  <si>
    <t>IE00BF0M2Z96</t>
  </si>
  <si>
    <t>L&amp;G China CNY Bond UCITS ETF USD Dist</t>
  </si>
  <si>
    <t>IE00BLRPQL76</t>
  </si>
  <si>
    <t>IE00BK5BCH80</t>
  </si>
  <si>
    <t>IE00BK5BC891</t>
  </si>
  <si>
    <t>IE00BYPLS672</t>
  </si>
  <si>
    <t>IE00B4QNHH68</t>
  </si>
  <si>
    <t>IE00B4QNHZ41</t>
  </si>
  <si>
    <t>IE00BF92J153</t>
  </si>
  <si>
    <t>IE00BHBFDF83</t>
  </si>
  <si>
    <t>IE00BF0M6N54</t>
  </si>
  <si>
    <t>IE000ST40PX8</t>
  </si>
  <si>
    <t>IE000MINO564</t>
  </si>
  <si>
    <t>IE00BLRPQP15</t>
  </si>
  <si>
    <t>IE00BLRPRF81</t>
  </si>
  <si>
    <t>L&amp;G ESG USD Corporate Bond UCITS ETF USD Dist</t>
  </si>
  <si>
    <t>IE00BLRPRD67</t>
  </si>
  <si>
    <t>IE00BKLTRN76</t>
  </si>
  <si>
    <t>IE00BFXR5V83</t>
  </si>
  <si>
    <t>L&amp;G Global Brands UCITS ETF USD Acc</t>
  </si>
  <si>
    <t>IE0007HKA9K1</t>
  </si>
  <si>
    <t>IE00BFXR5S54</t>
  </si>
  <si>
    <t>IE000VTOHNZ0</t>
  </si>
  <si>
    <t>IE00B3CNHG25</t>
  </si>
  <si>
    <t>L&amp;G Healthcare Breakthrough UCITS ETF USD Acc</t>
  </si>
  <si>
    <t>IE00BK5BC677</t>
  </si>
  <si>
    <t>L&amp;G Hydrogen Economy UCITS ETF USD Acc</t>
  </si>
  <si>
    <t>IE00BMYDM794</t>
  </si>
  <si>
    <t>L&amp;G India INR Government Bond UCITS ETF USD Acc</t>
  </si>
  <si>
    <t>IE000YSUEJ32</t>
  </si>
  <si>
    <t>IE00BL6K6H97</t>
  </si>
  <si>
    <t>IE00BFXR5T61</t>
  </si>
  <si>
    <t>IE00B4WPHX27</t>
  </si>
  <si>
    <t>IE0004U3TX15</t>
  </si>
  <si>
    <t>IE00BFXR6159</t>
  </si>
  <si>
    <t>IE000QNJAOX1</t>
  </si>
  <si>
    <t>IE00BF0H7608</t>
  </si>
  <si>
    <t>IE00BMYDMB35</t>
  </si>
  <si>
    <t>IE00BMYDM919</t>
  </si>
  <si>
    <t>IE00BMW3QX54</t>
  </si>
  <si>
    <t>IE00B3CNHJ55</t>
  </si>
  <si>
    <t>IE00BFXR5Q31</t>
  </si>
  <si>
    <t>IE00BKLWY790</t>
  </si>
  <si>
    <t>FR0011607084</t>
  </si>
  <si>
    <t>LU0496786905</t>
  </si>
  <si>
    <t>LU1617164998</t>
  </si>
  <si>
    <t>FR0011023621</t>
  </si>
  <si>
    <t>FR0010869578</t>
  </si>
  <si>
    <t>LU1650491282</t>
  </si>
  <si>
    <t>LU1910939849</t>
  </si>
  <si>
    <t>LU1910940268</t>
  </si>
  <si>
    <t>LU2099289147</t>
  </si>
  <si>
    <t>LU1646360971</t>
  </si>
  <si>
    <t>LU1781541179</t>
  </si>
  <si>
    <t>LU0908500753</t>
  </si>
  <si>
    <t>LU1781541096</t>
  </si>
  <si>
    <t>Lyxor Core US Equity (DR) UCITS ETF - Dist</t>
  </si>
  <si>
    <t>LU1781540957</t>
  </si>
  <si>
    <t>LU1452600270</t>
  </si>
  <si>
    <t>LU1452600437</t>
  </si>
  <si>
    <t>LU2370241684</t>
  </si>
  <si>
    <t>LU0252634307</t>
  </si>
  <si>
    <t>FR0010869495</t>
  </si>
  <si>
    <t>LU0252633754</t>
  </si>
  <si>
    <t>FR0007075494</t>
  </si>
  <si>
    <t>FR0007056841</t>
  </si>
  <si>
    <t>LU1829218822</t>
  </si>
  <si>
    <t>LU2346257210</t>
  </si>
  <si>
    <t>LU1812090543</t>
  </si>
  <si>
    <t>LU1285960032</t>
  </si>
  <si>
    <t>LU1285959885</t>
  </si>
  <si>
    <t>LU1285959703</t>
  </si>
  <si>
    <t>LU1435356065</t>
  </si>
  <si>
    <t>LU1435356149</t>
  </si>
  <si>
    <t>LU1435356495</t>
  </si>
  <si>
    <t>LU1390062245</t>
  </si>
  <si>
    <t>LU1650489385</t>
  </si>
  <si>
    <t>LU1650487413</t>
  </si>
  <si>
    <t>LU1287023268</t>
  </si>
  <si>
    <t>LU1650488494</t>
  </si>
  <si>
    <t>LU1287023003</t>
  </si>
  <si>
    <t>LU1287023185</t>
  </si>
  <si>
    <t>LU2356220926</t>
  </si>
  <si>
    <t>FR0010510800</t>
  </si>
  <si>
    <t>FR0007054358</t>
  </si>
  <si>
    <t>FR0010424135</t>
  </si>
  <si>
    <t>FR0010424143</t>
  </si>
  <si>
    <t>FR0010468983</t>
  </si>
  <si>
    <t>LU1829219390</t>
  </si>
  <si>
    <t>LU1598691217</t>
  </si>
  <si>
    <t>LU1598691050</t>
  </si>
  <si>
    <t>LU1829219556</t>
  </si>
  <si>
    <t>LU1829219713</t>
  </si>
  <si>
    <t>LU1287023342</t>
  </si>
  <si>
    <t>LU1233598447</t>
  </si>
  <si>
    <t>LU1650492173</t>
  </si>
  <si>
    <t>LU1832418773</t>
  </si>
  <si>
    <t>FR0011758085</t>
  </si>
  <si>
    <t>FR0010010827</t>
  </si>
  <si>
    <t>FR0010446658</t>
  </si>
  <si>
    <t>FR0010446146</t>
  </si>
  <si>
    <t>FR0010446666</t>
  </si>
  <si>
    <t>LU1981860072</t>
  </si>
  <si>
    <t>LU2099295466</t>
  </si>
  <si>
    <t>LU2099296274</t>
  </si>
  <si>
    <t>LU1563454310</t>
  </si>
  <si>
    <t>LU1686830909</t>
  </si>
  <si>
    <t>LU1686831030</t>
  </si>
  <si>
    <t>LU1879532940</t>
  </si>
  <si>
    <t>FR0010245514</t>
  </si>
  <si>
    <t>FR0011475078</t>
  </si>
  <si>
    <t>LU1900068161</t>
  </si>
  <si>
    <t>LU1900068328</t>
  </si>
  <si>
    <t>LU1829220216</t>
  </si>
  <si>
    <t>LU1900066207</t>
  </si>
  <si>
    <t>FR0011720911</t>
  </si>
  <si>
    <t>LU1900067940</t>
  </si>
  <si>
    <t>LU1900068914</t>
  </si>
  <si>
    <t>LU1841731745</t>
  </si>
  <si>
    <t>LU2023678282</t>
  </si>
  <si>
    <t>LU1900066462</t>
  </si>
  <si>
    <t>LU1781541849</t>
  </si>
  <si>
    <t>LU2009202107</t>
  </si>
  <si>
    <t>FR0010429068</t>
  </si>
  <si>
    <t>LU0908501132</t>
  </si>
  <si>
    <t>LU1598688189</t>
  </si>
  <si>
    <t>LU1598689153</t>
  </si>
  <si>
    <t>LU1598690169</t>
  </si>
  <si>
    <t>FR0010261198</t>
  </si>
  <si>
    <t>LU1940199711</t>
  </si>
  <si>
    <t>LU1940199984</t>
  </si>
  <si>
    <t>LU2023679090</t>
  </si>
  <si>
    <t>FR0010405431</t>
  </si>
  <si>
    <t>FR0010361683</t>
  </si>
  <si>
    <t>LU1900065811</t>
  </si>
  <si>
    <t>LU1900066975</t>
  </si>
  <si>
    <t>LU2023678449</t>
  </si>
  <si>
    <t>FR0010524777</t>
  </si>
  <si>
    <t>LU1900067601</t>
  </si>
  <si>
    <t>FR0014002CH1</t>
  </si>
  <si>
    <t>FR0010527275</t>
  </si>
  <si>
    <t>LU0533033667</t>
  </si>
  <si>
    <t>LU0533033238</t>
  </si>
  <si>
    <t>FR0014003IY1</t>
  </si>
  <si>
    <t>FR0010315770</t>
  </si>
  <si>
    <t>FR0011660927</t>
  </si>
  <si>
    <t>FR0010342592</t>
  </si>
  <si>
    <t>LU1829221024</t>
  </si>
  <si>
    <t>LU1954152853</t>
  </si>
  <si>
    <t>LU2195226068</t>
  </si>
  <si>
    <t>LU1287022708</t>
  </si>
  <si>
    <t>LU1327051279</t>
  </si>
  <si>
    <t>LU0959211326</t>
  </si>
  <si>
    <t>LU0959211243</t>
  </si>
  <si>
    <t>LU0496786574</t>
  </si>
  <si>
    <t>LU0832435464</t>
  </si>
  <si>
    <t>LU1190417599</t>
  </si>
  <si>
    <t>LU1248511575</t>
  </si>
  <si>
    <t>LU1834987890</t>
  </si>
  <si>
    <t>LU1834983477</t>
  </si>
  <si>
    <t>LU1834983550</t>
  </si>
  <si>
    <t>LU1834983634</t>
  </si>
  <si>
    <t>LU1834985845</t>
  </si>
  <si>
    <t>LU1834986900</t>
  </si>
  <si>
    <t>LU1834987973</t>
  </si>
  <si>
    <t>LU1834988518</t>
  </si>
  <si>
    <t>LU1834988609</t>
  </si>
  <si>
    <t>LU1834988781</t>
  </si>
  <si>
    <t>LU1834988864</t>
  </si>
  <si>
    <t>LU1812092168</t>
  </si>
  <si>
    <t>LU0533032859</t>
  </si>
  <si>
    <t>LU2018762653</t>
  </si>
  <si>
    <t>LU1407890547</t>
  </si>
  <si>
    <t>LU1407890976</t>
  </si>
  <si>
    <t>LU1390062831</t>
  </si>
  <si>
    <t>FR0014002IH8</t>
  </si>
  <si>
    <t>IE00BF92LV92</t>
  </si>
  <si>
    <t>IE000SVSL9U5</t>
  </si>
  <si>
    <t>LU0599612842</t>
  </si>
  <si>
    <t>LU2069380306</t>
  </si>
  <si>
    <t>IE00BN0YSK89</t>
  </si>
  <si>
    <t>LU1079841273</t>
  </si>
  <si>
    <t>LU1079842321</t>
  </si>
  <si>
    <t>LU0599613147</t>
  </si>
  <si>
    <t>IE00BJBLDK52</t>
  </si>
  <si>
    <t>IE00BHNGHX58</t>
  </si>
  <si>
    <t>LU2555926455</t>
  </si>
  <si>
    <t>IE00BH3X8336</t>
  </si>
  <si>
    <t>IE00BP9F2J32</t>
  </si>
  <si>
    <t>IE00B5ZR2157</t>
  </si>
  <si>
    <t>IE00BD8D5H32</t>
  </si>
  <si>
    <t>IE00B67B7N93</t>
  </si>
  <si>
    <t>IE00BP9F2H18</t>
  </si>
  <si>
    <t>IE00BF8HV600</t>
  </si>
  <si>
    <t>IE00B7N3YW49</t>
  </si>
  <si>
    <t>IE00BJXRZJ40</t>
  </si>
  <si>
    <t>IE00BLRPRQ96</t>
  </si>
  <si>
    <t>IE00BLRPRR04</t>
  </si>
  <si>
    <t>IE00BLRPQH31</t>
  </si>
  <si>
    <t>IE00BMYMHS24</t>
  </si>
  <si>
    <t>XS2353177293</t>
  </si>
  <si>
    <t>IE00B6YX5H87</t>
  </si>
  <si>
    <t>IE00BC7GZX26</t>
  </si>
  <si>
    <t>IE00BC7GZW19</t>
  </si>
  <si>
    <t>IE00BYSZ6062</t>
  </si>
  <si>
    <t>IE00BYSZ5V04</t>
  </si>
  <si>
    <t>IE00BZ0G8860</t>
  </si>
  <si>
    <t>IE00BYV12Y75</t>
  </si>
  <si>
    <t>IE00B6YX5F63</t>
  </si>
  <si>
    <t>IE00BC7GZJ81</t>
  </si>
  <si>
    <t>IE00BS7K8821</t>
  </si>
  <si>
    <t>IE00BYSZ5R67</t>
  </si>
  <si>
    <t>IE00BYSZ5T81</t>
  </si>
  <si>
    <t>IE00BK8JH525</t>
  </si>
  <si>
    <t>IE00BFWFPY67</t>
  </si>
  <si>
    <t>IE00B4613386</t>
  </si>
  <si>
    <t>IE00B41RYL63</t>
  </si>
  <si>
    <t>IE00B3T9LM79</t>
  </si>
  <si>
    <t>IE00BMYHQM42</t>
  </si>
  <si>
    <t>IE00B3S5XW04</t>
  </si>
  <si>
    <t>IE00B6YX5M31</t>
  </si>
  <si>
    <t>IE00B43QJJ40</t>
  </si>
  <si>
    <t>IE00BF1QPL78</t>
  </si>
  <si>
    <t>IE00B99FL386</t>
  </si>
  <si>
    <t>IE00BLF7VX27</t>
  </si>
  <si>
    <t>IE00BFY0GV36</t>
  </si>
  <si>
    <t>IE00BYTH5602</t>
  </si>
  <si>
    <t>IE00BZ0G8977</t>
  </si>
  <si>
    <t>IE00B44CND37</t>
  </si>
  <si>
    <t>IE00B8GF1M35</t>
  </si>
  <si>
    <t>IE00BFTWP510</t>
  </si>
  <si>
    <t>IE00BJL36X53</t>
  </si>
  <si>
    <t>IE00BP46NG52</t>
  </si>
  <si>
    <t>IE00BQWJFQ70</t>
  </si>
  <si>
    <t>IE00BYTH5370</t>
  </si>
  <si>
    <t>IE00B3YLTY66</t>
  </si>
  <si>
    <t>IE00B44Z5B48</t>
  </si>
  <si>
    <t>IE00BF1B7389</t>
  </si>
  <si>
    <t>SPDR MSCI EM Asia UCITS ETF</t>
  </si>
  <si>
    <t>IE00B466KX20</t>
  </si>
  <si>
    <t>IE00BYTH5263</t>
  </si>
  <si>
    <t>SPDR MSCI Emerging Markets UCITS ETF</t>
  </si>
  <si>
    <t>IE00B469F816</t>
  </si>
  <si>
    <t>SPDR MSCI EMU UCITS ETF</t>
  </si>
  <si>
    <t>IE00B910VR50</t>
  </si>
  <si>
    <t>IE00BYTH5487</t>
  </si>
  <si>
    <t>SPDR MSCI Europe Communication Services UCITS ETF</t>
  </si>
  <si>
    <t>IE00BKWQ0N82</t>
  </si>
  <si>
    <t>IE00BKWQ0C77</t>
  </si>
  <si>
    <t>SPDR MSCI Europe Consumer Staples UCITS ETF</t>
  </si>
  <si>
    <t>IE00BKWQ0D84</t>
  </si>
  <si>
    <t>SPDR MSCI Europe Energy UCITS ETF</t>
  </si>
  <si>
    <t>IE00BKWQ0F09</t>
  </si>
  <si>
    <t>SPDR MSCI Europe Financials UCITS ETF</t>
  </si>
  <si>
    <t>IE00BKWQ0G16</t>
  </si>
  <si>
    <t>SPDR MSCI Europe Health Care UCITS ETF</t>
  </si>
  <si>
    <t>IE00BKWQ0H23</t>
  </si>
  <si>
    <t>SPDR MSCI Europe Industrials UCITS ETF</t>
  </si>
  <si>
    <t>IE00BKWQ0J47</t>
  </si>
  <si>
    <t>SPDR MSCI Europe Materials UCITS ETF</t>
  </si>
  <si>
    <t>IE00BKWQ0L68</t>
  </si>
  <si>
    <t>SPDR MSCI Europe Small Cap UCITS ETF</t>
  </si>
  <si>
    <t>IE00BKWQ0M75</t>
  </si>
  <si>
    <t>SPDR MSCI Europe Technology UCITS ETF</t>
  </si>
  <si>
    <t>IE00BKWQ0K51</t>
  </si>
  <si>
    <t>SPDR MSCI Europe UCITS ETF</t>
  </si>
  <si>
    <t>IE00BKWQ0Q14</t>
  </si>
  <si>
    <t>SPDR MSCI Europe Utilities UCITS ETF</t>
  </si>
  <si>
    <t>IE00BKWQ0P07</t>
  </si>
  <si>
    <t>IE00BZ0G8C04</t>
  </si>
  <si>
    <t>IE00BYTH5719</t>
  </si>
  <si>
    <t>IE00BYTH5594</t>
  </si>
  <si>
    <t>SPDR MSCI World Energy UCITS ETF</t>
  </si>
  <si>
    <t>IE00BYTRR863</t>
  </si>
  <si>
    <t>SPDR MSCI World Financials UCITS ETF</t>
  </si>
  <si>
    <t>IE00BYTRR970</t>
  </si>
  <si>
    <t>SPDR MSCI World Health Care UCITS ETF</t>
  </si>
  <si>
    <t>IE00BYTRRB94</t>
  </si>
  <si>
    <t>SPDR MSCI World Technology UCITS ETF</t>
  </si>
  <si>
    <t>IE00BYTRRD19</t>
  </si>
  <si>
    <t>IE000BZ1HVL2</t>
  </si>
  <si>
    <t>IE00BFY0GT14</t>
  </si>
  <si>
    <t>IE00BDT6FP91</t>
  </si>
  <si>
    <t>IE00BNH72088</t>
  </si>
  <si>
    <t>IE00BJ38QD84</t>
  </si>
  <si>
    <t>IE00B4YBJ215</t>
  </si>
  <si>
    <t>IE00BH4GPZ28</t>
  </si>
  <si>
    <t>IE00B802KR88</t>
  </si>
  <si>
    <t>IE00B6YX5C33</t>
  </si>
  <si>
    <t>IE00BYYW2V44</t>
  </si>
  <si>
    <t>IE00B6YX5B26</t>
  </si>
  <si>
    <t>IE00B5M1WJ87</t>
  </si>
  <si>
    <t>IE00B9CQXS71</t>
  </si>
  <si>
    <t>IE00B9KNR336</t>
  </si>
  <si>
    <t>IE00BFWFPX50</t>
  </si>
  <si>
    <t>IE00BWBXM278</t>
  </si>
  <si>
    <t>IE00BWBXM385</t>
  </si>
  <si>
    <t>IE00B979GK47</t>
  </si>
  <si>
    <t>IE00BYTH5R14</t>
  </si>
  <si>
    <t>IE00B6YX5D40</t>
  </si>
  <si>
    <t>IE00BWBXM492</t>
  </si>
  <si>
    <t>IE00BWBXM500</t>
  </si>
  <si>
    <t>IE00BWBXM617</t>
  </si>
  <si>
    <t>IE00BWBXM724</t>
  </si>
  <si>
    <t>IE00BWBXM831</t>
  </si>
  <si>
    <t>IE00BWBXM948</t>
  </si>
  <si>
    <t>IE00BWBXMB69</t>
  </si>
  <si>
    <t>IE00BK5H8015</t>
  </si>
  <si>
    <t>IE000K6PPGX7</t>
  </si>
  <si>
    <t>IE0005YK6564</t>
  </si>
  <si>
    <t>IE000V6NHO66</t>
  </si>
  <si>
    <t>IE00BN4GXL63</t>
  </si>
  <si>
    <t>IE000DOZYQJ7</t>
  </si>
  <si>
    <t>IE00BKX90X67</t>
  </si>
  <si>
    <t>IE00BMFNW783</t>
  </si>
  <si>
    <t>XS2115336336</t>
  </si>
  <si>
    <t>IE00BDR5GT91</t>
  </si>
  <si>
    <t>IE00BDR5H073</t>
  </si>
  <si>
    <t>IE00BDR55471</t>
  </si>
  <si>
    <t>IE00BD4TY451</t>
  </si>
  <si>
    <t>IE00BWT3KS11</t>
  </si>
  <si>
    <t>IE00BD4TYG73</t>
  </si>
  <si>
    <t>IE00BDGV0746</t>
  </si>
  <si>
    <t>IE00BDGV0308</t>
  </si>
  <si>
    <t>IE00BD4TXS21</t>
  </si>
  <si>
    <t>IE00B77D4428</t>
  </si>
  <si>
    <t>IE00B78JSG98</t>
  </si>
  <si>
    <t>IE00BKSCC785</t>
  </si>
  <si>
    <t>IE00BKSCBX74</t>
  </si>
  <si>
    <t>IE00BLSN7W87</t>
  </si>
  <si>
    <t>IE00BLSN7P11</t>
  </si>
  <si>
    <t>IE00BHXMHQ65</t>
  </si>
  <si>
    <t>IE00BHXMHL11</t>
  </si>
  <si>
    <t>IE00B7K93397</t>
  </si>
  <si>
    <t>IE00BMP3HG27</t>
  </si>
  <si>
    <t>IE00BM9TV208</t>
  </si>
  <si>
    <t>LU0721552544</t>
  </si>
  <si>
    <t>LU0721552973</t>
  </si>
  <si>
    <t>LU1971906802</t>
  </si>
  <si>
    <t>LU1215454460</t>
  </si>
  <si>
    <t>LU2095995895</t>
  </si>
  <si>
    <t>LU1645386480</t>
  </si>
  <si>
    <t>LU1645385839</t>
  </si>
  <si>
    <t>LU1974696418</t>
  </si>
  <si>
    <t>LU1974695790</t>
  </si>
  <si>
    <t>LU1048313974</t>
  </si>
  <si>
    <t>LU1048313891</t>
  </si>
  <si>
    <t>LU1804202403</t>
  </si>
  <si>
    <t>LU0629460675</t>
  </si>
  <si>
    <t>LU0147308422</t>
  </si>
  <si>
    <t>LU2206597804</t>
  </si>
  <si>
    <t>LU2206598109</t>
  </si>
  <si>
    <t>LU1600334798</t>
  </si>
  <si>
    <t>LU1230561679</t>
  </si>
  <si>
    <t>LU1169822266</t>
  </si>
  <si>
    <t>LU0136240974</t>
  </si>
  <si>
    <t>LU0629460832</t>
  </si>
  <si>
    <t>LU1169821292</t>
  </si>
  <si>
    <t>LU0950674332</t>
  </si>
  <si>
    <t>LU0629459743</t>
  </si>
  <si>
    <t>LU2265794946</t>
  </si>
  <si>
    <t>LU2265794276</t>
  </si>
  <si>
    <t>LU1852211991</t>
  </si>
  <si>
    <t>LU1852211215</t>
  </si>
  <si>
    <t>LU2484583138</t>
  </si>
  <si>
    <t>LU2484583302</t>
  </si>
  <si>
    <t>LU1720938841</t>
  </si>
  <si>
    <t>LU0136234068</t>
  </si>
  <si>
    <t>LU0136242590</t>
  </si>
  <si>
    <t>LU1130155606</t>
  </si>
  <si>
    <t>LU0950674761</t>
  </si>
  <si>
    <t>LU0950668870</t>
  </si>
  <si>
    <t>LU2098180271</t>
  </si>
  <si>
    <t>LU2098179695</t>
  </si>
  <si>
    <t>LU1805389258</t>
  </si>
  <si>
    <t>LU2099992260</t>
  </si>
  <si>
    <t>LU2099991536</t>
  </si>
  <si>
    <t>LU1459803059</t>
  </si>
  <si>
    <t>LU1459802754</t>
  </si>
  <si>
    <t>LU1459801434</t>
  </si>
  <si>
    <t>LU1459801780</t>
  </si>
  <si>
    <t>LU2194286006</t>
  </si>
  <si>
    <t>LU1974693662</t>
  </si>
  <si>
    <t>LU1974694553</t>
  </si>
  <si>
    <t>LU0950672807</t>
  </si>
  <si>
    <t>LU0446734872</t>
  </si>
  <si>
    <t>LU1953188833</t>
  </si>
  <si>
    <t>LU0950674175</t>
  </si>
  <si>
    <t>LU0480132876</t>
  </si>
  <si>
    <t>LU0446734369</t>
  </si>
  <si>
    <t>LU0446734104</t>
  </si>
  <si>
    <t>LU0950671825</t>
  </si>
  <si>
    <t>LU0446734526</t>
  </si>
  <si>
    <t>LU1169830103</t>
  </si>
  <si>
    <t>LU0136234654</t>
  </si>
  <si>
    <t>LU0340285161</t>
  </si>
  <si>
    <t>LU0879397742</t>
  </si>
  <si>
    <t>LU0879399441</t>
  </si>
  <si>
    <t>LU2408467723</t>
  </si>
  <si>
    <t>LU2408468291</t>
  </si>
  <si>
    <t>LU1459800113</t>
  </si>
  <si>
    <t>LU1645381689</t>
  </si>
  <si>
    <t>LU1645380368</t>
  </si>
  <si>
    <t>LU1484799769</t>
  </si>
  <si>
    <t>LU1048314949</t>
  </si>
  <si>
    <t>LU1048315243</t>
  </si>
  <si>
    <t>LU0969639128</t>
  </si>
  <si>
    <t>LU1048316647</t>
  </si>
  <si>
    <t>LU1048317025</t>
  </si>
  <si>
    <t>LU1324510525</t>
  </si>
  <si>
    <t>LU1324516308</t>
  </si>
  <si>
    <t>LU1324516050</t>
  </si>
  <si>
    <t>LU1048314196</t>
  </si>
  <si>
    <t>LU1215461085</t>
  </si>
  <si>
    <t>LU1215461325</t>
  </si>
  <si>
    <t>LU1215452928</t>
  </si>
  <si>
    <t>LU1215451524</t>
  </si>
  <si>
    <t>LU1273488715</t>
  </si>
  <si>
    <t>LU0977261329</t>
  </si>
  <si>
    <t>LU0950670850</t>
  </si>
  <si>
    <t>LU1215461168</t>
  </si>
  <si>
    <t>LU0629460089</t>
  </si>
  <si>
    <t>LU1280303014</t>
  </si>
  <si>
    <t>IE000JQ2IJD3</t>
  </si>
  <si>
    <t>IE00BNC0M913</t>
  </si>
  <si>
    <t>IE00BNC0MD55</t>
  </si>
  <si>
    <t>IE00BNC0M350</t>
  </si>
  <si>
    <t>IE00BWT3KN65</t>
  </si>
  <si>
    <t>IE00BX7RRJ27</t>
  </si>
  <si>
    <t>IE00BWT3KJ20</t>
  </si>
  <si>
    <t>IE00BX7RQY03</t>
  </si>
  <si>
    <t>IE00BX7RR706</t>
  </si>
  <si>
    <t>IE00BN4Q0P93</t>
  </si>
  <si>
    <t>IE00BDQZMX67</t>
  </si>
  <si>
    <t>IE00BDR55927</t>
  </si>
  <si>
    <t>IE00BN4Q1675</t>
  </si>
  <si>
    <t>IE00BN4Q0L55</t>
  </si>
  <si>
    <t>IE00BN4Q0933</t>
  </si>
  <si>
    <t>IE00BN4Q0X77</t>
  </si>
  <si>
    <t>IE000JHYO4T6</t>
  </si>
  <si>
    <t>IE000BAF6X29</t>
  </si>
  <si>
    <t>IE000BKMMHF9</t>
  </si>
  <si>
    <t>IE00BN4Q0602</t>
  </si>
  <si>
    <t>IE00BJXT3G33</t>
  </si>
  <si>
    <t>IE00BJXT3C94</t>
  </si>
  <si>
    <t>IE00BK72HM96</t>
  </si>
  <si>
    <t>IE00BK72HJ67</t>
  </si>
  <si>
    <t>IE00BN4Q0370</t>
  </si>
  <si>
    <t>IE000S6476U8</t>
  </si>
  <si>
    <t>IE00BN4PXC48</t>
  </si>
  <si>
    <t>IE00B58HMN42</t>
  </si>
  <si>
    <t>IE00B53H0131</t>
  </si>
  <si>
    <t>IE00B7WK2W23</t>
  </si>
  <si>
    <t>IE00BYM11K57</t>
  </si>
  <si>
    <t>IE00BYM11H29</t>
  </si>
  <si>
    <t>IE00BKFB6K94</t>
  </si>
  <si>
    <t>IE00B3Z3FS74</t>
  </si>
  <si>
    <t>IE0005TF96I9</t>
  </si>
  <si>
    <t>IE0001J5A2T9</t>
  </si>
  <si>
    <t>IE00BMDKNW35</t>
  </si>
  <si>
    <t>IE000YYE6WK5</t>
  </si>
  <si>
    <t>IE00BF541080</t>
  </si>
  <si>
    <t>IE000B9PQW54</t>
  </si>
  <si>
    <t>VanEck Global Fallen Angel High Yield Bond UCITS ETF</t>
  </si>
  <si>
    <t>IE00BF540Z61</t>
  </si>
  <si>
    <t>IE00BDFBTQ78</t>
  </si>
  <si>
    <t>VanEck Global Real Estate UCITS ETF</t>
  </si>
  <si>
    <t>NL0009690239</t>
  </si>
  <si>
    <t>Netherlands</t>
  </si>
  <si>
    <t>IE00BQQP9F84</t>
  </si>
  <si>
    <t>IE00BMDH1538</t>
  </si>
  <si>
    <t>VanEck iBoxx EUR Corporates UCITS ETF</t>
  </si>
  <si>
    <t>NL0009690247</t>
  </si>
  <si>
    <t>NL0010273801</t>
  </si>
  <si>
    <t>NL0009690254</t>
  </si>
  <si>
    <t>IE00BDS67326</t>
  </si>
  <si>
    <t>IE00BQQP9G91</t>
  </si>
  <si>
    <t>IE00BL0BMZ89</t>
  </si>
  <si>
    <t>VanEck Morningstar US Sustainable Wide Moat UCITS ETF</t>
  </si>
  <si>
    <t>IE00BQQP9H09</t>
  </si>
  <si>
    <t>NL0011683594</t>
  </si>
  <si>
    <t>IE0000H445G8</t>
  </si>
  <si>
    <t>IE000NXF88S1</t>
  </si>
  <si>
    <t>IE0002PG6CA6</t>
  </si>
  <si>
    <t>IE00BMC38736</t>
  </si>
  <si>
    <t>IE000YU9K6K2</t>
  </si>
  <si>
    <t>IE0005B8WVT6</t>
  </si>
  <si>
    <t>VanEck Sustainable European Equal Weight UCITS ETF</t>
  </si>
  <si>
    <t>NL0010731816</t>
  </si>
  <si>
    <t>NL0010408704</t>
  </si>
  <si>
    <t>IE000M7V94E1</t>
  </si>
  <si>
    <t>NL0009272764</t>
  </si>
  <si>
    <t>IE00BYWQWR46</t>
  </si>
  <si>
    <t>NL0009272772</t>
  </si>
  <si>
    <t>NL0009272780</t>
  </si>
  <si>
    <t>IE000QUOSE01</t>
  </si>
  <si>
    <t>IE000NRGX9M3</t>
  </si>
  <si>
    <t>IE000GOJO2A3</t>
  </si>
  <si>
    <t>IE0008T6IUX0</t>
  </si>
  <si>
    <t>IE000KPJJWM6</t>
  </si>
  <si>
    <t>IE0001VXZTV7</t>
  </si>
  <si>
    <t>IE000QADMYA3</t>
  </si>
  <si>
    <t>IE000F37PGZ3</t>
  </si>
  <si>
    <t>IE00BNG8L278</t>
  </si>
  <si>
    <t>IE00BNG8L385</t>
  </si>
  <si>
    <t>IE00BNDS1P30</t>
  </si>
  <si>
    <t>IE00BNDS1Q47</t>
  </si>
  <si>
    <t>IE000O58J820</t>
  </si>
  <si>
    <t>IE000L2ZNB07</t>
  </si>
  <si>
    <t>IE000EKJRSZ3</t>
  </si>
  <si>
    <t>IE000JQV8511</t>
  </si>
  <si>
    <t>IE000RO1O3N4</t>
  </si>
  <si>
    <t>IE00BGYWT403</t>
  </si>
  <si>
    <t>IE00BZ163G84</t>
  </si>
  <si>
    <t>IE00BH04GL39</t>
  </si>
  <si>
    <t>IE00BZ163H91</t>
  </si>
  <si>
    <t>IE00B810Q511</t>
  </si>
  <si>
    <t>IE00BFMXVQ44</t>
  </si>
  <si>
    <t>IE00BK5BQT80</t>
  </si>
  <si>
    <t>IE00B3RBWM25</t>
  </si>
  <si>
    <t>IE00BK5BQX27</t>
  </si>
  <si>
    <t>IE00B945VV12</t>
  </si>
  <si>
    <t>IE00BK5BQV03</t>
  </si>
  <si>
    <t>IE00BKX55T58</t>
  </si>
  <si>
    <t>IE00B9F5YL18</t>
  </si>
  <si>
    <t>IE00BK5BQY34</t>
  </si>
  <si>
    <t>IE00BK5BR733</t>
  </si>
  <si>
    <t>IE00B3VVMM84</t>
  </si>
  <si>
    <t>IE00BFMXYY33</t>
  </si>
  <si>
    <t>IE00BFMXYX26</t>
  </si>
  <si>
    <t>IE00B95PGT31</t>
  </si>
  <si>
    <t>IE00BK5BQW10</t>
  </si>
  <si>
    <t>IE00BG47KH54</t>
  </si>
  <si>
    <t>IE00BMVB5K07</t>
  </si>
  <si>
    <t>IE00BMVB5L14</t>
  </si>
  <si>
    <t>IE00BMVB5M21</t>
  </si>
  <si>
    <t>IE00BMVB5N38</t>
  </si>
  <si>
    <t>IE00BMVB5P51</t>
  </si>
  <si>
    <t>IE00BMVB5Q68</t>
  </si>
  <si>
    <t>IE00BMVB5R75</t>
  </si>
  <si>
    <t>IE00BMVB5S82</t>
  </si>
  <si>
    <t>IE00BFMXXD54</t>
  </si>
  <si>
    <t>IE00B3XXRP09</t>
  </si>
  <si>
    <t>IE00BLRPPV00</t>
  </si>
  <si>
    <t>IE00BGYWSV06</t>
  </si>
  <si>
    <t>IE00BDD48R20</t>
  </si>
  <si>
    <t>IE00BGYWFL94</t>
  </si>
  <si>
    <t>IE00BGYWFK87</t>
  </si>
  <si>
    <t>IE00BZ163K21</t>
  </si>
  <si>
    <t>IE00BGYWCB81</t>
  </si>
  <si>
    <t>IE00BZ163L38</t>
  </si>
  <si>
    <t>IE00BGYWFS63</t>
  </si>
  <si>
    <t>IE00BZ163M45</t>
  </si>
  <si>
    <t>IE00BMX0B631</t>
  </si>
  <si>
    <t>IE00B8GKDB10</t>
  </si>
  <si>
    <t>JE00B2NFTL95</t>
  </si>
  <si>
    <t>GB00B15KYH63</t>
  </si>
  <si>
    <t>JE00B2NFT427</t>
  </si>
  <si>
    <t>WisdomTree Artificial Intelligence UCITS ETF USD Acc</t>
  </si>
  <si>
    <t>IE00BDVPNG13</t>
  </si>
  <si>
    <t>WisdomTree AT1 CoCo Bond UCITS ETF EUR Hedged</t>
  </si>
  <si>
    <t>IE00BFNNN236</t>
  </si>
  <si>
    <t>IE00BZ0XVF52</t>
  </si>
  <si>
    <t>XS2425842106</t>
  </si>
  <si>
    <t>WisdomTree Battery Solutions UCITS ETF USD Acc</t>
  </si>
  <si>
    <t>IE00BKLF1R75</t>
  </si>
  <si>
    <t>IE000O8KMPM1</t>
  </si>
  <si>
    <t>IE000940RNE6</t>
  </si>
  <si>
    <t>WisdomTree Bloomberg Brent Crude Oil</t>
  </si>
  <si>
    <t>IE00BVFZGD11</t>
  </si>
  <si>
    <t>WisdomTree Bloomberg WTI Crude Oil</t>
  </si>
  <si>
    <t>IE00BVFZGC04</t>
  </si>
  <si>
    <t>JE00B78CGV99</t>
  </si>
  <si>
    <t>IE00BLRPRK35</t>
  </si>
  <si>
    <t>GB00B15KY989</t>
  </si>
  <si>
    <t>IE00BKY4W127</t>
  </si>
  <si>
    <t>IE00BKS8QN04</t>
  </si>
  <si>
    <t>IE00BF4TW453</t>
  </si>
  <si>
    <t>JE00BNG8LN89</t>
  </si>
  <si>
    <t>JE00BP2PWW32</t>
  </si>
  <si>
    <t>WisdomTree Cloud Computing UCITS ETF USD Acc</t>
  </si>
  <si>
    <t>IE00BJGWQN72</t>
  </si>
  <si>
    <t>JE00B2NFV803</t>
  </si>
  <si>
    <t>JE00B2NFTD12</t>
  </si>
  <si>
    <t>GB00B15KXT11</t>
  </si>
  <si>
    <t>JE00BDD9Q840</t>
  </si>
  <si>
    <t>GB00B15KXQ89</t>
  </si>
  <si>
    <t>GB00B15KXN58</t>
  </si>
  <si>
    <t>GB00B15KY211</t>
  </si>
  <si>
    <t>GB00B15KY328</t>
  </si>
  <si>
    <t>GB00B15KXX56</t>
  </si>
  <si>
    <t>GB00B15KY435</t>
  </si>
  <si>
    <t>GB00B15KYC19</t>
  </si>
  <si>
    <t>JE00B2NFTF36</t>
  </si>
  <si>
    <t>JE00BN2CJ301</t>
  </si>
  <si>
    <t>JE00B2NFTG43</t>
  </si>
  <si>
    <t>WisdomTree Cybersecurity UCITS ETF USD Acc</t>
  </si>
  <si>
    <t>IE00BLPK3577</t>
  </si>
  <si>
    <t>JE00B24DKK82</t>
  </si>
  <si>
    <t>IE00B878KX55</t>
  </si>
  <si>
    <t>IE00B8GKPP93</t>
  </si>
  <si>
    <t>IE00BM9TSP27</t>
  </si>
  <si>
    <t>IE00BQQ3Q067</t>
  </si>
  <si>
    <t>IE00BDF12W49</t>
  </si>
  <si>
    <t>IE00BQZJBM26</t>
  </si>
  <si>
    <t>IE00BYTYHN28</t>
  </si>
  <si>
    <t>IE00BYTYHM11</t>
  </si>
  <si>
    <t>IE00BF4TWF63</t>
  </si>
  <si>
    <t>GB00B15KYB02</t>
  </si>
  <si>
    <t>XS2425848053</t>
  </si>
  <si>
    <t>IE00BG88WG77</t>
  </si>
  <si>
    <t>WisdomTree Enhanced Commodity UCITS ETF USD Acc</t>
  </si>
  <si>
    <t>IE00BYMLZY74</t>
  </si>
  <si>
    <t>IE00B7SD4R47</t>
  </si>
  <si>
    <t>IE00B8JF9153</t>
  </si>
  <si>
    <t>IE00BLS09N40</t>
  </si>
  <si>
    <t>WisdomTree Europe Equity Income UCITS ETF</t>
  </si>
  <si>
    <t>IE00BQZJBX31</t>
  </si>
  <si>
    <t>WisdomTree Europe Equity Income UCITS ETF Acc</t>
  </si>
  <si>
    <t>IE00BDF16007</t>
  </si>
  <si>
    <t>WisdomTree Europe Equity UCITS ETF EUR Acc</t>
  </si>
  <si>
    <t>IE00BYQCZX56</t>
  </si>
  <si>
    <t>IE00BVXBH163</t>
  </si>
  <si>
    <t>IE00BQZJC527</t>
  </si>
  <si>
    <t>IE00BDF16114</t>
  </si>
  <si>
    <t>IE00BZ56TQ67</t>
  </si>
  <si>
    <t>GB00B15KXW40</t>
  </si>
  <si>
    <t>IE000TB3YTV4</t>
  </si>
  <si>
    <t>IE0007M3MLF3</t>
  </si>
  <si>
    <t>IE00BZ56SW52</t>
  </si>
  <si>
    <t>IE00B8HGT870</t>
  </si>
  <si>
    <t>IE00B6X4BP29</t>
  </si>
  <si>
    <t>JE00B24DKC09</t>
  </si>
  <si>
    <t>GB00B15KYL00</t>
  </si>
  <si>
    <t>IE00BF4TWC33</t>
  </si>
  <si>
    <t>GB00B15KYG56</t>
  </si>
  <si>
    <t>WisdomTree Japan Equity UCITS ETF EUR Hedged Acc</t>
  </si>
  <si>
    <t>IE00BYQCZJ13</t>
  </si>
  <si>
    <t>IE00BYQCZN58</t>
  </si>
  <si>
    <t>WisdomTree Japan Equity UCITS ETF USD Hedged</t>
  </si>
  <si>
    <t>IE00BVXC4854</t>
  </si>
  <si>
    <t>IE00BLRPRL42</t>
  </si>
  <si>
    <t>IE00BLRPRJ20</t>
  </si>
  <si>
    <t>JE00B24DKH53</t>
  </si>
  <si>
    <t>JE00BDD9Q956</t>
  </si>
  <si>
    <t>IE000MO2MB07</t>
  </si>
  <si>
    <t>IE000X9TLGN8</t>
  </si>
  <si>
    <t>JE00B24DKJ77</t>
  </si>
  <si>
    <t>JE00BDD9QB77</t>
  </si>
  <si>
    <t>JE00B1VS3770</t>
  </si>
  <si>
    <t>JE00B1VS3002</t>
  </si>
  <si>
    <t>JE00B1VS2W53</t>
  </si>
  <si>
    <t>JE00B1VS3W29</t>
  </si>
  <si>
    <t>JE00B1VS3333</t>
  </si>
  <si>
    <t>JE00B588CD74</t>
  </si>
  <si>
    <t>JE00B2NFV134</t>
  </si>
  <si>
    <t>GB00B15KYF40</t>
  </si>
  <si>
    <t>IE000LG4J7E7</t>
  </si>
  <si>
    <t>IE000P3D0W60</t>
  </si>
  <si>
    <t>IE00B7Y34M31</t>
  </si>
  <si>
    <t>IE00B8K7KM88</t>
  </si>
  <si>
    <t>JE00B24DK975</t>
  </si>
  <si>
    <t>JE00B2NFTS64</t>
  </si>
  <si>
    <t>IE00B7XD2195</t>
  </si>
  <si>
    <t>IE00B8JG1787</t>
  </si>
  <si>
    <t>GB00B15KYJ87</t>
  </si>
  <si>
    <t>GB00B15KY542</t>
  </si>
  <si>
    <t>XS2427363895</t>
  </si>
  <si>
    <t>XS2427474023</t>
  </si>
  <si>
    <t>XS2427363036</t>
  </si>
  <si>
    <t>XS2437455608</t>
  </si>
  <si>
    <t>JE00B2NFTW01</t>
  </si>
  <si>
    <t>GB00B15KY658</t>
  </si>
  <si>
    <t>WisdomTree US Equity Income UCITS ETF</t>
  </si>
  <si>
    <t>IE00BQZJBQ63</t>
  </si>
  <si>
    <t>WisdomTree US Equity Income UCITS ETF Acc</t>
  </si>
  <si>
    <t>IE00BD6RZT93</t>
  </si>
  <si>
    <t>IE00BD6RZW23</t>
  </si>
  <si>
    <t>IE00BZ56RG20</t>
  </si>
  <si>
    <t>IE000CXVOXQ1</t>
  </si>
  <si>
    <t>IE00BKS8QT65</t>
  </si>
  <si>
    <t>IE00BJJYYX67</t>
  </si>
  <si>
    <t>JE00BDD9QC84</t>
  </si>
  <si>
    <t>GB00B15KXV33</t>
  </si>
  <si>
    <t>GB00B15KY872</t>
  </si>
  <si>
    <t>LU0429459356</t>
  </si>
  <si>
    <t>DE000A2UDH55</t>
  </si>
  <si>
    <t>IE00BGV5VN51</t>
  </si>
  <si>
    <t>LU0292106167</t>
  </si>
  <si>
    <t>LU0779800910</t>
  </si>
  <si>
    <t>Xtrackers DAX UCITS ETF 1C</t>
  </si>
  <si>
    <t>LU0274211480</t>
  </si>
  <si>
    <t>IE000TZT8TI0</t>
  </si>
  <si>
    <t>IE000Y6L6LE6</t>
  </si>
  <si>
    <t>IE0006GNB732</t>
  </si>
  <si>
    <t>IE00BD4DXB77</t>
  </si>
  <si>
    <t>IE00BD4DX952</t>
  </si>
  <si>
    <t>IE0006YM7D84</t>
  </si>
  <si>
    <t>Xtrackers EUR Corporate Green Bond UCITS ETF 1C</t>
  </si>
  <si>
    <t>IE000MCVFK47</t>
  </si>
  <si>
    <t>LU0292106753</t>
  </si>
  <si>
    <t>LU0380865021</t>
  </si>
  <si>
    <t>LU0274211217</t>
  </si>
  <si>
    <t>LU0292095535</t>
  </si>
  <si>
    <t>IE0001JH5CB4</t>
  </si>
  <si>
    <t>LU2504532487</t>
  </si>
  <si>
    <t>LU2504537445</t>
  </si>
  <si>
    <t>LU0292109856</t>
  </si>
  <si>
    <t>LU0489337690</t>
  </si>
  <si>
    <t>Xtrackers FTSE MIB UCITS ETF 1D</t>
  </si>
  <si>
    <t>LU0274212538</t>
  </si>
  <si>
    <t>Xtrackers FTSE Vietnam Swap UCITS ETF 1C</t>
  </si>
  <si>
    <t>LU0322252924</t>
  </si>
  <si>
    <t>Xtrackers Future Mobility UCITS ETF 1C</t>
  </si>
  <si>
    <t>IE00BGV5VR99</t>
  </si>
  <si>
    <t>LU0875160326</t>
  </si>
  <si>
    <t>Xtrackers Harvest MSCI China Tech 100 UCITS ETF 1C</t>
  </si>
  <si>
    <t>LU2376679564</t>
  </si>
  <si>
    <t>IE00BYPHT736</t>
  </si>
  <si>
    <t>DE000A2T0VU5</t>
  </si>
  <si>
    <t>DE000A2T5DZ1</t>
  </si>
  <si>
    <t>DE000A2UDH63</t>
  </si>
  <si>
    <t>DE000A2T0VS9</t>
  </si>
  <si>
    <t>LU0494592974</t>
  </si>
  <si>
    <t>LU2468423459</t>
  </si>
  <si>
    <t>LU0942970103</t>
  </si>
  <si>
    <t>LU0942970798</t>
  </si>
  <si>
    <t>LU2385068163</t>
  </si>
  <si>
    <t>LU2385068593</t>
  </si>
  <si>
    <t>LU0484968812</t>
  </si>
  <si>
    <t>Xtrackers II EUR Corporate Bond UCITS ETF 1C</t>
  </si>
  <si>
    <t>LU0478205379</t>
  </si>
  <si>
    <t>LU1109942653</t>
  </si>
  <si>
    <t>LU1109939865</t>
  </si>
  <si>
    <t>LU0290358497</t>
  </si>
  <si>
    <t>LU2178481649</t>
  </si>
  <si>
    <t>LU0290358224</t>
  </si>
  <si>
    <t>LU0290356871</t>
  </si>
  <si>
    <t>LU0290357507</t>
  </si>
  <si>
    <t>LU0290357846</t>
  </si>
  <si>
    <t>LU0290356954</t>
  </si>
  <si>
    <t>LU0290357176</t>
  </si>
  <si>
    <t>LU0290357259</t>
  </si>
  <si>
    <t>Xtrackers II Eurozone Government Bond UCITS ETF 1C</t>
  </si>
  <si>
    <t>LU0290355717</t>
  </si>
  <si>
    <t>LU0321464652</t>
  </si>
  <si>
    <t>LU0378818131</t>
  </si>
  <si>
    <t>LU0690964092</t>
  </si>
  <si>
    <t>LU0290357929</t>
  </si>
  <si>
    <t>LU0962078753</t>
  </si>
  <si>
    <t>LU0908508731</t>
  </si>
  <si>
    <t>LU0908508814</t>
  </si>
  <si>
    <t>LU1094612022</t>
  </si>
  <si>
    <t>LU0925589839</t>
  </si>
  <si>
    <t>LU0524480265</t>
  </si>
  <si>
    <t>LU0613540268</t>
  </si>
  <si>
    <t>LU0321462870</t>
  </si>
  <si>
    <t>LU2158769930</t>
  </si>
  <si>
    <t>LU0952581584</t>
  </si>
  <si>
    <t>LU1399300455</t>
  </si>
  <si>
    <t>LU0321462953</t>
  </si>
  <si>
    <t>LU0677077884</t>
  </si>
  <si>
    <t>LU0321465469</t>
  </si>
  <si>
    <t>IE000QVYFUT7</t>
  </si>
  <si>
    <t>IE00074JLU02</t>
  </si>
  <si>
    <t>LU0322250712</t>
  </si>
  <si>
    <t>LU0322252171</t>
  </si>
  <si>
    <t>IE000VXC51U5</t>
  </si>
  <si>
    <t>Xtrackers MSCI AC World ESG Screened UCITS ETF 1C</t>
  </si>
  <si>
    <t>IE00BGHQ0G80</t>
  </si>
  <si>
    <t>Xtrackers MSCI Brazil UCITS ETF 1C</t>
  </si>
  <si>
    <t>LU0292109344</t>
  </si>
  <si>
    <t>Xtrackers MSCI Canada ESG Screened UCITS ETF 1C</t>
  </si>
  <si>
    <t>LU0476289540</t>
  </si>
  <si>
    <t>LU2469465822</t>
  </si>
  <si>
    <t>Xtrackers MSCI China UCITS ETF 1C</t>
  </si>
  <si>
    <t>LU0514695690</t>
  </si>
  <si>
    <t>Xtrackers MSCI China UCITS ETF 1D</t>
  </si>
  <si>
    <t>LU2456436083</t>
  </si>
  <si>
    <t>LU0292107991</t>
  </si>
  <si>
    <t>IE00BM67HJ62</t>
  </si>
  <si>
    <t>LU0292109005</t>
  </si>
  <si>
    <t>Xtrackers MSCI Emerging Markets ESG UCITS ETF 1C</t>
  </si>
  <si>
    <t>IE00BG370F43</t>
  </si>
  <si>
    <t>Xtrackers MSCI Emerging Markets Swap UCITS ETF 1C</t>
  </si>
  <si>
    <t>LU0292107645</t>
  </si>
  <si>
    <t>Xtrackers MSCI Emerging Markets UCITS ETF 1C</t>
  </si>
  <si>
    <t>IE00BTJRMP35</t>
  </si>
  <si>
    <t>Xtrackers MSCI EMU ESG Screened UCITS ETF 1D</t>
  </si>
  <si>
    <t>IE00BDGN9Z19</t>
  </si>
  <si>
    <t>Xtrackers MSCI EMU ESG UCITS ETF 1C</t>
  </si>
  <si>
    <t>IE00BNC1G699</t>
  </si>
  <si>
    <t>Xtrackers MSCI EMU UCITS ETF 1D</t>
  </si>
  <si>
    <t>LU0846194776</t>
  </si>
  <si>
    <t>Xtrackers MSCI Europe ESG Screened UCITS ETF 1C</t>
  </si>
  <si>
    <t>LU0322253732</t>
  </si>
  <si>
    <t>Xtrackers MSCI Europe ESG UCITS ETF 1C</t>
  </si>
  <si>
    <t>IE00BFMNHK08</t>
  </si>
  <si>
    <t>Xtrackers MSCI Europe Small Cap UCITS ETF 1C</t>
  </si>
  <si>
    <t>LU0322253906</t>
  </si>
  <si>
    <t>Xtrackers MSCI Europe UCITS ETF 1C</t>
  </si>
  <si>
    <t>LU0274209237</t>
  </si>
  <si>
    <t>IE000YDOORK7</t>
  </si>
  <si>
    <t>IE000KD0BZ68</t>
  </si>
  <si>
    <t>IE000Y6ZXZ48</t>
  </si>
  <si>
    <t>IE00036F4K40</t>
  </si>
  <si>
    <t>IE0007WJ6B10</t>
  </si>
  <si>
    <t>IE000JZYIUN0</t>
  </si>
  <si>
    <t>IE0005E47AH7</t>
  </si>
  <si>
    <t>IE000V0GDVU7</t>
  </si>
  <si>
    <t>Xtrackers MSCI Global SDGs UCITS ETF 1C</t>
  </si>
  <si>
    <t>IE000PSF3A70</t>
  </si>
  <si>
    <t>Xtrackers MSCI Indonesia Swap UCITS ETF 1C</t>
  </si>
  <si>
    <t>LU0476289623</t>
  </si>
  <si>
    <t>IE0006FFX5U1</t>
  </si>
  <si>
    <t>Xtrackers MSCI Japan ESG Screened UCITS ETF 1D</t>
  </si>
  <si>
    <t>IE00BPVLQD13</t>
  </si>
  <si>
    <t>Xtrackers MSCI Japan ESG UCITS ETF 1C</t>
  </si>
  <si>
    <t>IE00BG36TC12</t>
  </si>
  <si>
    <t>Xtrackers MSCI Japan UCITS ETF 1C</t>
  </si>
  <si>
    <t>LU0274209740</t>
  </si>
  <si>
    <t>LU0659580079</t>
  </si>
  <si>
    <t>IE00BRB36B93</t>
  </si>
  <si>
    <t>Xtrackers MSCI Korea UCITS ETF 1C</t>
  </si>
  <si>
    <t>LU0292100046</t>
  </si>
  <si>
    <t>Xtrackers MSCI Mexico UCITS ETF 1C</t>
  </si>
  <si>
    <t>LU0476289466</t>
  </si>
  <si>
    <t>IE000XOQ9TK4</t>
  </si>
  <si>
    <t>LU0322252338</t>
  </si>
  <si>
    <t>Xtrackers MSCI USA ESG Screened UCITS ETF 1C</t>
  </si>
  <si>
    <t>IE00BJZ2DC62</t>
  </si>
  <si>
    <t>IE000TSML5I8</t>
  </si>
  <si>
    <t>Xtrackers MSCI USA ESG UCITS ETF 1C</t>
  </si>
  <si>
    <t>IE00BFMNPS42</t>
  </si>
  <si>
    <t>IE0000MMQ5M5</t>
  </si>
  <si>
    <t>IE00BGQYRS42</t>
  </si>
  <si>
    <t>Xtrackers MSCI USA Swap UCITS ETF 1C</t>
  </si>
  <si>
    <t>LU0274210672</t>
  </si>
  <si>
    <t>Xtrackers MSCI USA UCITS ETF 1C</t>
  </si>
  <si>
    <t>IE00BJ0KDR00</t>
  </si>
  <si>
    <t>IE00BG04M077</t>
  </si>
  <si>
    <t>IE00BM67HR47</t>
  </si>
  <si>
    <t>IE00BL25JN58</t>
  </si>
  <si>
    <t>Xtrackers MSCI World Consumer Staples UCITS ETF 1C</t>
  </si>
  <si>
    <t>IE00BM67HN09</t>
  </si>
  <si>
    <t>Xtrackers MSCI World Energy UCITS ETF 1C</t>
  </si>
  <si>
    <t>IE00BM67HM91</t>
  </si>
  <si>
    <t>Xtrackers MSCI World ESG Screened UCITS ETF 1D</t>
  </si>
  <si>
    <t>IE00BCHWNQ94</t>
  </si>
  <si>
    <t>Xtrackers MSCI World ESG UCITS ETF 1C</t>
  </si>
  <si>
    <t>IE00BZ02LR44</t>
  </si>
  <si>
    <t>IE00BMY76136</t>
  </si>
  <si>
    <t>Xtrackers MSCI World Financials UCITS ETF 1C</t>
  </si>
  <si>
    <t>IE00BM67HL84</t>
  </si>
  <si>
    <t>Xtrackers MSCI World Health Care UCITS ETF 1C</t>
  </si>
  <si>
    <t>IE00BM67HK77</t>
  </si>
  <si>
    <t>Xtrackers MSCI World Industrials UCITS ETF 1C</t>
  </si>
  <si>
    <t>IE00BM67HV82</t>
  </si>
  <si>
    <t>IE00BM67HT60</t>
  </si>
  <si>
    <t>Xtrackers MSCI World Materials UCITS ETF 1C</t>
  </si>
  <si>
    <t>IE00BM67HS53</t>
  </si>
  <si>
    <t>IE00BL25JP72</t>
  </si>
  <si>
    <t>IE00BL25JL35</t>
  </si>
  <si>
    <t>Xtrackers MSCI World Swap UCITS ETF 1C</t>
  </si>
  <si>
    <t>LU0274208692</t>
  </si>
  <si>
    <t>LU0659579733</t>
  </si>
  <si>
    <t>Xtrackers MSCI World UCITS ETF 1C</t>
  </si>
  <si>
    <t>IE00BJ0KDQ92</t>
  </si>
  <si>
    <t>Xtrackers MSCI World Utilities UCITS ETF 1C</t>
  </si>
  <si>
    <t>IE00BM67HQ30</t>
  </si>
  <si>
    <t>IE00BL25JM42</t>
  </si>
  <si>
    <t>IE00BM67HP23</t>
  </si>
  <si>
    <t>IE00BMFKG444</t>
  </si>
  <si>
    <t>Xtrackers Nifty 50 Swap UCITS ETF 1C</t>
  </si>
  <si>
    <t>LU0292109690</t>
  </si>
  <si>
    <t>LU0839027447</t>
  </si>
  <si>
    <t>DE000A1E0HR8</t>
  </si>
  <si>
    <t>DE000A1EK0G3</t>
  </si>
  <si>
    <t>DE000A1EK0H1</t>
  </si>
  <si>
    <t>DE000A1E0HS6</t>
  </si>
  <si>
    <t>DE000A1EK0J7</t>
  </si>
  <si>
    <t>Xtrackers Portfolio Income UCITS ETF 1D</t>
  </si>
  <si>
    <t>IE00B3Y8D011</t>
  </si>
  <si>
    <t>Xtrackers Portfolio UCITS ETF 1C</t>
  </si>
  <si>
    <t>LU0397221945</t>
  </si>
  <si>
    <t>Xtrackers Russell 2000 UCITS ETF 1C</t>
  </si>
  <si>
    <t>IE00BJZ2DD79</t>
  </si>
  <si>
    <t>LU0411078636</t>
  </si>
  <si>
    <t>LU0411078552</t>
  </si>
  <si>
    <t>IE000IDLWOL4</t>
  </si>
  <si>
    <t>Xtrackers S&amp;P 500 Equal Weight UCITS ETF 1C</t>
  </si>
  <si>
    <t>IE00BLNMYC90</t>
  </si>
  <si>
    <t>IE0002EI5AG0</t>
  </si>
  <si>
    <t>IE0007ULOZS8</t>
  </si>
  <si>
    <t>LU0322251520</t>
  </si>
  <si>
    <t>Xtrackers S&amp;P 500 Swap UCITS ETF 1C</t>
  </si>
  <si>
    <t>LU0490618542</t>
  </si>
  <si>
    <t>Xtrackers S&amp;P 500 Swap UCITS ETF 1D</t>
  </si>
  <si>
    <t>LU2009147757</t>
  </si>
  <si>
    <t>LU2196472984</t>
  </si>
  <si>
    <t>IE00BM67HW99</t>
  </si>
  <si>
    <t>Xtrackers S&amp;P 500 UCITS ETF 4C</t>
  </si>
  <si>
    <t>IE000Z9SJA06</t>
  </si>
  <si>
    <t>LU0328474803</t>
  </si>
  <si>
    <t>LU0322253229</t>
  </si>
  <si>
    <t>Xtrackers S&amp;P Select Frontier Swap UCITS ETF 1C</t>
  </si>
  <si>
    <t>LU0328476410</t>
  </si>
  <si>
    <t>IE0004MFRED4</t>
  </si>
  <si>
    <t>LU0292106241</t>
  </si>
  <si>
    <t>LU0328475792</t>
  </si>
  <si>
    <t>LU0292096186</t>
  </si>
  <si>
    <t>LU0274221281</t>
  </si>
  <si>
    <t>LU2504532131</t>
  </si>
  <si>
    <t>IE00BM97MR69</t>
  </si>
  <si>
    <t>IE0002ZM3JI1</t>
  </si>
  <si>
    <t>IE00BF8J5974</t>
  </si>
  <si>
    <t>IE00BL58LJ19</t>
  </si>
  <si>
    <t>IE00BZ036H21</t>
  </si>
  <si>
    <t>IE00BZ036J45</t>
  </si>
  <si>
    <t>IE0003W9O921</t>
  </si>
  <si>
    <t>IE00BDR5HM97</t>
  </si>
  <si>
    <t>IE000UZCJS58</t>
  </si>
  <si>
    <t>ETC Group Physical Bitcoin</t>
  </si>
  <si>
    <t>XETRA</t>
  </si>
  <si>
    <t>ETN</t>
  </si>
  <si>
    <t>21Shares Bitcoin ETP</t>
  </si>
  <si>
    <t>21Shares Ethereum Staking ETP</t>
  </si>
  <si>
    <t>ETC Group Physical Ethereum</t>
  </si>
  <si>
    <t>ALLOCAZIONE PORTAFOGLIO</t>
  </si>
  <si>
    <t>Tipologia Asset</t>
  </si>
  <si>
    <t>Valore attuale</t>
  </si>
  <si>
    <t>Peso %</t>
  </si>
  <si>
    <t>Variazione %</t>
  </si>
  <si>
    <t>Nome</t>
  </si>
  <si>
    <t>KEY</t>
  </si>
  <si>
    <t>DATA INIZIO</t>
  </si>
  <si>
    <t>DATA FINE</t>
  </si>
  <si>
    <t>SOLDI INVESTITI</t>
  </si>
  <si>
    <t>PORTAFOGLIO</t>
  </si>
  <si>
    <t>Soldi Investiti</t>
  </si>
  <si>
    <t>Prezzo Acquisto</t>
  </si>
  <si>
    <t>Prezzo Attuale</t>
  </si>
  <si>
    <t>IE000O5FBC47</t>
  </si>
  <si>
    <t>INFLAZIONE</t>
  </si>
  <si>
    <t>TASSA</t>
  </si>
  <si>
    <t>VALORE NOMINALE</t>
  </si>
  <si>
    <t>VALORE REALE</t>
  </si>
  <si>
    <t>- Inflazione
- Tasse</t>
  </si>
  <si>
    <t>Num Anni</t>
  </si>
  <si>
    <t>isin</t>
  </si>
  <si>
    <t>name</t>
  </si>
  <si>
    <t>inception_date</t>
  </si>
  <si>
    <t>age_in_days</t>
  </si>
  <si>
    <t>strategy</t>
  </si>
  <si>
    <t>currency</t>
  </si>
  <si>
    <t>securities_lending</t>
  </si>
  <si>
    <t>dividends</t>
  </si>
  <si>
    <t>ter</t>
  </si>
  <si>
    <t>replication</t>
  </si>
  <si>
    <t>is_sustainable</t>
  </si>
  <si>
    <t>number_of_holdings</t>
  </si>
  <si>
    <t>asset_class</t>
  </si>
  <si>
    <t>instrument</t>
  </si>
  <si>
    <t>region</t>
  </si>
  <si>
    <t>exchange</t>
  </si>
  <si>
    <t>Long-only</t>
  </si>
  <si>
    <t>USD</t>
  </si>
  <si>
    <t>Accumulating</t>
  </si>
  <si>
    <t>0.07</t>
  </si>
  <si>
    <t>Full replication</t>
  </si>
  <si>
    <t>0.7</t>
  </si>
  <si>
    <t>Equity</t>
  </si>
  <si>
    <t>ETF</t>
  </si>
  <si>
    <t>gettex, XETRA, London, Stuttgart, SIX Swiss Exchange, Borsa Italiana, Euronext Amsterdam</t>
  </si>
  <si>
    <t>0.2</t>
  </si>
  <si>
    <t>Optimized sampling</t>
  </si>
  <si>
    <t>0.65</t>
  </si>
  <si>
    <t>0.73</t>
  </si>
  <si>
    <t>World</t>
  </si>
  <si>
    <t>Vanguard S&amp;P 500 UCITS ETF (USD) Distributing</t>
  </si>
  <si>
    <t>Distributing</t>
  </si>
  <si>
    <t>1.3</t>
  </si>
  <si>
    <t>gettex, XETRA, London, Euronext Paris, Stuttgart, SIX Swiss Exchange, Borsa Italiana, Euronext Amsterdam</t>
  </si>
  <si>
    <t>Invesco S&amp;P 500 UCITS ETF</t>
  </si>
  <si>
    <t>0.05</t>
  </si>
  <si>
    <t>Swap based Unfunded</t>
  </si>
  <si>
    <t>0.72</t>
  </si>
  <si>
    <t>gettex, XETRA, London, SIX Swiss Exchange, Borsa Italiana, Euronext Amsterdam</t>
  </si>
  <si>
    <t>iShares Core MSCI Emerging Markets IMI UCITS ETF (Acc)</t>
  </si>
  <si>
    <t>0.18</t>
  </si>
  <si>
    <t>0.29</t>
  </si>
  <si>
    <t>Emerging Markets</t>
  </si>
  <si>
    <t>Invesco Physical Gold A</t>
  </si>
  <si>
    <t>0.12</t>
  </si>
  <si>
    <t>Physically backed</t>
  </si>
  <si>
    <t>0.25</t>
  </si>
  <si>
    <t>0.99</t>
  </si>
  <si>
    <t>Precious Metals</t>
  </si>
  <si>
    <t>ETC</t>
  </si>
  <si>
    <t>Vanguard S&amp;P 500 UCITS ETF (USD) Accumulating</t>
  </si>
  <si>
    <t>gettex, XETRA, London, Borsa Italiana</t>
  </si>
  <si>
    <t>IE00B4ND3602</t>
  </si>
  <si>
    <t>iShares Physical Gold ETC</t>
  </si>
  <si>
    <t>0.11</t>
  </si>
  <si>
    <t>gettex, XETRA, London, Stuttgart</t>
  </si>
  <si>
    <t>iShares Nasdaq 100 UCITS ETF (Acc)</t>
  </si>
  <si>
    <t>0.33</t>
  </si>
  <si>
    <t>0.51</t>
  </si>
  <si>
    <t>IE00B6R52259</t>
  </si>
  <si>
    <t>iShares MSCI ACWI UCITS ETF USD (Acc)</t>
  </si>
  <si>
    <t>0.61</t>
  </si>
  <si>
    <t>Vanguard FTSE All-World UCITS ETF (USD) Distributing</t>
  </si>
  <si>
    <t>0.22</t>
  </si>
  <si>
    <t>Vanguard FTSE All-World UCITS ETF (USD) Accumulating</t>
  </si>
  <si>
    <t>gettex, XETRA, London, Stuttgart, Borsa Italiana, Euronext Amsterdam</t>
  </si>
  <si>
    <t>DE000A0S9GB0</t>
  </si>
  <si>
    <t>Xetra-Gold</t>
  </si>
  <si>
    <t>EUR</t>
  </si>
  <si>
    <t>0.0</t>
  </si>
  <si>
    <t>0.38</t>
  </si>
  <si>
    <t>4.0</t>
  </si>
  <si>
    <t>0.88</t>
  </si>
  <si>
    <t>gettex, XETRA, Stuttgart</t>
  </si>
  <si>
    <t>iShares Core FTSE 100 UCITS ETF (Dist)</t>
  </si>
  <si>
    <t>GBP</t>
  </si>
  <si>
    <t>0.89</t>
  </si>
  <si>
    <t>0.58</t>
  </si>
  <si>
    <t>0.34</t>
  </si>
  <si>
    <t>0.19</t>
  </si>
  <si>
    <t>gettex, XETRA, London, Stuttgart, SIX Swiss Exchange, Borsa Italiana</t>
  </si>
  <si>
    <t>SPDR S&amp;P 500 UCITS ETF (Dist)</t>
  </si>
  <si>
    <t>0.03</t>
  </si>
  <si>
    <t>1.0</t>
  </si>
  <si>
    <t>gettex, XETRA, London, Euronext Paris, Stuttgart, SIX Swiss Exchange, Borsa Italiana</t>
  </si>
  <si>
    <t>IE00BGSF1X88</t>
  </si>
  <si>
    <t>iShares USD Treasury Bond 0-1yr UCITS ETF (Acc)</t>
  </si>
  <si>
    <t>Sampling</t>
  </si>
  <si>
    <t>0.42</t>
  </si>
  <si>
    <t>Bonds</t>
  </si>
  <si>
    <t>gettex, London, SIX Swiss Exchange</t>
  </si>
  <si>
    <t>Xtrackers II EUR Overnight Rate Swap UCITS ETF 1C</t>
  </si>
  <si>
    <t>0.1</t>
  </si>
  <si>
    <t>0.9</t>
  </si>
  <si>
    <t>0.15</t>
  </si>
  <si>
    <t>0.17</t>
  </si>
  <si>
    <t>0.16</t>
  </si>
  <si>
    <t>Money Market</t>
  </si>
  <si>
    <t>Europe</t>
  </si>
  <si>
    <t>gettex, XETRA, Stuttgart, SIX Swiss Exchange, Borsa Italiana</t>
  </si>
  <si>
    <t>0.49</t>
  </si>
  <si>
    <t>iShares Core EUR Corporate Bond UCITS ETF (Dist)</t>
  </si>
  <si>
    <t>JPMorgan US Research Enhanced Index Equity (ESG) UCITS ETF USD (acc)</t>
  </si>
  <si>
    <t>Long-only, Active</t>
  </si>
  <si>
    <t>0.8</t>
  </si>
  <si>
    <t>0.74</t>
  </si>
  <si>
    <t>IE00BHZPJ890</t>
  </si>
  <si>
    <t>iShares MSCI USA ESG Enhanced UCITS ETF USD (Dist)</t>
  </si>
  <si>
    <t>IE00B3WJKG14</t>
  </si>
  <si>
    <t>iShares S&amp;P 500 Information Technology Sector UCITS ETF USD (Acc)</t>
  </si>
  <si>
    <t>gettex, XETRA, London, Stuttgart, SIX Swiss Exchange</t>
  </si>
  <si>
    <t>SPDR MSCI World UCITS ETF</t>
  </si>
  <si>
    <t>0.66</t>
  </si>
  <si>
    <t>0.63</t>
  </si>
  <si>
    <t>Amundi Stoxx Europe 600 UCITS ETF Acc</t>
  </si>
  <si>
    <t>1.49</t>
  </si>
  <si>
    <t>0.28</t>
  </si>
  <si>
    <t>gettex, XETRA, London, Euronext Paris, Stuttgart, Borsa Italiana</t>
  </si>
  <si>
    <t>0.75</t>
  </si>
  <si>
    <t>IE00BFNM3G45</t>
  </si>
  <si>
    <t>iShares MSCI USA ESG Screened UCITS ETF USD (Acc)</t>
  </si>
  <si>
    <t>0.78</t>
  </si>
  <si>
    <t>Invesco EQQQ Nasdaq-100 UCITS ETF</t>
  </si>
  <si>
    <t>0.3</t>
  </si>
  <si>
    <t>1.69</t>
  </si>
  <si>
    <t>iShares Core MSCI Europe UCITS ETF EUR (Dist)</t>
  </si>
  <si>
    <t>0.45</t>
  </si>
  <si>
    <t>0.43</t>
  </si>
  <si>
    <t>Amundi MSCI World II UCITS ETF Dist</t>
  </si>
  <si>
    <t>1.9</t>
  </si>
  <si>
    <t>gettex, XETRA, SIX Swiss Exchange, Borsa Italiana</t>
  </si>
  <si>
    <t>DE0005933956</t>
  </si>
  <si>
    <t>iShares EURO STOXX 50 UCITS ETF (DE)</t>
  </si>
  <si>
    <t>0.09</t>
  </si>
  <si>
    <t>0.37</t>
  </si>
  <si>
    <t>0.41</t>
  </si>
  <si>
    <t>gettex, XETRA, Stuttgart, SIX Swiss Exchange</t>
  </si>
  <si>
    <t>iShares MSCI World UCITS ETF (Dist)</t>
  </si>
  <si>
    <t>0.5</t>
  </si>
  <si>
    <t>IE00BMTX1Y45</t>
  </si>
  <si>
    <t>iShares S&amp;P 500 Swap UCITS ETF USD (Acc)</t>
  </si>
  <si>
    <t>LU1135865084</t>
  </si>
  <si>
    <t>Amundi S&amp;P 500 II UCITS ETF Acc</t>
  </si>
  <si>
    <t>gettex, London, Euronext Paris, Stuttgart, SIX Swiss Exchange</t>
  </si>
  <si>
    <t>gettex, XETRA, London, Euronext Paris, SIX Swiss Exchange, Borsa Italiana</t>
  </si>
  <si>
    <t>SPDR Bloomberg SASB U.S. Corporate ESG UCITS ETF</t>
  </si>
  <si>
    <t>gettex, XETRA, London, SIX Swiss Exchange, Borsa Italiana</t>
  </si>
  <si>
    <t>iShares EUR High Yield Corporate Bond UCITS ETF EUR (Dist)</t>
  </si>
  <si>
    <t>iShares Core DAX UCITS ETF (DE)</t>
  </si>
  <si>
    <t>0.32</t>
  </si>
  <si>
    <t>0.35</t>
  </si>
  <si>
    <t>gettex, XETRA, Stuttgart, SIX Swiss Exchange, Borsa Italiana, Euronext Amsterdam</t>
  </si>
  <si>
    <t>Amundi MSCI World V UCITS ETF Acc</t>
  </si>
  <si>
    <t>0.59</t>
  </si>
  <si>
    <t>1.5</t>
  </si>
  <si>
    <t>IE000XZSV718</t>
  </si>
  <si>
    <t>SPDR S&amp;P 500 UCITS ETF (Acc)</t>
  </si>
  <si>
    <t>XETRA, London, SIX Swiss Exchange, Borsa Italiana, Euronext Amsterdam</t>
  </si>
  <si>
    <t>JPMorgan Global Research Enhanced Index Equity (ESG) UCITS ETF USD (acc)</t>
  </si>
  <si>
    <t>Invesco MSCI USA UCITS ETF</t>
  </si>
  <si>
    <t>iShares USD Treasury Bond 3-7yr UCITS ETF (Acc)</t>
  </si>
  <si>
    <t>0.23</t>
  </si>
  <si>
    <t>IE000KXCEXR3</t>
  </si>
  <si>
    <t>Amundi S&amp;P 500 ESG UCITS ETF UCITS ETF Acc</t>
  </si>
  <si>
    <t>XETRA, Euronext Paris, SIX Swiss Exchange, Borsa Italiana, Euronext Amsterdam</t>
  </si>
  <si>
    <t>iShares Core Euro Government Bond UCITS ETF (Dist)</t>
  </si>
  <si>
    <t>0.44</t>
  </si>
  <si>
    <t>Xtrackers IE Physical Gold ETC Securities</t>
  </si>
  <si>
    <t>0.08</t>
  </si>
  <si>
    <t>IE00BZCQB185</t>
  </si>
  <si>
    <t>iShares MSCI India UCITS ETF USD (Acc)</t>
  </si>
  <si>
    <t>0.52</t>
  </si>
  <si>
    <t>gettex, XETRA, London, Stuttgart, Euronext Amsterdam</t>
  </si>
  <si>
    <t>LU2572257124</t>
  </si>
  <si>
    <t>Amundi MSCI World III UCITS ETF Dist</t>
  </si>
  <si>
    <t>0.64</t>
  </si>
  <si>
    <t>0.69</t>
  </si>
  <si>
    <t>gettex, XETRA</t>
  </si>
  <si>
    <t>iShares Core MSCI Japan IMI UCITS ETF</t>
  </si>
  <si>
    <t>0.26</t>
  </si>
  <si>
    <t>0.54</t>
  </si>
  <si>
    <t>Vanguard FTSE All-World High Dividend Yield UCITS ETF Distributing</t>
  </si>
  <si>
    <t>0.46</t>
  </si>
  <si>
    <t>0.55</t>
  </si>
  <si>
    <t>Amundi Physical Gold ETC (C)</t>
  </si>
  <si>
    <t>gettex, XETRA, London, Euronext Paris, Borsa Italiana, Euronext Amsterdam</t>
  </si>
  <si>
    <t>WisdomTree Physical Gold</t>
  </si>
  <si>
    <t>0.39</t>
  </si>
  <si>
    <t>iShares USD Corporate Bond UCITS ETF (Dist)</t>
  </si>
  <si>
    <t>1.59</t>
  </si>
  <si>
    <t>DE000A0F5UF5</t>
  </si>
  <si>
    <t>iShares Nasdaq 100 UCITS ETF (DE)</t>
  </si>
  <si>
    <t>0.31</t>
  </si>
  <si>
    <t>Xtrackers MSCI World Information Technology UCITS ETF 1C</t>
  </si>
  <si>
    <t>UBS ETF (LU) MSCI World Socially Responsible UCITS ETF (USD) A-dis</t>
  </si>
  <si>
    <t>0.36</t>
  </si>
  <si>
    <t>iShares MSCI EM UCITS ETF (Dist)</t>
  </si>
  <si>
    <t>IE00BYXPSP02</t>
  </si>
  <si>
    <t>iShares USD Treasury Bond 1-3yr UCITS ETF (Acc)</t>
  </si>
  <si>
    <t>0.27</t>
  </si>
  <si>
    <t>IE00BYXYYP94</t>
  </si>
  <si>
    <t>iShares USD Short Duration Corporate Bond UCITS ETF (Acc)</t>
  </si>
  <si>
    <t>2.0</t>
  </si>
  <si>
    <t>Amundi Index Euro Corporate SRI UCITS ETF DR (C)</t>
  </si>
  <si>
    <t>0.14</t>
  </si>
  <si>
    <t>2.5</t>
  </si>
  <si>
    <t>gettex, XETRA, London, Euronext Paris, Borsa Italiana</t>
  </si>
  <si>
    <t>iShares J.P. Morgan USD Emerging Markets Bond UCITS ETF (Dist)</t>
  </si>
  <si>
    <t>Vanguard FTSE 100 UCITS ETF Distributing</t>
  </si>
  <si>
    <t>IE00BF4RFH31</t>
  </si>
  <si>
    <t>iShares MSCI World Small Cap UCITS ETF</t>
  </si>
  <si>
    <t>0.95</t>
  </si>
  <si>
    <t>iShares EUR Corporate Bond ESG UCITS ETF (Dist)</t>
  </si>
  <si>
    <t>0.21</t>
  </si>
  <si>
    <t>Amundi MSCI World UCITS ETF EUR (C)</t>
  </si>
  <si>
    <t>gettex, XETRA, Euronext Paris, Stuttgart, SIX Swiss Exchange, Borsa Italiana</t>
  </si>
  <si>
    <t>LU1681049018</t>
  </si>
  <si>
    <t>Amundi ETF S&amp;P 500 UCITS ETF USD</t>
  </si>
  <si>
    <t>gettex, London, Euronext Paris, SIX Swiss Exchange, Euronext Amsterdam</t>
  </si>
  <si>
    <t>iShares USD Treasury Bond 7-10yr UCITS ETF (Dist)</t>
  </si>
  <si>
    <t>0.48</t>
  </si>
  <si>
    <t>SPDR S&amp;P 500 ESG Leaders UCITS ETF (Acc)</t>
  </si>
  <si>
    <t>iShares Edge MSCI World Quality Factor UCITS ETF (Acc)</t>
  </si>
  <si>
    <t>iShares MSCI World ESG Enhanced UCITS ETF USD (Acc)</t>
  </si>
  <si>
    <t>SPDR Russell 2000 US Small Cap UCITS ETF</t>
  </si>
  <si>
    <t>IE000Y77LGG9</t>
  </si>
  <si>
    <t>Amundi MSCI World SRI Climate Net Zero Ambition PAB UCITS ETF UCITS ETF Acc</t>
  </si>
  <si>
    <t>XETRA, Euronext Paris, Borsa Italiana, Euronext Amsterdam</t>
  </si>
  <si>
    <t>Xtrackers EURO STOXX 50 UCITS ETF 1C</t>
  </si>
  <si>
    <t>IE00BYXYYM63</t>
  </si>
  <si>
    <t>iShares US Aggregate Bond UCITS ETF (Acc)</t>
  </si>
  <si>
    <t>0.04</t>
  </si>
  <si>
    <t>IE00BHZPJ676</t>
  </si>
  <si>
    <t>iShares MSCI Europe ESG Enhanced UCITS ETF EUR (Dist)</t>
  </si>
  <si>
    <t>UBS ETF (IE) S&amp;P 500 ESG UCITS ETF USD A-Acc</t>
  </si>
  <si>
    <t>Xtrackers Artificial Intelligence &amp; Big Data UCITS ETF 1C</t>
  </si>
  <si>
    <t>iShares Core EURO STOXX 50 UCITS ETF EUR (Dist)</t>
  </si>
  <si>
    <t>1.2</t>
  </si>
  <si>
    <t>IE00BZ043R46</t>
  </si>
  <si>
    <t>iShares Core Global Aggregate Bond UCITS ETF USD Hedged (Acc)</t>
  </si>
  <si>
    <t>IE00BYXYYJ35</t>
  </si>
  <si>
    <t>iShares USD Corporate Bond UCITS ETF (Acc)</t>
  </si>
  <si>
    <t>SPDR S&amp;P 400 US Mid Cap UCITS ETF</t>
  </si>
  <si>
    <t>iShares EUR Corporate Bond 1-5yr UCITS ETF EUR (Dist)</t>
  </si>
  <si>
    <t>0.98</t>
  </si>
  <si>
    <t>SPDR S&amp;P US Dividend Aristocrats UCITS ETF</t>
  </si>
  <si>
    <t>IE00B3VWN518</t>
  </si>
  <si>
    <t>iShares USD Treasury Bond 7-10yr UCITS ETF (Acc)</t>
  </si>
  <si>
    <t>XETRA, London, SIX Swiss Exchange</t>
  </si>
  <si>
    <t>Xtrackers EURO STOXX 50 UCITS ETF 1D</t>
  </si>
  <si>
    <t>iShares Edge MSCI World Value Factor UCITS ETF</t>
  </si>
  <si>
    <t>FR0011550177</t>
  </si>
  <si>
    <t>BNP Paribas Easy S&amp;P 500 UCITS ETF USD</t>
  </si>
  <si>
    <t>XETRA, London, Euronext Paris, SIX Swiss Exchange</t>
  </si>
  <si>
    <t>iShares MSCI Europe SRI UCITS ETF (Acc)</t>
  </si>
  <si>
    <t>0.06</t>
  </si>
  <si>
    <t>0.13</t>
  </si>
  <si>
    <t>1.25</t>
  </si>
  <si>
    <t>0.24</t>
  </si>
  <si>
    <t>iShares MSCI World ESG Screened UCITS ETF USD (Acc)</t>
  </si>
  <si>
    <t>SPDR MSCI ACWI UCITS ETF</t>
  </si>
  <si>
    <t>IE00BK1PV551</t>
  </si>
  <si>
    <t>Xtrackers MSCI World UCITS ETF 1D</t>
  </si>
  <si>
    <t>1.95</t>
  </si>
  <si>
    <t>Amundi Nasdaq-100 II UCITS ETF Acc</t>
  </si>
  <si>
    <t>0.53</t>
  </si>
  <si>
    <t>0.86</t>
  </si>
  <si>
    <t>iShares Core UK Gilts UCITS ETF</t>
  </si>
  <si>
    <t>gettex, London, SIX Swiss Exchange, Borsa Italiana</t>
  </si>
  <si>
    <t>iShares MSCI EM UCITS ETF (Acc)</t>
  </si>
  <si>
    <t>Amundi MSCI Japan UCITS ETF Acc</t>
  </si>
  <si>
    <t>JPY</t>
  </si>
  <si>
    <t>Vanguard FTSE Developed World UCITS ETF Acc</t>
  </si>
  <si>
    <t>IE00BFNM3P36</t>
  </si>
  <si>
    <t>iShares MSCI EM IMI ESG Screened UCITS ETF USD (Acc)</t>
  </si>
  <si>
    <t>DE000ETFL508</t>
  </si>
  <si>
    <t>Deka MSCI World UCITS ETF Distribution</t>
  </si>
  <si>
    <t>0.68</t>
  </si>
  <si>
    <t>Vanguard FTSE Developed World UCITS ETF Distributing</t>
  </si>
  <si>
    <t>IE00063GNWK1</t>
  </si>
  <si>
    <t>UBS ETF (IE) MSCI USA ESG Leaders UCITS ETF (USA) A-acc</t>
  </si>
  <si>
    <t>XETRA, SIX Swiss Exchange, Borsa Italiana</t>
  </si>
  <si>
    <t>FR0007052782</t>
  </si>
  <si>
    <t>Amundi CAC 40 UCITS ETF Dist</t>
  </si>
  <si>
    <t>gettex, London, Euronext Paris</t>
  </si>
  <si>
    <t>Amundi Euro Government tilted Green Bond UCITS ETF Acc</t>
  </si>
  <si>
    <t>BNP Paribas Easy S&amp;P 500 UCITS ETF EUR</t>
  </si>
  <si>
    <t>LU1437017350</t>
  </si>
  <si>
    <t>Amundi Index MSCI Emerging Markets UCITS ETF DR (C)</t>
  </si>
  <si>
    <t>gettex, London, Euronext Paris, SIX Swiss Exchange, Borsa Italiana, Euronext Amsterdam</t>
  </si>
  <si>
    <t>iShares USD High Yield Corporate Bond UCITS ETF USD (Dist)</t>
  </si>
  <si>
    <t>0.4</t>
  </si>
  <si>
    <t>iShares Automation &amp; Robotics UCITS ETF</t>
  </si>
  <si>
    <t>PIMCO US Dollar Short Maturity UCITS ETF Dist</t>
  </si>
  <si>
    <t>iShares MSCI EM SRI UCITS ETF</t>
  </si>
  <si>
    <t>WisdomTree Physical Swiss Gold</t>
  </si>
  <si>
    <t>Vanguard FTSE Developed Europe UCITS ETF Distributing</t>
  </si>
  <si>
    <t>iShares MSCI EM Asia UCITS ETF (Acc)</t>
  </si>
  <si>
    <t>Asia &amp; Pacific</t>
  </si>
  <si>
    <t>iShares EUR Ultrashort Bond UCITS ETF EUR (Dist)</t>
  </si>
  <si>
    <t>LU0496786657</t>
  </si>
  <si>
    <t>Amundi S&amp;P 500 II UCITS ETF USD Dist</t>
  </si>
  <si>
    <t>gettex, XETRA, London, SIX Swiss Exchange</t>
  </si>
  <si>
    <t>Gold Bullion Securities</t>
  </si>
  <si>
    <t>Amundi S&amp;P 500 II UCITS ETF EUR Dist</t>
  </si>
  <si>
    <t>gettex, XETRA, Euronext Paris, Stuttgart, Borsa Italiana</t>
  </si>
  <si>
    <t>IE000OULL4R4</t>
  </si>
  <si>
    <t>UBS ETF (IE) MSCI USA NSL UCITS ETF (USA) A-acc</t>
  </si>
  <si>
    <t>IE0006IP4XZ8</t>
  </si>
  <si>
    <t>Amundi MSCI USA ESG Climate Net Zero Ambition CTB UCITS ETF UCITS ETF Acc</t>
  </si>
  <si>
    <t>XETRA, Euronext Paris, SIX Swiss Exchange</t>
  </si>
  <si>
    <t>Invesco MSCI USA ESG Universal Screened UCITS ETF Acc</t>
  </si>
  <si>
    <t>0.6</t>
  </si>
  <si>
    <t>IE00BFNM3D14</t>
  </si>
  <si>
    <t>iShares MSCI Europe ESG Screened UCITS ETF EUR (Acc)</t>
  </si>
  <si>
    <t>UBS ETF (LU) MSCI Emerging Markets UCITS ETF (USD) A-acc</t>
  </si>
  <si>
    <t>SIX Swiss Exchange, Borsa Italiana</t>
  </si>
  <si>
    <t>IE00BF11F565</t>
  </si>
  <si>
    <t>iShares Core EUR Corporate Bond UCITS ETF (Acc)</t>
  </si>
  <si>
    <t>IE00BQT3WG13</t>
  </si>
  <si>
    <t>iShares MSCI China A UCITS ETF</t>
  </si>
  <si>
    <t>gettex, XETRA, London, Stuttgart, SIX Swiss Exchange, Euronext Amsterdam</t>
  </si>
  <si>
    <t>iShares Edge MSCI World Minimum Volatility UCITS ETF USD (Acc)</t>
  </si>
  <si>
    <t>0.47</t>
  </si>
  <si>
    <t>Amundi EURO STOXX 50 II UCITS ETF Acc</t>
  </si>
  <si>
    <t>IE000MLMNYS0</t>
  </si>
  <si>
    <t>iShares S&amp;P 500 Equal Weight UCITS ETF USD (Acc)</t>
  </si>
  <si>
    <t>gettex, London, SIX Swiss Exchange, Borsa Italiana, Euronext Amsterdam</t>
  </si>
  <si>
    <t>iShares J.P. Morgan EM Local Government Bond UCITS ETF</t>
  </si>
  <si>
    <t>Xtrackers STOXX Europe 600 UCITS ETF 1C</t>
  </si>
  <si>
    <t>gettex, XETRA, London, Stuttgart, Borsa Italiana</t>
  </si>
  <si>
    <t>Invesco EQQQ Nasdaq-100 UCITS ETF Acc</t>
  </si>
  <si>
    <t>iShares Core MSCI Pacific ex Japan UCITS ETF (Acc)</t>
  </si>
  <si>
    <t>IE00B53HP851</t>
  </si>
  <si>
    <t>iShares Core FTSE 100 UCITS ETF GBP (Acc)</t>
  </si>
  <si>
    <t>IE00B2QWCY14</t>
  </si>
  <si>
    <t>iShares S&amp;P SmallCap 600 UCITS ETF</t>
  </si>
  <si>
    <t>iShares EUR Corporate Bond 0-3yr ESG UCITS ETF EUR (Dist)</t>
  </si>
  <si>
    <t>iShares USD Treasury Bond 1-3yr UCITS ETF (Dist)</t>
  </si>
  <si>
    <t>Invesco Bloomberg Commodity UCITS ETF Acc</t>
  </si>
  <si>
    <t>Commodities</t>
  </si>
  <si>
    <t>London, Borsa Italiana</t>
  </si>
  <si>
    <t>DE000A0F5UH1</t>
  </si>
  <si>
    <t>iShares STOXX Global Select Dividend 100 UCITS ETF (DE)</t>
  </si>
  <si>
    <t>iShares EUR High Yield Corporate Bond ESG UCITS ETF EUR (Acc)</t>
  </si>
  <si>
    <t>gettex, XETRA, SIX Swiss Exchange, Borsa Italiana, Euronext Amsterdam</t>
  </si>
  <si>
    <t>Amundi S&amp;P 500 UCITS ETF EUR (C)</t>
  </si>
  <si>
    <t>IE000UZTA1X0</t>
  </si>
  <si>
    <t>Amundi S&amp;P 500 Climate Net Zero Ambition PAB UCITS ETF UCITS ETF Dist</t>
  </si>
  <si>
    <t>UBS ETF (LU) MSCI Japan UCITS ETF (JPY) A-acc</t>
  </si>
  <si>
    <t>DE000A0Q4R85</t>
  </si>
  <si>
    <t>iShares MSCI Brazil UCITS ETF (DE) USD (Acc)</t>
  </si>
  <si>
    <t>XETRA, SIX Swiss Exchange</t>
  </si>
  <si>
    <t>IE00BFM6TC58</t>
  </si>
  <si>
    <t>iShares USD Treasury Bond 20+yr UCITS ETF USD (Acc)</t>
  </si>
  <si>
    <t>gettex, London</t>
  </si>
  <si>
    <t>Xtrackers II EUR Corporate Bond SRI PAB UCITS ETF 1D</t>
  </si>
  <si>
    <t>IE00BKX55Q28</t>
  </si>
  <si>
    <t>Vanguard FTSE 250 UCITS ETF Distributing</t>
  </si>
  <si>
    <t>Vanguard USD Corporate Bond UCITS ETF Accumulating</t>
  </si>
  <si>
    <t>IE00BKX55R35</t>
  </si>
  <si>
    <t>Vanguard FTSE North America UCITS ETF Distributing</t>
  </si>
  <si>
    <t>North America</t>
  </si>
  <si>
    <t>gettex, XETRA, London, Euronext Paris, Stuttgart, SIX Swiss Exchange, Euronext Amsterdam</t>
  </si>
  <si>
    <t>IE000QQ8Z0D8</t>
  </si>
  <si>
    <t>Amundi MSCI USA ESG Climate Net Zero Ambition CTB UCITS ETF UCITS ETF Dist</t>
  </si>
  <si>
    <t>XETRA, Euronext Paris, Borsa Italiana</t>
  </si>
  <si>
    <t>VanEck Semiconductor UCITS ETF</t>
  </si>
  <si>
    <t>IE00B43HR379</t>
  </si>
  <si>
    <t>iShares S&amp;P 500 Health Care Sector UCITS ETF (Acc)</t>
  </si>
  <si>
    <t>LU1079841513</t>
  </si>
  <si>
    <t>Ossiam Shiller Barclays CAPEÂ® US Sector Value TR UCITS ETF 1C (USD)</t>
  </si>
  <si>
    <t>Swap based</t>
  </si>
  <si>
    <t>Amundi MSCI Emerging Markets UCITS ETF EUR (C)</t>
  </si>
  <si>
    <t>iShares USD TIPS UCITS ETF USD (Acc)</t>
  </si>
  <si>
    <t>Lyxor Smart Overnight Return UCITS ETF C-EUR</t>
  </si>
  <si>
    <t>gettex, XETRA, Euronext Paris, Borsa Italiana</t>
  </si>
  <si>
    <t>iShares Euro Corporate Bond Large Cap UCITS ETF</t>
  </si>
  <si>
    <t>L&amp;G Cyber Security UCITS ETF</t>
  </si>
  <si>
    <t>DE0006289382</t>
  </si>
  <si>
    <t>iShares Dow Jones Global Titans 50 UCITS ETF (DE)</t>
  </si>
  <si>
    <t>iShares Edge MSCI World Momentum Factor UCITS ETF (Acc)</t>
  </si>
  <si>
    <t>Vanguard FTSE Emerging Markets UCITS ETF Distributing</t>
  </si>
  <si>
    <t>Vanguard EUR Eurozone Government Bond UCITS ETF Accumulating</t>
  </si>
  <si>
    <t>Amundi MSCI Emerging Markets II UCITS ETF Dist</t>
  </si>
  <si>
    <t>IE00B00FV011</t>
  </si>
  <si>
    <t>iShares Core GBP Corporate Bond UCITS ETF</t>
  </si>
  <si>
    <t>Amundi EURO STOXX 50 UCITS ETF EUR (C)</t>
  </si>
  <si>
    <t>iShares Global Water UCITS ETF</t>
  </si>
  <si>
    <t>IE000BI8OT95</t>
  </si>
  <si>
    <t>Amundi MSCI World UCITS ETF UCITS ETF Acc</t>
  </si>
  <si>
    <t>Amundi MSCI World Information Technology UCITS ETF EUR Acc</t>
  </si>
  <si>
    <t>Amundi Index MSCI Europe SRI PAB UCITS ETF DR (C)</t>
  </si>
  <si>
    <t>IE00BKX55S42</t>
  </si>
  <si>
    <t>Vanguard FTSE Developed Europe ex UK UCITS ETF Distributing</t>
  </si>
  <si>
    <t>gettex, XETRA, London, Euronext Paris, Stuttgart, Euronext Amsterdam</t>
  </si>
  <si>
    <t>SPDR MSCI ACWI IMI UCITS ETF USD Unhedged (Acc)</t>
  </si>
  <si>
    <t>IE00BD1F4L37</t>
  </si>
  <si>
    <t>iShares Edge MSCI USA Quality Factor UCITS ETF</t>
  </si>
  <si>
    <t>Vanguard FTSE Japan UCITS ETF Distributing</t>
  </si>
  <si>
    <t>UBS ETF (IE) MSCI USA UCITS ETF (USD) A-acc</t>
  </si>
  <si>
    <t>LU2263803533</t>
  </si>
  <si>
    <t>Xtrackers MSCI World Swap UCITS ETF 1D</t>
  </si>
  <si>
    <t>gettex, XETRA, London</t>
  </si>
  <si>
    <t>Vanguard EUR Corporate Bond UCITS ETF Distributing</t>
  </si>
  <si>
    <t>iShares MSCI USA Small Cap ESG Enhanced UCITS ETF (Acc)</t>
  </si>
  <si>
    <t>iShares Euro Government Bond 3-5yr UCITS ETF</t>
  </si>
  <si>
    <t>Amundi Index ETF MSCI Europe UCITS ETF DR (C)</t>
  </si>
  <si>
    <t>gettex, London, Euronext Paris, Borsa Italiana, Euronext Amsterdam</t>
  </si>
  <si>
    <t>Amundi MSCI World ESG Leaders UCITS ETF Acc</t>
  </si>
  <si>
    <t>IE00BDFGJ627</t>
  </si>
  <si>
    <t>iShares USD Floating Rate Bond UCITS ETF USD (Acc)</t>
  </si>
  <si>
    <t>IE000LAP5Z18</t>
  </si>
  <si>
    <t>Amundi S&amp;P 500 Equal Weight ESG Leaders UCITS ETF UCITS ETF DR - USD (A)</t>
  </si>
  <si>
    <t>gettex, XETRA, SIX Swiss Exchange</t>
  </si>
  <si>
    <t>Xtrackers MSCI World Quality Factor UCITS ETF 1C</t>
  </si>
  <si>
    <t>Xtrackers S&amp;P 500 Equal Weight ESG UCITS ETF 1C</t>
  </si>
  <si>
    <t>iShares J.P. Morgan USD EM Bond EUR Hedged UCITS ETF (Dist)</t>
  </si>
  <si>
    <t>IE00BG47K971</t>
  </si>
  <si>
    <t>Vanguard Global Aggregate Bond UCITS ETF GBP Hedged Accumulating</t>
  </si>
  <si>
    <t>London</t>
  </si>
  <si>
    <t>iShares Euro Government Bond 1-3yr UCITS ETF (Dist)</t>
  </si>
  <si>
    <t>1.38</t>
  </si>
  <si>
    <t>Amundi EUR Overnight Return UCITS ETF Acc</t>
  </si>
  <si>
    <t>IE0009HF1MK9</t>
  </si>
  <si>
    <t>Amundi Prime All Country World UCITS ETF UCITS ETF Dist</t>
  </si>
  <si>
    <t>Amundi S&amp;P 500 Climate Net Zero Ambition PAB UCITS ETF UCITS ETF Acc</t>
  </si>
  <si>
    <t>XETRA, Euronext Paris, SIX Swiss Exchange, Borsa Italiana</t>
  </si>
  <si>
    <t>iShares Core Global Aggregate Bond UCITS ETF EUR Hedged (Acc)</t>
  </si>
  <si>
    <t>Amundi S&amp;P Eurozone PAB Net Zero Ambition UCITS ETF Acc</t>
  </si>
  <si>
    <t>PIMCO Euro Short Maturity UCITS ETF Dist</t>
  </si>
  <si>
    <t>IE00BDFK1573</t>
  </si>
  <si>
    <t>iShares USD Treasury Bond 1-3yr UCITS ETF EUR Hedged (Acc)</t>
  </si>
  <si>
    <t>IE00BD1F4M44</t>
  </si>
  <si>
    <t>iShares Edge MSCI USA Value Factor UCITS ETF</t>
  </si>
  <si>
    <t>Amundi Index Euro Corporate SRI 0-3 Y UCITS ETF DR (C)</t>
  </si>
  <si>
    <t>IE00BYXYYL56</t>
  </si>
  <si>
    <t>iShares USD High Yield Corporate Bond UCITS ETF USD (Acc)</t>
  </si>
  <si>
    <t>UBS ETF (LU) MSCI EMU UCITS ETF (EUR) A-acc</t>
  </si>
  <si>
    <t>Fidelity Sustainable Research Enhanced Emerging Markets Equity UCITS ETF Acc</t>
  </si>
  <si>
    <t>iShares EUR Government Bond Climate UCITS ETF EUR (Acc)</t>
  </si>
  <si>
    <t>IE00BYM11J43</t>
  </si>
  <si>
    <t>UBS ETF (IE) MSCI ACWI SF UCITS ETF (hedged to USD) A-acc</t>
  </si>
  <si>
    <t>SIX Swiss Exchange</t>
  </si>
  <si>
    <t>Xtrackers MSCI World Value Factor UCITS ETF 1C</t>
  </si>
  <si>
    <t>IE00B5L65R35</t>
  </si>
  <si>
    <t>iShares GBP Corporate Bond 0-5yr UCITS ETF</t>
  </si>
  <si>
    <t>London, SIX Swiss Exchange</t>
  </si>
  <si>
    <t>iShares EUR Aggregate Bond ESG UCITS ETF EUR (Dist)</t>
  </si>
  <si>
    <t>BNP Paribas Easy JPM ESG EMU Government Bond IG 3-5Y UCITS ETF</t>
  </si>
  <si>
    <t>gettex, XETRA, Euronext Paris, SIX Swiss Exchange, Borsa Italiana</t>
  </si>
  <si>
    <t>DE000EWG2LD7</t>
  </si>
  <si>
    <t>EUWAX Gold II</t>
  </si>
  <si>
    <t>gettex, Stuttgart</t>
  </si>
  <si>
    <t>JPMorgan Europe Research Enhanced Index Equity (ESG) UCITS ETF EUR (acc)</t>
  </si>
  <si>
    <t>WisdomTree Physical Silver</t>
  </si>
  <si>
    <t>BNP Paribas Easy JPM ESG EMU Government Bond IG UCITS ETF</t>
  </si>
  <si>
    <t>LU2581375073</t>
  </si>
  <si>
    <t>Xtrackers MSCI USA Swap UCITS ETF 1D</t>
  </si>
  <si>
    <t>IE00BDZZTM54</t>
  </si>
  <si>
    <t>iShares MSCI World SRI UCITS ETF USD (Dist)</t>
  </si>
  <si>
    <t>BNP Paribas Easy EUR Corporate Bond SRI PAB 1-3Y UCITS ETF</t>
  </si>
  <si>
    <t>Xtrackers MSCI USA Information Technology UCITS ETF 1D</t>
  </si>
  <si>
    <t>IE00BYXYYN70</t>
  </si>
  <si>
    <t>iShares US Mortgage Backed Securities UCITS ETF (Acc)</t>
  </si>
  <si>
    <t>Vanguard EUR Corporate Bond UCITS ETF Accumulating</t>
  </si>
  <si>
    <t>iShares Euro Government Bond 1-3yr UCITS ETF (Acc)</t>
  </si>
  <si>
    <t>gettex, London, Stuttgart, SIX Swiss Exchange, Borsa Italiana</t>
  </si>
  <si>
    <t>IE00BGPP6697</t>
  </si>
  <si>
    <t>iShares USD Treasury Bond 7-10yr UCITS ETF EUR (Dist)</t>
  </si>
  <si>
    <t>IE00B4JNQZ49</t>
  </si>
  <si>
    <t>iShares S&amp;P 500 Financials Sector UCITS ETF (Acc)</t>
  </si>
  <si>
    <t>Amundi MSCI Emerging Markets II UCITS ETF Acc</t>
  </si>
  <si>
    <t>iShares MSCI USA UCITS ETF (Acc)</t>
  </si>
  <si>
    <t>Amundi MSCI Water ESG Screened UCITS ETF Dist</t>
  </si>
  <si>
    <t>IE00BFMXYP42</t>
  </si>
  <si>
    <t>Vanguard FTSE 100 UCITS ETF (GBP) Accumulating</t>
  </si>
  <si>
    <t>DE000A0F5UJ7</t>
  </si>
  <si>
    <t>iShares STOXX Europe 600 Banks UCITS ETF (DE)</t>
  </si>
  <si>
    <t>Amundi Euro Government Bond 3-5Y UCITS ETF Acc</t>
  </si>
  <si>
    <t>0.82</t>
  </si>
  <si>
    <t>Amundi Euro Government Bond 1-3Y UCITS ETF Acc</t>
  </si>
  <si>
    <t>IE000R85HL30</t>
  </si>
  <si>
    <t>Amundi MSCI USA SRI Climate Net Zero Ambition PAB UCITS ETF UCITS ETF Acc</t>
  </si>
  <si>
    <t>UBS ETF (LU) MSCI USA Socially Responsible UCITS ETF (USD) A-dis</t>
  </si>
  <si>
    <t>UBS ETF (IE) MSCI ACWI ESG Universal UCITS ETF (USD) A-dis</t>
  </si>
  <si>
    <t>IE000ZX8CQG2</t>
  </si>
  <si>
    <t>iShares EUR Corporate Bond ESG Paris-Aligned Climate UCITS ETF EUR (Dist)</t>
  </si>
  <si>
    <t>UBS ETF (LU) MSCI UK UCITS ETF (GBP) A-acc</t>
  </si>
  <si>
    <t>0.85</t>
  </si>
  <si>
    <t>London, SIX Swiss Exchange, Borsa Italiana</t>
  </si>
  <si>
    <t>IE00BSKRJZ44</t>
  </si>
  <si>
    <t>iShares USD Treasury Bond 20+yr UCITS ETF USD (Dist)</t>
  </si>
  <si>
    <t>Vanguard USD Corporate 1-3 Year Bond UCITS ETF Accumulating</t>
  </si>
  <si>
    <t>iShares MSCI Europe ESG Enhanced UCITS ETF EUR (Acc)</t>
  </si>
  <si>
    <t>IE00BYXYYK40</t>
  </si>
  <si>
    <t>iShares J.P. Morgan USD Emerging Markets Bond UCITS ETF (Acc)</t>
  </si>
  <si>
    <t>IE00BJ5JPG56</t>
  </si>
  <si>
    <t>iShares MSCI China UCITS ETF USD (Acc)</t>
  </si>
  <si>
    <t>gettex, XETRA, Stuttgart, SIX Swiss Exchange, Euronext Amsterdam</t>
  </si>
  <si>
    <t>UBS ETF (LU) MSCI Switzerland 20/35 UCITS ETF (CHF) A-acc</t>
  </si>
  <si>
    <t>CHF</t>
  </si>
  <si>
    <t>JPMorgan Global Emerging Markets Research Enhanced Index Equity (ESG) UCITS ETF USD (acc)</t>
  </si>
  <si>
    <t>IE00BMG6Z448</t>
  </si>
  <si>
    <t>iShares MSCI EM ex-China UCITS ETF USD (Acc)</t>
  </si>
  <si>
    <t>gettex, XETRA, London, Euronext Paris, SIX Swiss Exchange, Euronext Amsterdam</t>
  </si>
  <si>
    <t>Amundi Index MSCI Europe ESG Broad CTB UCITS ETF DR EUR (C)</t>
  </si>
  <si>
    <t>JE00B7VG2M16</t>
  </si>
  <si>
    <t>WisdomTree Physical Gold - GBP Daily Hedged</t>
  </si>
  <si>
    <t>iShares Global Infrastructure UCITS ETF</t>
  </si>
  <si>
    <t>Xtrackers CSI 300 Swap UCITS ETF 1C</t>
  </si>
  <si>
    <t>iShares Euro Inflation Linked Government Bond UCITS ETF</t>
  </si>
  <si>
    <t>Invesco S&amp;P 500 EUR Hedged UCITS ETF</t>
  </si>
  <si>
    <t>IE00BD8PGZ49</t>
  </si>
  <si>
    <t>iShares USD Treasury Bond 20+yr UCITS ETF EUR Hedged (Dist)</t>
  </si>
  <si>
    <t>UBS ETF (IE) MSCI ACWI SF UCITS ETF (USD) A-acc</t>
  </si>
  <si>
    <t>VanEck Defense UCITS ETF A</t>
  </si>
  <si>
    <t>Xtrackers Nikkei 225 UCITS ETF 1D</t>
  </si>
  <si>
    <t>Invesco Nasdaq-100 ESG UCITS ETF Acc</t>
  </si>
  <si>
    <t>iShares J.P. Morgan ESG USD EM Bond UCITS ETF USD (Acc)</t>
  </si>
  <si>
    <t>Amundi EUR Corporate Bond UCITS ETF DR EUR (D)</t>
  </si>
  <si>
    <t>iShares Euro Covered Bond UCITS ETF</t>
  </si>
  <si>
    <t>IE00BCRY5Y77</t>
  </si>
  <si>
    <t>iShares USD Short Duration Corporate Bond UCITS ETF (Dist)</t>
  </si>
  <si>
    <t>UBS ETF (LU) MSCI Emerging Markets UCITS ETF (USD) A-dis</t>
  </si>
  <si>
    <t>IE00B3F81409</t>
  </si>
  <si>
    <t>iShares Core Global Aggregate Bond UCITS ETF USD (Dist)</t>
  </si>
  <si>
    <t>Amundi MSCI All Country World UCITS ETF EUR Acc</t>
  </si>
  <si>
    <t>IE00BDZVH859</t>
  </si>
  <si>
    <t>iShares USD TIPS UCITS ETF GBP Hedged (Dist)</t>
  </si>
  <si>
    <t>Amundi Nasdaq 100 UCITS ETF EUR (C)</t>
  </si>
  <si>
    <t>UBS ETF (IE) Factor MSCI USA Quality ESG UCITS ETF (USD) A-dis</t>
  </si>
  <si>
    <t>IE00BF540Y54</t>
  </si>
  <si>
    <t>iShares Core Global Aggregate Bond UCITS ETF GBP Hedged (Dist)</t>
  </si>
  <si>
    <t>Vanguard FTSE North America UCITS ETF (USD) Accumulating</t>
  </si>
  <si>
    <t>iShares Developed Markets Property Yield UCITS ETF</t>
  </si>
  <si>
    <t>Real Estate</t>
  </si>
  <si>
    <t>Amundi Euro Government Bond UCITS ETF Acc</t>
  </si>
  <si>
    <t>iShares eb.rexx Government Germany 0-1yr UCITS ETF (DE)</t>
  </si>
  <si>
    <t>gettex, XETRA, Stuttgart, Borsa Italiana</t>
  </si>
  <si>
    <t>UBS ETF (LU) MSCI World Socially Responsible UCITS ETF (USD) A-acc</t>
  </si>
  <si>
    <t>Xtrackers Physical Gold ETC (EUR)</t>
  </si>
  <si>
    <t>IE00B57X3V84</t>
  </si>
  <si>
    <t>iShares Dow Jones Global Sustainability Screened UCITS ETF</t>
  </si>
  <si>
    <t>Amundi Euro Government Bond 7-10Y UCITS ETF Acc</t>
  </si>
  <si>
    <t>IE000D3BWBR2</t>
  </si>
  <si>
    <t>iShares S&amp;P 500 Swap UCITS ETF USD (Dist)</t>
  </si>
  <si>
    <t>London, Euronext Amsterdam</t>
  </si>
  <si>
    <t>UBS ETF (IE) MSCI ACWI SF UCITS ETF (hedged to EUR) A-acc</t>
  </si>
  <si>
    <t>iShares Global Corporate Bond UCITS ETF</t>
  </si>
  <si>
    <t>IE00B6R52036</t>
  </si>
  <si>
    <t>iShares Gold Producers UCITS ETF</t>
  </si>
  <si>
    <t>DE000A27Z304</t>
  </si>
  <si>
    <t>Cryptocurrencies</t>
  </si>
  <si>
    <t>gettex, XETRA, Euronext Paris, SIX Swiss Exchange, Euronext Amsterdam</t>
  </si>
  <si>
    <t>IE000CL68Z69</t>
  </si>
  <si>
    <t>Amundi MSCI World Climate Net Zero Ambition PAB UCITS ETF UCITS ETF Acc</t>
  </si>
  <si>
    <t>DE000ETFL011</t>
  </si>
  <si>
    <t>Deka DAX UCITS ETF</t>
  </si>
  <si>
    <t>IE00BFNM3L97</t>
  </si>
  <si>
    <t>iShares MSCI Japan ESG Screened UCITS ETF USD (Acc)</t>
  </si>
  <si>
    <t>UBS ETF (LU) MSCI World UCITS ETF (USD) A-dis</t>
  </si>
  <si>
    <t>SPDR Bloomberg Euro Government Bond UCITS ETF (Acc)</t>
  </si>
  <si>
    <t>Borsa Italiana, Euronext Amsterdam</t>
  </si>
  <si>
    <t>Vanguard USD Treasury Bond UCITS ETF Accumulating</t>
  </si>
  <si>
    <t>iShares Edge MSCI Europe Value Factor UCITS ETF</t>
  </si>
  <si>
    <t>IE00B53L4350</t>
  </si>
  <si>
    <t>iShares Dow Jones Industrial Average UCITS ETF (Acc)</t>
  </si>
  <si>
    <t>GB00BLD4ZL17</t>
  </si>
  <si>
    <t>CoinShares Physical Bitcoin</t>
  </si>
  <si>
    <t>Xtrackers Swiss Large Cap UCITS ETF 1D</t>
  </si>
  <si>
    <t>Amundi MSCI EMU ESG Leaders Select UCITS ETF DR EUR (C)</t>
  </si>
  <si>
    <t>SPDR Bloomberg Emerging Markets Local Bond UCITS ETF</t>
  </si>
  <si>
    <t>IE00BKZGB098</t>
  </si>
  <si>
    <t>HSBC Multi-Factor Worldwide Equity UCITS ETF USD</t>
  </si>
  <si>
    <t>Amundi Index MSCI Emerging Markets SRI PAB UCITS DR ETF (C)</t>
  </si>
  <si>
    <t>Xtrackers II US Treasuries UCITS ETF 1D</t>
  </si>
  <si>
    <t>IE00BF1QPK61</t>
  </si>
  <si>
    <t>SPDR Bloomberg Global Aggregate Bond UCITS ETF CHF Hedged</t>
  </si>
  <si>
    <t>IE00BZ1NCS44</t>
  </si>
  <si>
    <t>iShares Bloomberg Roll Select Commodity Swap UCITS ETF USD</t>
  </si>
  <si>
    <t>Amundi MSCI Europe ESG Leaders UCITS ETF Acc</t>
  </si>
  <si>
    <t>UBS ETF (LU) MSCI Emerging Markets Socially Responsible UCITS ETF (USD) A-dis</t>
  </si>
  <si>
    <t>IE00B9M6SJ31</t>
  </si>
  <si>
    <t>iShares Global Corporate Bond EUR Hedged UCITS ETF (Dist)</t>
  </si>
  <si>
    <t>Xtrackers MSCI World Momentum Factor UCITS ETF 1C</t>
  </si>
  <si>
    <t>Amundi Index Euro Aggregate SRI UCITS ETF DR (C)</t>
  </si>
  <si>
    <t>SPDR Morningstar Multi-Asset Global Infrastructure UCITS ETF</t>
  </si>
  <si>
    <t>IE00BD45KH83</t>
  </si>
  <si>
    <t>iShares Core MSCI Emerging Markets IMI UCITS ETF</t>
  </si>
  <si>
    <t>IE00BGCSB447</t>
  </si>
  <si>
    <t>iShares USD Ultrashort Bond UCITS ETF USD (Acc)</t>
  </si>
  <si>
    <t>Amundi Prime Japan UCITS ETF DR (D)</t>
  </si>
  <si>
    <t>IE00BD4TXV59</t>
  </si>
  <si>
    <t>UBS ETF (IE) MSCI World UCITS ETF (USD) A-acc</t>
  </si>
  <si>
    <t>iShares EUR Corporate Bond ex-Financials UCITS ETF EUR (Dist)</t>
  </si>
  <si>
    <t>SPDR S&amp;P Global Dividend Aristocrats UCITS ETF</t>
  </si>
  <si>
    <t>BNP Paribas Easy Low Carbon 100 Europe PAB UCITS ETF</t>
  </si>
  <si>
    <t>IE000Z8F16G5</t>
  </si>
  <si>
    <t>iShares Global Aggregate Bond ESG UCITS ETF CHF Hedged (Acc)</t>
  </si>
  <si>
    <t>VanEck Gold Miners UCITS ETF</t>
  </si>
  <si>
    <t>Xtrackers Eurozone Government Bond 1-3 UCITS ETF 1C</t>
  </si>
  <si>
    <t>Invesco US Technology Sector UCITS ETF</t>
  </si>
  <si>
    <t>LU1778293313</t>
  </si>
  <si>
    <t>Amundi Global Aggregate Bond UCITS ETF DR - USD Hedged (C)</t>
  </si>
  <si>
    <t>Euronext Paris</t>
  </si>
  <si>
    <t>CH1114873776</t>
  </si>
  <si>
    <t>21Shares Solana Staking ETP</t>
  </si>
  <si>
    <t>Switzerland</t>
  </si>
  <si>
    <t>BNP Paribas Easy EUR Corporate Bond SRI PAB UCITS ETF Acc</t>
  </si>
  <si>
    <t>LU1291102447</t>
  </si>
  <si>
    <t>BNP Paribas Easy MSCI Japan ESG Filtered Min TE UCITS ETF</t>
  </si>
  <si>
    <t>gettex, XETRA, Euronext Paris, Stuttgart, SIX Swiss Exchange</t>
  </si>
  <si>
    <t>IE0001GSQ2O9</t>
  </si>
  <si>
    <t>Amundi MSCI World ESG Climate Net Zero Ambition CTB UCITS ETF UCITS ETF Acc</t>
  </si>
  <si>
    <t>WisdomTree Copper</t>
  </si>
  <si>
    <t>iShares Euro Government Bond 7-10yr UCITS ETF EUR (Dist)</t>
  </si>
  <si>
    <t>Amundi MSCI Emerging Ex China UCITS ETF Acc</t>
  </si>
  <si>
    <t>iShares MSCI Japan ESG Enhanced UCITS ETF USD (Acc)</t>
  </si>
  <si>
    <t>BNP Paribas Easy S&amp;P 500 UCITS ETF EUR Hedged</t>
  </si>
  <si>
    <t>LU2611732046</t>
  </si>
  <si>
    <t>Amundi DAX UCITS ETF Dist</t>
  </si>
  <si>
    <t>iShares Global Aggregate Bond ESG UCITS ETF EUR Hedged (Acc)</t>
  </si>
  <si>
    <t>gettex, XETRA, Borsa Italiana</t>
  </si>
  <si>
    <t>IE00BCHWNT26</t>
  </si>
  <si>
    <t>Xtrackers MSCI USA Financials UCITS ETF 1D</t>
  </si>
  <si>
    <t>iShares MSCI North America UCITS ETF</t>
  </si>
  <si>
    <t>iShares Edge S&amp;P 500 Minimum Volatility UCITS ETF (Acc)</t>
  </si>
  <si>
    <t>Xtrackers Physical Gold EUR Hedged ETC</t>
  </si>
  <si>
    <t>UBS ETF (IE) MSCI USA Socially Responsible UCITS ETF (USD) A-acc</t>
  </si>
  <si>
    <t>IE00BDFL4P12</t>
  </si>
  <si>
    <t>iShares Diversified Commodity Swap UCITS ETF</t>
  </si>
  <si>
    <t>Amundi EUR Corporate Bond PAB Net Zero Ambition UCITS ETF Acc</t>
  </si>
  <si>
    <t>Fidelity US Quality Income UCITS ETF</t>
  </si>
  <si>
    <t>SPDR S&amp;P US Technology Select Sector UCITS ETF</t>
  </si>
  <si>
    <t>iShares EUR Corporate Bond ESG UCITS ETF EUR (Acc)</t>
  </si>
  <si>
    <t>iShares MSCI Canada UCITS ETF (Acc)</t>
  </si>
  <si>
    <t>SPDR Bloomberg 0-3 Year Euro Corporate Bond UCITS ETF</t>
  </si>
  <si>
    <t>IE0002W8NB38</t>
  </si>
  <si>
    <t>iShares MSCI USA Swap UCITS ETF USD (Acc)</t>
  </si>
  <si>
    <t>Euronext Paris, SIX Swiss Exchange, Euronext Amsterdam</t>
  </si>
  <si>
    <t>IE00BFM6TD65</t>
  </si>
  <si>
    <t>iShares J.P. Morgan USD Emerging Markets Corp Bond UCITS ETF USD (Acc)</t>
  </si>
  <si>
    <t>Amundi MSCI Emerging ESG Leaders - UCITS ETF DR (C)</t>
  </si>
  <si>
    <t>iShares MSCI Japan UCITS ETF (Dist)</t>
  </si>
  <si>
    <t>Amundi Bloomberg Equal-weight Commodity ex-Agriculture UCITS ETF Acc</t>
  </si>
  <si>
    <t>IE00B4NCWG09</t>
  </si>
  <si>
    <t>iShares Physical Silver ETC</t>
  </si>
  <si>
    <t>gettex, London, Stuttgart</t>
  </si>
  <si>
    <t>VanEck Morningstar Developed Markets Dividend Leaders UCITS ETF</t>
  </si>
  <si>
    <t>gettex, XETRA, London, SIX Swiss Exchange, Borsa Italiana, Euronext Amsterdam, Euronext Brussels</t>
  </si>
  <si>
    <t>UBS ETF (IE) MSCI USA UCITS ETF (USD) A-dis</t>
  </si>
  <si>
    <t>HSBC EURO STOXX 50 UCITS ETF EUR</t>
  </si>
  <si>
    <t>iShares MSCI Global Semiconductors UCITS ETF USD (Acc)</t>
  </si>
  <si>
    <t>gettex, XETRA, London, Euronext Paris, SIX Swiss Exchange, Borsa Italiana, Euronext Amsterdam</t>
  </si>
  <si>
    <t>Vanguard U.S. Treasury 0-1 Year Bond UCITS ETF (USD) Accumulating</t>
  </si>
  <si>
    <t>iShares European Property Yield UCITS ETF</t>
  </si>
  <si>
    <t>Vanguard FTSE Developed Asia Pacific ex Japan UCITS ETF Distributing</t>
  </si>
  <si>
    <t>IE00B4L5ZY03</t>
  </si>
  <si>
    <t>iShares EUR Corporate Bond ex-Financials 1-5yr ESG UCITS ETF EUR (Dist)</t>
  </si>
  <si>
    <t>Xtrackers II US Treasuries UCITS ETF 2D - EUR Hedged</t>
  </si>
  <si>
    <t>IE00BL6K8D99</t>
  </si>
  <si>
    <t>iShares MSCI EMU Paris-Aligned Climate UCITS ETF EUR (Acc)</t>
  </si>
  <si>
    <t>gettex, SIX Swiss Exchange, Euronext Amsterdam</t>
  </si>
  <si>
    <t>IE00BYM11L64</t>
  </si>
  <si>
    <t>UBS ETF (IE) MSCI ACWI SF UCITS ETF (hedged to CHF) A-acc</t>
  </si>
  <si>
    <t>Amundi MSCI India II UCITS ETF EUR Acc</t>
  </si>
  <si>
    <t>Xtrackers Eurozone Government Bond 5-7 UCITS ETF 1C</t>
  </si>
  <si>
    <t>iShares MSCI Europe ex-UK UCITS ETF</t>
  </si>
  <si>
    <t>iShares Healthcare Innovation UCITS ETF</t>
  </si>
  <si>
    <t>DE000ETFL284</t>
  </si>
  <si>
    <t>Deka MSCI Europe UCITS ETF</t>
  </si>
  <si>
    <t>UBS ETF (IE) MSCI World Socially Responsible UCITS ETF (USD) A-acc</t>
  </si>
  <si>
    <t>WisdomTree Core Physical Gold</t>
  </si>
  <si>
    <t>IE00B9MRHC27</t>
  </si>
  <si>
    <t>Xtrackers MSCI Nordic UCITS ETF 1D</t>
  </si>
  <si>
    <t>BNP Paribas Easy EUR Corporate Bond SRI PAB 3-5Y UCITS ETF</t>
  </si>
  <si>
    <t>DE000ETFL573</t>
  </si>
  <si>
    <t>Deka MSCI USA Climate Change ESG UCITS ETF</t>
  </si>
  <si>
    <t>iShares Euro Government Bond 15-30yr UCITS ETF (Dist)</t>
  </si>
  <si>
    <t>IE0004ZJGWT9</t>
  </si>
  <si>
    <t>Xtrackers MSCI Europe ESG UCITS ETF 1D</t>
  </si>
  <si>
    <t>DE000ETFL581</t>
  </si>
  <si>
    <t>Deka MSCI World Climate Change ESG UCITS ETF</t>
  </si>
  <si>
    <t>IE00BKBF6H24</t>
  </si>
  <si>
    <t>iShares Core MSCI World UCITS ETF EUR Hedged (Dist)</t>
  </si>
  <si>
    <t>Vanguard EUR Eurozone Government Bond UCITS ETF Distributing</t>
  </si>
  <si>
    <t>IE00B1TXHL60</t>
  </si>
  <si>
    <t>iShares Listed Private Equity UCITS ETF USD (Dist)</t>
  </si>
  <si>
    <t>Xtrackers II EUR Corporate Bond Short Duration SRI PAB UCITS ETF 1C</t>
  </si>
  <si>
    <t>LU1048315086</t>
  </si>
  <si>
    <t>UBS ETF (LU) Bloomberg US Liquid Corporates 1-5 Year UCITS ETF (USD) A-acc</t>
  </si>
  <si>
    <t>UBS ETF (LU) Euro Stoxx 50 ESG UCITS ETF (EUR) A-dis</t>
  </si>
  <si>
    <t>iShares iBonds Dec 2028 Term EUR Corporate UCITS ETF EUR (Dist)</t>
  </si>
  <si>
    <t>IE00BFNM3B99</t>
  </si>
  <si>
    <t>iShares MSCI EMU ESG Screened UCITS ETF EUR (Acc)</t>
  </si>
  <si>
    <t>Amundi S&amp;P 500 II UCITS ETF EUR Hedged Dist</t>
  </si>
  <si>
    <t>Amundi Prime Euro Govies UCITS ETF DR (D)</t>
  </si>
  <si>
    <t>IE00BF3N7094</t>
  </si>
  <si>
    <t>iShares EUR High Yield Corporate Bond UCITS ETF EUR (Acc)</t>
  </si>
  <si>
    <t>iShares MDAX UCITS ETF (DE)</t>
  </si>
  <si>
    <t>LU2197908721</t>
  </si>
  <si>
    <t>Amundi Nasdaq-100 II UCITS ETF Dist</t>
  </si>
  <si>
    <t>Xtrackers II Eurozone Government Bond 7-10 UCITS ETF 1C</t>
  </si>
  <si>
    <t>IE00BF2QSQ20</t>
  </si>
  <si>
    <t>iShares Edge MSCI USA Quality Factor UCITS ETF USD (Dist)</t>
  </si>
  <si>
    <t>iShares UK Dividend UCITS ETF</t>
  </si>
  <si>
    <t>Amundi Euro Government Bond 10-15Y UCITS ETF Acc</t>
  </si>
  <si>
    <t>VanEck Global Mining UCITS ETF A</t>
  </si>
  <si>
    <t>iShares Digitalisation UCITS ETF</t>
  </si>
  <si>
    <t>IE00BKM4H312</t>
  </si>
  <si>
    <t>iShares MSCI USA Quality Dividend ESG UCITS ETF USD (Dist)</t>
  </si>
  <si>
    <t>IE00BH4G7D40</t>
  </si>
  <si>
    <t>iShares USD Corporate Bond ESG UCITS ETF  EUR Hedged (Dist)</t>
  </si>
  <si>
    <t>iShares MSCI World Information Technology Sector ESG UCITS ETF USD (Dist)</t>
  </si>
  <si>
    <t>IE00B00FV128</t>
  </si>
  <si>
    <t>iShares FTSE 250 UCITS ETF</t>
  </si>
  <si>
    <t>UBS ETF (LU) MSCI Pacific Socially Responsible UCITS ETF (USD) A-dis</t>
  </si>
  <si>
    <t>CH0454664001</t>
  </si>
  <si>
    <t>Amundi STOXX Europe 600 Banks UCITS ETF Acc</t>
  </si>
  <si>
    <t>IE00B44CGS96</t>
  </si>
  <si>
    <t>iShares US Aggregate Bond UCITS ETF (Dist)</t>
  </si>
  <si>
    <t>Amundi MSCI Robotics &amp; AI ESG Screened UCITS ETF Acc</t>
  </si>
  <si>
    <t>gettex, XETRA, Euronext Paris, Stuttgart, SIX Swiss Exchange, Borsa Italiana, Euronext Amsterdam</t>
  </si>
  <si>
    <t>IE00058MW3M8</t>
  </si>
  <si>
    <t>Amundi S&amp;P 500 ESG UCITS ETF Acc EUR Hedged</t>
  </si>
  <si>
    <t>Euronext Paris, Borsa Italiana</t>
  </si>
  <si>
    <t>SPDR Bloomberg 1-3 Year Euro Government Bond UCITS ETF</t>
  </si>
  <si>
    <t>HANetf The Royal Mint Responsibly Sourced Physical Gold ETC</t>
  </si>
  <si>
    <t>Amundi CAC 40 ESG UCITS ETF DR - EUR (C)</t>
  </si>
  <si>
    <t>SPDR S&amp;P Euro Dividend Aristocrats UCITS ETF (Dist)</t>
  </si>
  <si>
    <t>IE00BCBJG560</t>
  </si>
  <si>
    <t>SPDR MSCI World Small Cap UCITS ETF</t>
  </si>
  <si>
    <t>SPDR S&amp;P US Energy Select Sector UCITS ETF</t>
  </si>
  <si>
    <t>Amundi Floating Rate Euro Corporate ESG UCITS ETF EUR (C)</t>
  </si>
  <si>
    <t>Vanguard Global Aggregate Bond UCITS ETF EUR Hedged Accumulating</t>
  </si>
  <si>
    <t>Vanguard FTSE 250 UCITS ETF (GBP) Accumulating</t>
  </si>
  <si>
    <t>LU1484799843</t>
  </si>
  <si>
    <t>UBS ETF (LU) Bloomberg MSCI Euro Area Liquid Corporates Sustainable UCITS ETF (EUR) A-acc</t>
  </si>
  <si>
    <t>Ossiam Shiller Barclays CAPEÂ® US Sector Value TR UCITS ETF 1C (EUR)</t>
  </si>
  <si>
    <t>Amundi Euro Stoxx Banks UCITS ETF Acc</t>
  </si>
  <si>
    <t>IE00B3F81K65</t>
  </si>
  <si>
    <t>iShares Global Government Bond UCITS ETF USD (Dist)</t>
  </si>
  <si>
    <t>LU1169821458</t>
  </si>
  <si>
    <t>UBS ETF (LU) MSCI United Kingdom UCITS ETF (hedged to USD) A-acc</t>
  </si>
  <si>
    <t>Vanguard FTSE Developed Europe UCITS ETF (EUR) Accumulating</t>
  </si>
  <si>
    <t>Xtrackers Nasdaq 100 UCITS ETF 1C</t>
  </si>
  <si>
    <t>IE00BF3NC260</t>
  </si>
  <si>
    <t>iShares Euro Total Market Value Large UCITS ETF</t>
  </si>
  <si>
    <t>Xtrackers iBoxx Sovereigns Eurozone Yield Plus UCITS ETF 1C</t>
  </si>
  <si>
    <t>Amundi Euro Government Inflation-Linked Bond UCITS ETF Acc</t>
  </si>
  <si>
    <t>IE00BF1QPH33</t>
  </si>
  <si>
    <t>SPDR Bloomberg Global Aggregate Bond UCITS ETF USD Hedged</t>
  </si>
  <si>
    <t>XETRA, London</t>
  </si>
  <si>
    <t>GB00BJYDH287</t>
  </si>
  <si>
    <t>WisdomTree Physical Bitcoin</t>
  </si>
  <si>
    <t>Amundi MSCI Emerging Markets III UCITS ETF EUR Acc</t>
  </si>
  <si>
    <t>UBS ETF (IE) CMCI Composite SF UCITS ETF (USD) A-acc</t>
  </si>
  <si>
    <t>iShares Italy Government Bond UCITS ETF EUR (Dist)</t>
  </si>
  <si>
    <t>Amundi Prime Global UCITS ETF DR (D)</t>
  </si>
  <si>
    <t>UBS ETF (IE) S&amp;P 500 UCITS ETF (USD) A-dis</t>
  </si>
  <si>
    <t>JPMorgan Carbon Transition Global Equity UCITS ETF USD (acc)</t>
  </si>
  <si>
    <t>LU1681045453</t>
  </si>
  <si>
    <t>Amundi MSCI Emerging Markets UCITS ETF USD</t>
  </si>
  <si>
    <t>gettex, London, Euronext Paris, SIX Swiss Exchange</t>
  </si>
  <si>
    <t>LU0335044896</t>
  </si>
  <si>
    <t>Xtrackers II EUR Overnight Rate Swap UCITS ETF 1D</t>
  </si>
  <si>
    <t>DE000A0D8QZ7</t>
  </si>
  <si>
    <t>iShares STOXX Europe Small 200 UCITS ETF (DE)</t>
  </si>
  <si>
    <t>IE00BG47KJ78</t>
  </si>
  <si>
    <t>Vanguard Global Aggregate Bond UCITS ETF USD Hedged Accumulating</t>
  </si>
  <si>
    <t>IE00BKKKWJ26</t>
  </si>
  <si>
    <t>iShares USD Corporate Bond ESG UCITS ETF (Acc)</t>
  </si>
  <si>
    <t>gettex, XETRA, SIX Swiss Exchange, Euronext Amsterdam</t>
  </si>
  <si>
    <t>UBS ETF (LU) MSCI Canada UCITS ETF (CAD) A-dis</t>
  </si>
  <si>
    <t>CAD</t>
  </si>
  <si>
    <t>LU0643975591</t>
  </si>
  <si>
    <t>Xtrackers II Eurozone Government Bond UCITS ETF 1D</t>
  </si>
  <si>
    <t>L&amp;G Multi-Strategy Enhanced Commodities UCITS ETF USD Accumulating</t>
  </si>
  <si>
    <t>Vanguard FTSE Japan UCITS ETF Accumulating</t>
  </si>
  <si>
    <t>BNP Paribas Easy MSCI World SRI S-Series PAB 5% Capped UCITS ETF EUR Acc</t>
  </si>
  <si>
    <t>DE0006289309</t>
  </si>
  <si>
    <t>iShares EURO STOXX Banks 30-15 UCITS ETF (DE)</t>
  </si>
  <si>
    <t>Amundi MSCI Emerging Markets Asia UCITS ETF EUR (C)</t>
  </si>
  <si>
    <t>iShares MSCI EMU Small Cap UCITS ETF (Acc)</t>
  </si>
  <si>
    <t>IE00BMXC7V63</t>
  </si>
  <si>
    <t>iShares S&amp;P 500 Paris-Aligned Climate UCITS ETF USD (Acc)</t>
  </si>
  <si>
    <t>iShares Euro Government Bond 3-7yr UCITS ETF (Acc)</t>
  </si>
  <si>
    <t>IE00BGPP6473</t>
  </si>
  <si>
    <t>iShares USD Treasury Bond 3-7yr UCITS ETF EUR Hedged (Dist)</t>
  </si>
  <si>
    <t>DE000ETFL029</t>
  </si>
  <si>
    <t>Deka EURO STOXX 50 UCITS ETF</t>
  </si>
  <si>
    <t>LU1230136894</t>
  </si>
  <si>
    <t>Lyxor Smart Overnight Return UCITS ETF C-GBP</t>
  </si>
  <si>
    <t>IE00BYYHSQ67</t>
  </si>
  <si>
    <t>iShares MSCI World Quality Dividend ESG UCITS ETF USD (Dist)</t>
  </si>
  <si>
    <t>BNP Paribas Easy MSCI Europe ESG Filtered Min TE UCITS ETF</t>
  </si>
  <si>
    <t>IE0005E8B9S4</t>
  </si>
  <si>
    <t>Amundi Russell 1000 Growth UCITS ETF Acc</t>
  </si>
  <si>
    <t>DE000ETFL060</t>
  </si>
  <si>
    <t>Deka DAX (ausschÃ¼ttend) UCITS ETF</t>
  </si>
  <si>
    <t>iShares GBP Index-Linked Gilts UCITS ETF</t>
  </si>
  <si>
    <t>gettex, London, Borsa Italiana</t>
  </si>
  <si>
    <t>IE000UOXRAM8</t>
  </si>
  <si>
    <t>Invesco Dow Jones Islamic Global Developed Markets UCITS ETF Acc</t>
  </si>
  <si>
    <t>Amundi STOXX Europe 600 Healthcare UCITS ETF Acc</t>
  </si>
  <si>
    <t>JPMorgan EUR Ultra-Short Income UCITS ETF - EUR (Acc)</t>
  </si>
  <si>
    <t>IE000CNSFAR2</t>
  </si>
  <si>
    <t>Amundi MSCI World UCITS ETF UCITS ETF DR - USD (D)</t>
  </si>
  <si>
    <t>UBS ETF (IE) MSCI ACWI Socially Responsible UCITS ETF (hedged to EUR) A-acc</t>
  </si>
  <si>
    <t>SPDR Bloomberg Euro Corporate Bond UCITS ETF</t>
  </si>
  <si>
    <t>UBS ETF (LU) Bloomberg EUR Treasury 1-10 UCITS ETF (EUR) A-dis</t>
  </si>
  <si>
    <t>IE00BDQZN774</t>
  </si>
  <si>
    <t>UBS ETF (IE) MSCI ACWI ESG Universal UCITS ETF (hedged to CHF) A-acc</t>
  </si>
  <si>
    <t>Xtrackers FTSE EPRA/NAREIT Developed Europe Real Estate UCITS ETF 1C</t>
  </si>
  <si>
    <t>IE00BFNM3N12</t>
  </si>
  <si>
    <t>iShares MSCI EM IMI ESG Screened UCITS ETF USD (Dist)</t>
  </si>
  <si>
    <t>LU1407892592</t>
  </si>
  <si>
    <t>Amundi UK Government Bond UCITS ETF Dist</t>
  </si>
  <si>
    <t>VanEck Sustainable World Equal Weight UCITS ETF A</t>
  </si>
  <si>
    <t>IE00B42NKQ00</t>
  </si>
  <si>
    <t>iShares S&amp;P 500 Energy Sector UCITS ETF (Acc)</t>
  </si>
  <si>
    <t>iShares USD Short Duration High Yield Corporate Bond UCITS ETF</t>
  </si>
  <si>
    <t>IE00BJ06C044</t>
  </si>
  <si>
    <t>JPMorgan US Research Enhanced Index Equity (ESG) UCITS ETF USD (dist)</t>
  </si>
  <si>
    <t>iShares Edge MSCI Europe Minimum Volatility UCITS ETF</t>
  </si>
  <si>
    <t>Xtrackers USD Corporate Bonds UCITS ETF 1D</t>
  </si>
  <si>
    <t>IE00BG0J4957</t>
  </si>
  <si>
    <t>iShares Broad USD High Yield Corporate Bond UCITS ETF USD (Dist)</t>
  </si>
  <si>
    <t>IE00BFNM3H51</t>
  </si>
  <si>
    <t>iShares MSCI USA ESG Screened UCITS ETF USD (Dist)</t>
  </si>
  <si>
    <t>WisdomTree Brent Crude Oil</t>
  </si>
  <si>
    <t>IE000IIED424</t>
  </si>
  <si>
    <t>Ossiam Bloomberg USA PAB UCITS ETF 1A (EUR)</t>
  </si>
  <si>
    <t>gettex, XETRA, Euronext Paris, SIX Swiss Exchange</t>
  </si>
  <si>
    <t>IE00BMW42306</t>
  </si>
  <si>
    <t>iShares MSCI Europe Financials Sector UCITS ETF EUR (Acc)</t>
  </si>
  <si>
    <t>First Trust Nasdaq Cybersecurity UCITS ETF Acc</t>
  </si>
  <si>
    <t>IE00BYYHSM20</t>
  </si>
  <si>
    <t>iShares MSCI Europe Quality Dividend ESG UCITS ETF EUR (Dist)</t>
  </si>
  <si>
    <t>BNP Paribas Easy S&amp;P 500 ESG UCITS ETF EUR Capitalisation</t>
  </si>
  <si>
    <t>LU1737653987</t>
  </si>
  <si>
    <t>Amundi Index Euro Corporate SRI UCITS ETF DR (D)</t>
  </si>
  <si>
    <t>IE00BDQZN113</t>
  </si>
  <si>
    <t>UBS ETF (IE) MSCI ACWI ESG Universal UCITS ETF (hedged to USD) A-acc</t>
  </si>
  <si>
    <t>Amundi Government Bond Lowest Rated Euro Investment Grade UCITS ETF EUR (C)</t>
  </si>
  <si>
    <t>Xtrackers EUR High Yield Corporate Bond UCITS ETF 1D</t>
  </si>
  <si>
    <t>JPMorgan Global Research Enhanced Index Equity (ESG) UCITS ETF EUR Hedged (acc)</t>
  </si>
  <si>
    <t>Amundi MSCI World Health Care UCITS ETF EUR Acc</t>
  </si>
  <si>
    <t>IE00B4MCHD36</t>
  </si>
  <si>
    <t>iShares S&amp;P 500 Consumer Discretionary Sector UCITS ETF (Acc)</t>
  </si>
  <si>
    <t>LU1681040223</t>
  </si>
  <si>
    <t>Amundi STOXX Europe 600 ESG UCITS ETF DR EUR (C)</t>
  </si>
  <si>
    <t>IE00BK5BR626</t>
  </si>
  <si>
    <t>Vanguard FTSE All-World High Dividend Yield UCITS ETF Acc</t>
  </si>
  <si>
    <t>gettex, XETRA, London, Euronext Amsterdam</t>
  </si>
  <si>
    <t>Amundi ETF MSCI World ex EMU UCITS ETF EUR (C)</t>
  </si>
  <si>
    <t>IE00BMP3HN93</t>
  </si>
  <si>
    <t>UBS ETF (IE) MSCI UK IMI Socially Responsible UCITS ETF (GBP) A-dis</t>
  </si>
  <si>
    <t>gettex, London, SIX Swiss Exchange, Euronext Amsterdam</t>
  </si>
  <si>
    <t>IE00BYVQ9F29</t>
  </si>
  <si>
    <t>iShares Nasdaq 100 UCITS ETF EUR Hedged Acc</t>
  </si>
  <si>
    <t>Xtrackers MSCI World Minimum Volatility UCITS ETF 1C</t>
  </si>
  <si>
    <t>iShares Global High Yield Corporate Bond UCITS ETF</t>
  </si>
  <si>
    <t>UBS ETF (LU) MSCI EMU Socially Responsible UCITS ETF (EUR) A-dis</t>
  </si>
  <si>
    <t>Amundi ETF DAX UCITS ETF DR</t>
  </si>
  <si>
    <t>IE00BHXMHK04</t>
  </si>
  <si>
    <t>UBS ETF (IE) S&amp;P 500 ESG UCITS ETF USD A-dis</t>
  </si>
  <si>
    <t>L&amp;G US Equity UCITS ETF</t>
  </si>
  <si>
    <t>gettex, XETRA, London, Borsa Italiana, Euronext Amsterdam</t>
  </si>
  <si>
    <t>SPDR Refinitiv Global Convertible Bond UCITS ETF</t>
  </si>
  <si>
    <t>iShares Euro Dividend UCITS ETF</t>
  </si>
  <si>
    <t>IE00B7LGZ558</t>
  </si>
  <si>
    <t>iShares France Government Bond UCITS ETF</t>
  </si>
  <si>
    <t>gettex, London, Stuttgart, Euronext Amsterdam</t>
  </si>
  <si>
    <t>Amundi EUR Corporate Bond 1-5Y ESG UCITS ETF DR</t>
  </si>
  <si>
    <t>IE00BF3N6Z78</t>
  </si>
  <si>
    <t>iShares Global Corporate Bond USD Hedged UCITS ETF</t>
  </si>
  <si>
    <t>IE00BNC1G707</t>
  </si>
  <si>
    <t>Xtrackers MSCI USA Communication Services UCITS ETF 1D</t>
  </si>
  <si>
    <t>UBS ETF (LU) Bloomberg Japan Treasury 1-3 Year Bond UCITS ETF (JPY) A-acc</t>
  </si>
  <si>
    <t>XETRA, London, SIX Swiss Exchange, Borsa Italiana</t>
  </si>
  <si>
    <t>IE00B6YX5L24</t>
  </si>
  <si>
    <t>SPDR Bloomberg 15+ Year Gilt UCITS ETF</t>
  </si>
  <si>
    <t>IE00B3W74078</t>
  </si>
  <si>
    <t>SPDR Bloomberg UK Gilt UCITS ETF</t>
  </si>
  <si>
    <t>IE000RHYOR04</t>
  </si>
  <si>
    <t>iShares EUR Ultrashort Bond UCITS ETF EUR (Acc)</t>
  </si>
  <si>
    <t>IE00BKT6RT64</t>
  </si>
  <si>
    <t>iShares China CNY Bond UCITS ETF USD Hedged (Dist)</t>
  </si>
  <si>
    <t>gettex, Euronext Amsterdam</t>
  </si>
  <si>
    <t>IE00BZ6V7883</t>
  </si>
  <si>
    <t>iShares US Mortgage Backed Securities UCITS ETF</t>
  </si>
  <si>
    <t>UBS ETF (LU) Sustainable Development Bank Bonds UCITS ETF (hedged to EUR) A-acc</t>
  </si>
  <si>
    <t>iShares MSCI AC Far East ex-Japan UCITS ETF</t>
  </si>
  <si>
    <t>L&amp;G Artificial Intelligence UCITS ETF</t>
  </si>
  <si>
    <t>Amundi DAX III UCITS ETF Acc</t>
  </si>
  <si>
    <t>IE00BHZPJ122</t>
  </si>
  <si>
    <t>iShares MSCI EM ESG Enhanced UCITS ETF USD (Dist)</t>
  </si>
  <si>
    <t>Amundi MSCI USA ESG Leaders UCITS ETF Acc</t>
  </si>
  <si>
    <t>LU1109943388</t>
  </si>
  <si>
    <t>Xtrackers EUR High Yield Corporate Bond UCITS ETF 1C</t>
  </si>
  <si>
    <t>Amundi MSCI Europe II UCITS ETF Acc</t>
  </si>
  <si>
    <t>UBS ETF (LU) MSCI Japan UCITS ETF (JPY) A-dis</t>
  </si>
  <si>
    <t>Amundi Index US Corporate SRI UCITS ETF DR (C)</t>
  </si>
  <si>
    <t>WisdomTree Global Quality Dividend Growth UCITS ETF USD Acc</t>
  </si>
  <si>
    <t>IE00BHZPHZ28</t>
  </si>
  <si>
    <t>iShares MSCI EMU ESG Enhanced UCITS ETF EUR (Dist)</t>
  </si>
  <si>
    <t>IE00BJK55B31</t>
  </si>
  <si>
    <t>iShares USD High Yield Corporate Bond ESG UCITS ETF USD (Acc)</t>
  </si>
  <si>
    <t>IE000VML2GZ3</t>
  </si>
  <si>
    <t>Amundi MSCI USA ESG Leaders Extra UCITS ETF DR USD (A)</t>
  </si>
  <si>
    <t>LU1681045537</t>
  </si>
  <si>
    <t>Amundi MSCI World ex Europe UCITS ETF EUR (C)</t>
  </si>
  <si>
    <t>Xtrackers II Global Government Bond UCITS ETF 1C EUR Hedged</t>
  </si>
  <si>
    <t>DE000A0Q4R36</t>
  </si>
  <si>
    <t>iShares STOXX Europe 600 Health Care UCITS ETF (DE)</t>
  </si>
  <si>
    <t>Amundi MSCI New Energy ESG Screened UCITS ETF Dist</t>
  </si>
  <si>
    <t>Invesco CoinShares Global Blockchain UCITS ETF Acc</t>
  </si>
  <si>
    <t>iShares UK Property UCITS ETF</t>
  </si>
  <si>
    <t>Xtrackers STOXX Global Select Dividend 100 Swap UCITS ETF 1D</t>
  </si>
  <si>
    <t>Invesco EURO STOXX 50 UCITS ETF</t>
  </si>
  <si>
    <t>IE00BJ5JP105</t>
  </si>
  <si>
    <t>iShares MSCI World Energy Sector UCITS ETF USD (Dist)</t>
  </si>
  <si>
    <t>gettex, XETRA, London, SIX Swiss Exchange, Euronext Amsterdam</t>
  </si>
  <si>
    <t>IE00BF5GB717</t>
  </si>
  <si>
    <t>iShares EUR Floating Rate Bond ESG UCITS ETF EUR (Dist)</t>
  </si>
  <si>
    <t>iShares US Property Yield UCITS ETF</t>
  </si>
  <si>
    <t>FR0011550193</t>
  </si>
  <si>
    <t>BNP Paribas Easy STOXX Europe 600 UCITS ETF</t>
  </si>
  <si>
    <t>IE00093GOJ04</t>
  </si>
  <si>
    <t>iShares Core EUR Corporate Bond UCITS ETF USD Hedged (Acc)</t>
  </si>
  <si>
    <t>Euronext Amsterdam</t>
  </si>
  <si>
    <t>IE000IP0UC52</t>
  </si>
  <si>
    <t>Amundi MSCI USA ESG Leaders UCITS ETF Acc EUR Hedged</t>
  </si>
  <si>
    <t>IE000MYCJA42</t>
  </si>
  <si>
    <t>Amundi MSCI North America ESG Climate Net Zero Ambition CTB UCITS ETF UCITS ETF Acc</t>
  </si>
  <si>
    <t>Euronext Paris, Borsa Italiana, Euronext Amsterdam</t>
  </si>
  <si>
    <t>UBS ETF (LU) Sustainable Development Bank Bonds UCITS ETF (USD) A-acc</t>
  </si>
  <si>
    <t>LU0643975161</t>
  </si>
  <si>
    <t>Xtrackers II Germany Government Bond UCITS ETF 1C</t>
  </si>
  <si>
    <t>BNP Paribas Easy ECPI Circular Economy Leaders UCITS ETF EUR</t>
  </si>
  <si>
    <t>LU2608817958</t>
  </si>
  <si>
    <t>Amundi MSCI Europe Climate Action UCITS ETF Dist</t>
  </si>
  <si>
    <t>DE0005933972</t>
  </si>
  <si>
    <t>iShares TecDAX UCITS ETF (DE)</t>
  </si>
  <si>
    <t>L&amp;G ROBO Global Robotics and Automation UCITS ETF</t>
  </si>
  <si>
    <t>IE000XFXBGR0</t>
  </si>
  <si>
    <t>UBS ETF (IE) MSCI USA Small Cap ESG Leaders UCITS ETF (USA) A-acc</t>
  </si>
  <si>
    <t>Amundi PEA MSCI USA ESG Leaders UCITS ETF EUR (C)</t>
  </si>
  <si>
    <t>Amundi MSCI Semiconductors ESG Screened UCITS ETF Acc</t>
  </si>
  <si>
    <t>UBS ETF (LU) MSCI USA UCITS ETF (USD) A-dis</t>
  </si>
  <si>
    <t>Xtrackers IE Physical Gold EUR Hedged ETC Securities</t>
  </si>
  <si>
    <t>IE00B88DZ566</t>
  </si>
  <si>
    <t>iShares S&amp;P 500 CHF Hedged UCITS ETF (Acc)</t>
  </si>
  <si>
    <t>iShares China Large Cap UCITS ETF</t>
  </si>
  <si>
    <t>Amundi Index J.P. Morgan GBI Government Bond Global UCITS ETF DR EUR Hedged</t>
  </si>
  <si>
    <t>IE00BZ17CN18</t>
  </si>
  <si>
    <t>iShares USD Short Duration High Yield Corporate Bond UCITS ETF USD (Acc)</t>
  </si>
  <si>
    <t>HSBC MSCI World UCITS ETF USD (Acc)</t>
  </si>
  <si>
    <t>IE000HFXP0D2</t>
  </si>
  <si>
    <t>JPMorgan Global Research Enhanced Index Equity (ESG) UCITS ETF USD (dist)</t>
  </si>
  <si>
    <t>LU0292097747</t>
  </si>
  <si>
    <t>Xtrackers MSCI UK ESG UCITS ETF 1D</t>
  </si>
  <si>
    <t>IE00BNRQM384</t>
  </si>
  <si>
    <t>Invesco Nasdaq-100 Swap UCITS ETF Acc</t>
  </si>
  <si>
    <t>IE00BGDPWW94</t>
  </si>
  <si>
    <t>iShares MSCI Europe SRI UCITS ETF EUR (Dist)</t>
  </si>
  <si>
    <t>gettex, XETRA, Stuttgart, Euronext Amsterdam</t>
  </si>
  <si>
    <t>DE000A2QP4B6</t>
  </si>
  <si>
    <t>iShares STOXX Europe 600 UCITS ETF (DE) EUR (Acc)</t>
  </si>
  <si>
    <t>IE00B0M62Y33</t>
  </si>
  <si>
    <t>iShares AEX UCITS ETF</t>
  </si>
  <si>
    <t>LU1407888137</t>
  </si>
  <si>
    <t>Amundi US Treasury Bond 7-10Y UCITS ETF EUR Hedged Acc</t>
  </si>
  <si>
    <t>Fidelity Global Quality Income UCITS ETF</t>
  </si>
  <si>
    <t>SPDR S&amp;P 500 EUR Hedged UCITS ETF</t>
  </si>
  <si>
    <t>DE000A28M8D0</t>
  </si>
  <si>
    <t>VanEck Bitcoin ETN</t>
  </si>
  <si>
    <t>Liechtenstein</t>
  </si>
  <si>
    <t>LU0533033071</t>
  </si>
  <si>
    <t>Amundi MSCI World Financials UCITS ETF USD Acc</t>
  </si>
  <si>
    <t>iShares J.P. Morgan USD EM Corporate Bond UCITS ETF (Dist)</t>
  </si>
  <si>
    <t>iShares MSCI World Health Care Sector ESG UCITS ETF USD (Dist)</t>
  </si>
  <si>
    <t>IE00BMW42181</t>
  </si>
  <si>
    <t>iShares MSCI Europe Health Care Sector UCITS ETF EUR (Acc)</t>
  </si>
  <si>
    <t>PIMCO US Short-Term High Yield Corporate Bond Index UCITS ETF EUR Hedged Dist</t>
  </si>
  <si>
    <t>IE00BYWZ0440</t>
  </si>
  <si>
    <t>BNP Paribas Easy MSCI Emerging ESG Filtered Min TE UCITS ETF</t>
  </si>
  <si>
    <t>LU1681044563</t>
  </si>
  <si>
    <t>Amundi MSCI Emerging Markets Asia UCITS ETF USD</t>
  </si>
  <si>
    <t>iShares iBonds Dec 2026 Term EUR Corporate UCITS ETF EUR (Dist)</t>
  </si>
  <si>
    <t>IE00B27YCN58</t>
  </si>
  <si>
    <t>iShares MSCI World Islamic UCITS ETF</t>
  </si>
  <si>
    <t>Invesco FTSE All-World UCITS ETF Acc</t>
  </si>
  <si>
    <t>IE00BMW42074</t>
  </si>
  <si>
    <t>iShares MSCI Europe Consumer Staples Sector UCITS ETF EUR (Acc)</t>
  </si>
  <si>
    <t>IE00BKBF6616</t>
  </si>
  <si>
    <t>iShares Core MSCI EMU UCITS ETF USD Hedged (Acc)</t>
  </si>
  <si>
    <t>IE00BCHWNW54</t>
  </si>
  <si>
    <t>Xtrackers MSCI USA Health Care UCITS ETF 1D</t>
  </si>
  <si>
    <t>iShares Euro Government Bond 0-1yr UCITS ETF</t>
  </si>
  <si>
    <t>SPDR Bloomberg Global Aggregate Bond UCITS ETF EUR Hedged</t>
  </si>
  <si>
    <t>Amundi US Treasury Bond 7-10Y UCITS ETF Acc</t>
  </si>
  <si>
    <t>IE000Y9MG996</t>
  </si>
  <si>
    <t>Amundi US Tech 100 Equal Weight UCITS ETF DR USD D</t>
  </si>
  <si>
    <t>SPDR Bloomberg Euro Aggregate Bond UCITS ETF</t>
  </si>
  <si>
    <t>Vanguard FTSE Emerging Markets UCITS ETF Acc</t>
  </si>
  <si>
    <t>CH0496454155</t>
  </si>
  <si>
    <t>21Shares Binance BNB ETP</t>
  </si>
  <si>
    <t>iShares STOXX Europe 50 UCITS ETF</t>
  </si>
  <si>
    <t>IE00B42TW061</t>
  </si>
  <si>
    <t>HSBC FTSE 100 UCITS ETF GBP</t>
  </si>
  <si>
    <t>WisdomTree WTI Crude Oil</t>
  </si>
  <si>
    <t>LU1169819809</t>
  </si>
  <si>
    <t>UBS ETF (LU) MSCI EMU UCITS ETF (hedged to USD) A-acc</t>
  </si>
  <si>
    <t>LU0641006290</t>
  </si>
  <si>
    <t>Xtrackers II Global Government Bond UCITS ETF 2D GBP Hedged</t>
  </si>
  <si>
    <t>Xtrackers MSCI World Swap UCITS ETF 4C EUR hedged</t>
  </si>
  <si>
    <t>FR0014003N93</t>
  </si>
  <si>
    <t>Amundi MSCI World II UCITS ETF EUR Hedged Acc</t>
  </si>
  <si>
    <t>IE00BMW42413</t>
  </si>
  <si>
    <t>iShares MSCI Europe Information Technology Sector UCITS ETF EUR (Acc)</t>
  </si>
  <si>
    <t>IE00B652H904</t>
  </si>
  <si>
    <t>iShares Emerging Markets Dividend UCITS ETF</t>
  </si>
  <si>
    <t>Amundi ETF Govies 0-6 Months Euro Investment Grade UCITS ETF EUR (C)</t>
  </si>
  <si>
    <t>UBS ETF (LU) Bloomberg MSCI Euro Area Liquid Corporates Sustainable UCITS ETF (EUR) A-dis</t>
  </si>
  <si>
    <t>Invesco Quantitative Strategies ESG Global Equity Multi-Factor UCITS ETF Acc</t>
  </si>
  <si>
    <t>SPDR Bloomberg Euro High Yield Bond UCITS ETF</t>
  </si>
  <si>
    <t>Amundi Russell 2000 UCITS ETF EUR (C)</t>
  </si>
  <si>
    <t>JPMorgan BetaBuilders US Treasury Bond 0-1 yr UCITS ETF USD (Acc)</t>
  </si>
  <si>
    <t>IE00BZ0G8B96</t>
  </si>
  <si>
    <t>SPDR MSCI Japan UCITS ETF</t>
  </si>
  <si>
    <t>gettex, XETRA, London, Euronext Paris, Stuttgart, SIX Swiss Exchange</t>
  </si>
  <si>
    <t>UBS ETF (IE) MSCI ACWI Socially Responsible UCITS ETF (USD) A-acc</t>
  </si>
  <si>
    <t>DE000EWG0LD1</t>
  </si>
  <si>
    <t>EUWAX Gold</t>
  </si>
  <si>
    <t>Amundi Italy BTP Government Bond 10Y UCITS ETF Acc</t>
  </si>
  <si>
    <t>gettex, Borsa Italiana</t>
  </si>
  <si>
    <t>iShares Edge MSCI World Multifactor UCITS ETF USD (Acc)</t>
  </si>
  <si>
    <t>UBS ETF (LU) Bloomberg US Liquid Corporates 1-5 Year UCITS ETF (hedged to EUR) A-acc</t>
  </si>
  <si>
    <t>IE00BSPLC413</t>
  </si>
  <si>
    <t>SPDR MSCI USA Small Cap Value Weighted UCITS ETF</t>
  </si>
  <si>
    <t>Vanguard USD Treasury Bond UCITS ETF Distributing</t>
  </si>
  <si>
    <t>Vanguard USD Treasury Bond UCITS ETF EUR Hedged Accumulating</t>
  </si>
  <si>
    <t>IE000TG1LGI4</t>
  </si>
  <si>
    <t>UBS ETF (IE) MSCI World ESG Leaders UCITS ETF (USA) A-acc</t>
  </si>
  <si>
    <t>Vanguard FTSE Developed Europe ex UK UCITS ETF (EUR) Accumulating</t>
  </si>
  <si>
    <t>IE00BCRY6227</t>
  </si>
  <si>
    <t>iShares USD Ultrashort Bond UCITS ETF</t>
  </si>
  <si>
    <t>LU1459801517</t>
  </si>
  <si>
    <t>UBS ETF (LU) Bloomberg TIPS 1-10 UCITS ETF (USD) A-acc</t>
  </si>
  <si>
    <t>IE00BVZ6SP04</t>
  </si>
  <si>
    <t>PIMCO Euro Short Maturity UCITS ETF Acc</t>
  </si>
  <si>
    <t>IE00B3VTN290</t>
  </si>
  <si>
    <t>iShares Euro Government Bond 7-10yr UCITS ETF (Acc)</t>
  </si>
  <si>
    <t>IE000A9QV382</t>
  </si>
  <si>
    <t>iShares France Government Bond UCITS ETF USD Hedged (Dist)</t>
  </si>
  <si>
    <t>IE00BDR55F85</t>
  </si>
  <si>
    <t>UBS ETF (IE) MSCI ACWI Socially Responsible UCITS ETF (hedged to CHF) A-acc</t>
  </si>
  <si>
    <t>IE00BKP5L730</t>
  </si>
  <si>
    <t>iShares J.P. Morgan ESG USD EM Bond UCITS ETF EUR Hedged (Acc)</t>
  </si>
  <si>
    <t>iShares EUR Corporate Bond 0-3yr ESG UCITS ETF EUR (Acc)</t>
  </si>
  <si>
    <t>IE00BJXRT698</t>
  </si>
  <si>
    <t>SPDR Bloomberg 1-3 Month T-Bill UCITS ETF</t>
  </si>
  <si>
    <t>LU2089238203</t>
  </si>
  <si>
    <t>Amundi Prime Global UCITS ETF DR (C)</t>
  </si>
  <si>
    <t>Amundi Floating Rate USD Corporate ESG UCITS ETF USD (C)</t>
  </si>
  <si>
    <t>Amundi MSCI World II UCITS ETF EUR Hedged Dist</t>
  </si>
  <si>
    <t>gettex, Euronext Paris, Borsa Italiana</t>
  </si>
  <si>
    <t>L&amp;G India INR Government Bond UCITS ETF USD Dist</t>
  </si>
  <si>
    <t>IE00058B19U6</t>
  </si>
  <si>
    <t>Amundi S&amp;P 500 Climate Net Zero Ambition PAB UCITS ETF EUR Hedged Acc</t>
  </si>
  <si>
    <t>UBS ETF (LU) MSCI EMU UCITS ETF (EUR) A-dis</t>
  </si>
  <si>
    <t>VanEck Video Gaming and eSports UCITS ETF</t>
  </si>
  <si>
    <t>Invesco US Treasury Bond 7-10 Year UCITS ETF Dist</t>
  </si>
  <si>
    <t>Amundi Nasdaq 100 UCITS ETF Daily Hedged EUR (C)</t>
  </si>
  <si>
    <t>CH1184151731</t>
  </si>
  <si>
    <t>Hashdex Nasdaq Crypto Index Europe ETP</t>
  </si>
  <si>
    <t>Vanguard LifeStrategy 80% Equity UCITS ETF (EUR) Accumulating</t>
  </si>
  <si>
    <t>gettex, XETRA, Borsa Italiana, Euronext Amsterdam</t>
  </si>
  <si>
    <t>LU0908501058</t>
  </si>
  <si>
    <t>Amundi MSCI EMU ESG CTB Net Zero Ambition UCITS ETF Acc</t>
  </si>
  <si>
    <t>UBS ETF (LU) SBI Foreign AAA-BBB 1-5 ESG UCITS ETF (CHF) A-dis</t>
  </si>
  <si>
    <t>LU1681047319</t>
  </si>
  <si>
    <t>Amundi EURO STOXX 50 UCITS ETF DR - EUR (D)</t>
  </si>
  <si>
    <t>IE00BG11HV38</t>
  </si>
  <si>
    <t>iShares MSCI World ESG Enhanced UCITS ETF USD (Dist)</t>
  </si>
  <si>
    <t>WisdomTree Physical Platinum</t>
  </si>
  <si>
    <t>IE00BKX8G916</t>
  </si>
  <si>
    <t>Invesco S&amp;P 500 UCITS ETF GBP Hedged Acc</t>
  </si>
  <si>
    <t>LU2089238898</t>
  </si>
  <si>
    <t>Amundi Prime Euro Govies UCITS ETF DR (C)</t>
  </si>
  <si>
    <t>LU1737652583</t>
  </si>
  <si>
    <t>Amundi Index MSCI Emerging Markets UCITS ETF DR (D)</t>
  </si>
  <si>
    <t>IE00BFNM3K80</t>
  </si>
  <si>
    <t>iShares MSCI World ESG Screened UCITS ETF USD (Dist)</t>
  </si>
  <si>
    <t>IE00B3B8PX14</t>
  </si>
  <si>
    <t>iShares Global Inflation Linked Government Bond UCITS ETF USD (Acc)</t>
  </si>
  <si>
    <t>LU1681042948</t>
  </si>
  <si>
    <t>Amundi PEA MSCI USA ESG Leaders UCITS ETF USD</t>
  </si>
  <si>
    <t>IE00BKVL7778</t>
  </si>
  <si>
    <t>iShares Edge MSCI World Minimum Volatility ESG UCITS ETF (Acc)</t>
  </si>
  <si>
    <t>Amundi UK Equity All Cap UCITS ETF Dist</t>
  </si>
  <si>
    <t>IE0008TKP6O7</t>
  </si>
  <si>
    <t>Amundi MSCI USA ESG Leaders Extra UCITS ETF UCITS ETF DR - USD (D)</t>
  </si>
  <si>
    <t>XETRA, Borsa Italiana</t>
  </si>
  <si>
    <t>UBS ETF (LU) MSCI United Kingdom UCITS ETF (hedged to EUR) A-acc</t>
  </si>
  <si>
    <t>Invesco STOXX Europe 600 UCITS ETF</t>
  </si>
  <si>
    <t>WisdomTree Industrial Metals</t>
  </si>
  <si>
    <t>LU1169819635</t>
  </si>
  <si>
    <t>UBS ETF (LU)  MSCI EMU UCITS ETF (hedged to CHF) A-acc</t>
  </si>
  <si>
    <t>SPDR Refinitiv Global Convertible Bond EUR Hedged UCITS ETF</t>
  </si>
  <si>
    <t>Vanguard USD Emerging Markets Government Bond UCITS ETF Accumulating</t>
  </si>
  <si>
    <t>L&amp;G Asia Pacific ex Japan Equity UCITS ETF</t>
  </si>
  <si>
    <t>FR0010790980</t>
  </si>
  <si>
    <t>Amundi ETF STOXX Europe 50 UCITS ETF EUR (C)</t>
  </si>
  <si>
    <t>gettex, XETRA, Euronext Paris, Stuttgart</t>
  </si>
  <si>
    <t>Vanguard USD Emerging Markets Government Bond UCITS ETF Distributing</t>
  </si>
  <si>
    <t>IE00BZ048579</t>
  </si>
  <si>
    <t>iShares USD Corporate Bond 0-3yr ESG UCITS ETF USD (Dist)</t>
  </si>
  <si>
    <t>Xtrackers Eurozone Inflation-Linked Bond UCITS ETF 1C</t>
  </si>
  <si>
    <t>FR0013380607</t>
  </si>
  <si>
    <t>Amundi CAC 40 UCITS ETF Acc</t>
  </si>
  <si>
    <t>gettex, Euronext Paris</t>
  </si>
  <si>
    <t>LU0943504760</t>
  </si>
  <si>
    <t>Xtrackers Swiss Large Cap UCITS ETF 1C</t>
  </si>
  <si>
    <t>gettex, SIX Swiss Exchange</t>
  </si>
  <si>
    <t>IE00BYXG2H39</t>
  </si>
  <si>
    <t>iShares Nasdaq US Biotechnology UCITS ETF</t>
  </si>
  <si>
    <t>Xtrackers S&amp;P 500 UCITS ETF 1C EUR hedged</t>
  </si>
  <si>
    <t>SPDR S&amp;P US Financials Select Sector UCITS ETF</t>
  </si>
  <si>
    <t>IE00BMZ17W23</t>
  </si>
  <si>
    <t>iShares MSCI World SRI UCITS ETF EUR Hedged (Dist)</t>
  </si>
  <si>
    <t>DE0002635273</t>
  </si>
  <si>
    <t>iShares DivDAX UCITS ETF (DE)</t>
  </si>
  <si>
    <t>Xtrackers MSCI World ESG UCITS ETF 2C EUR Hedged</t>
  </si>
  <si>
    <t>LU2668197069</t>
  </si>
  <si>
    <t>Amundi MSCI Japan ESG Climate Net Zero Ambition CTB UCITS ETF GBP Dist</t>
  </si>
  <si>
    <t>IE0000UJ3480</t>
  </si>
  <si>
    <t>iShares iBonds Dec 2028 Term USD Corporate UCITS ETF USD (Acc)</t>
  </si>
  <si>
    <t>gettex, XETRA, London, Euronext Paris, SIX Swiss Exchange</t>
  </si>
  <si>
    <t>Xtrackers MSCI USA UCITS ETF 2C EUR Hedged</t>
  </si>
  <si>
    <t>IE00B40B8R38</t>
  </si>
  <si>
    <t>iShares S&amp;P 500 Consumer Staples Sector UCITS ETF</t>
  </si>
  <si>
    <t>IE00B4694Z11</t>
  </si>
  <si>
    <t>SPDR Bloomberg Sterling Corporate Bond UCITS ETF</t>
  </si>
  <si>
    <t>IE0000VX9GN7</t>
  </si>
  <si>
    <t>BNP Paribas Easy S&amp;P 500 ESG UCITS ETF Capitalisation</t>
  </si>
  <si>
    <t>Xtrackers II Global Inflation-Linked Bond UCITS ETF 1C - EUR Hedged</t>
  </si>
  <si>
    <t>LU2345046655</t>
  </si>
  <si>
    <t>Amundi MSCI Emerging ex China ESG Leaders Select UCITS ETF DR (C)</t>
  </si>
  <si>
    <t>iShares MSCI Taiwan UCITS ETF</t>
  </si>
  <si>
    <t>IE00BDDRDW15</t>
  </si>
  <si>
    <t>iShares J.P. Morgan ESG USD EM Bond UCITS ETF</t>
  </si>
  <si>
    <t>iShares EURO STOXX Small UCITS ETF</t>
  </si>
  <si>
    <t>iShares Euro Government Bond 10-15yr UCITS ETF</t>
  </si>
  <si>
    <t>IE00B7452L46</t>
  </si>
  <si>
    <t>SPDR FTSE UK All Share UCITS ETF</t>
  </si>
  <si>
    <t>IE000U7L59A3</t>
  </si>
  <si>
    <t>iShares MSCI USA ESG Enhanced UCITS ETF EUR Hedged (Acc)</t>
  </si>
  <si>
    <t>LU2439113387</t>
  </si>
  <si>
    <t>Amundi Index Euro Aggregate SRI UCITS ETF DR (D)</t>
  </si>
  <si>
    <t>UBS ETF (LU) EURO STOXX 50 UCITS ETF (EUR) A-dis</t>
  </si>
  <si>
    <t>IE00B4KBBD01</t>
  </si>
  <si>
    <t>iShares S&amp;P 500 Utilities Sector UCITS ETF USD (Acc)</t>
  </si>
  <si>
    <t>Xtrackers USD High Yield Corporate Bond UCITS ETF 1D</t>
  </si>
  <si>
    <t>Fidelity Sustainable Research Enhanced Pacific ex-Japan Equity UCITS ETF Acc</t>
  </si>
  <si>
    <t>VanEck Junior Gold Miners UCITS</t>
  </si>
  <si>
    <t>IE00BYYLVH00</t>
  </si>
  <si>
    <t>UBS ETFs (IE) Bloomberg Commodity CMCI SF UCITS ETF (USD) A-acc</t>
  </si>
  <si>
    <t>LU0979892907</t>
  </si>
  <si>
    <t>UBS ETF (LU) MSCI Switzerland 20/35 UCITS ETF (CHF) A-dis</t>
  </si>
  <si>
    <t>UBS ETF (IE) S&amp;P 500 ESG UCITS ETF (hedged to EUR) A-acc</t>
  </si>
  <si>
    <t>UBS ETF (LU) J.P. Morgan USD EM IG ESG Diversified Bond UCITS ETF (hedged to EUR) A-acc</t>
  </si>
  <si>
    <t>Vanguard USD Corporate Bond UCITS ETF Distributing</t>
  </si>
  <si>
    <t>IE00BD3V0B10</t>
  </si>
  <si>
    <t>iShares S&amp;P U.S. Banks UCITS ETF USD (Acc)</t>
  </si>
  <si>
    <t>First Trust Nasdaq Clean Edge Smart Grid Infrastructure UCITS ETF Acc</t>
  </si>
  <si>
    <t>L&amp;G Battery Value-Chain UCITS ETF</t>
  </si>
  <si>
    <t>IE00BK5BQZ41</t>
  </si>
  <si>
    <t>Vanguard FTSE Developed Asia Pacific ex Japan UCITS ETF (USD) Accumulating</t>
  </si>
  <si>
    <t>iShares Edge MSCI Europe Quality Factor UCITS ETF</t>
  </si>
  <si>
    <t>Xtrackers MSCI Japan UCITS ETF 4C - EUR Hedged</t>
  </si>
  <si>
    <t>HSBC MSCI World Climate Paris Aligned UCITS ETF</t>
  </si>
  <si>
    <t>DE000A0H08M3</t>
  </si>
  <si>
    <t>iShares STOXX Europe 600 Oil &amp; Gas UCITS ETF (DE)</t>
  </si>
  <si>
    <t>iShares USD Corporate Bond ESG UCITS ETF (Dist)</t>
  </si>
  <si>
    <t>L&amp;G Clean Water UCITS ETF</t>
  </si>
  <si>
    <t>IE00BJ5JPH63</t>
  </si>
  <si>
    <t>iShares J.P. Morgan USD EM Bond UCITS ETF (Acc)</t>
  </si>
  <si>
    <t>IE00BGDQ0L74</t>
  </si>
  <si>
    <t>iShares European Property Yield UCITS ETF EUR (Acc)</t>
  </si>
  <si>
    <t>Global X U.S. Infrastructure Development UCITS ETF USD Accumulating</t>
  </si>
  <si>
    <t>DE0002635281</t>
  </si>
  <si>
    <t>iShares EURO STOXX Select Dividend 30 UCITS ETF (DE)</t>
  </si>
  <si>
    <t>Xtrackers LPX MM Private Equity Swap UCITS ETF 1C</t>
  </si>
  <si>
    <t>CH0454664027</t>
  </si>
  <si>
    <t>IE00B3SC9K16</t>
  </si>
  <si>
    <t>UBS ETF (IE) MSCI USA SF UCITS ETF (USD) A-acc</t>
  </si>
  <si>
    <t>IE00BM9GRN41</t>
  </si>
  <si>
    <t>Fidelity Sustainable Global Corporate Bond Paris-Aligned Multifactor UCITS ETF ACC-GBP (hedged)</t>
  </si>
  <si>
    <t>IE00BD1F4N50</t>
  </si>
  <si>
    <t>iShares Edge MSCI USA Momentum Factor UCITS ETF</t>
  </si>
  <si>
    <t>IE00BFM6TB42</t>
  </si>
  <si>
    <t>iShares Global Corporate Bond UCITS ETF USD (Acc)</t>
  </si>
  <si>
    <t>UBS ETF (IE) MSCI World Small Cap Socially Responsible UCITS ETF (USD) A-acc</t>
  </si>
  <si>
    <t>IE00BHZPJ346</t>
  </si>
  <si>
    <t>iShares MSCI Japan ESG Enhanced UCITS ETF USD (Dist)</t>
  </si>
  <si>
    <t>DE0005933998</t>
  </si>
  <si>
    <t>iShares STOXX Europe Mid 200 UCITS ETF (DE)</t>
  </si>
  <si>
    <t>iShares Electric Vehicles and Driving Technology UCITS ETF USD (Acc)</t>
  </si>
  <si>
    <t>IE000KYX7IP4</t>
  </si>
  <si>
    <t>Amundi S&amp;P Global Financials ESG UCITS ETF DR EUR (A)</t>
  </si>
  <si>
    <t>Fidelity Sustainable Research Enhanced US Equity UCITS ETF Acc</t>
  </si>
  <si>
    <t>IE00BGQYRR35</t>
  </si>
  <si>
    <t>Xtrackers MSCI USA Consumer Discretionary UCITS ETF 1D</t>
  </si>
  <si>
    <t>LU1681044308</t>
  </si>
  <si>
    <t>Amundi MSCI Europe ex Switzerland ESG Leaders UCITS ETF DR (C)</t>
  </si>
  <si>
    <t>gettex, Euronext Paris, SIX Swiss Exchange</t>
  </si>
  <si>
    <t>Invesco US Treasury Bond 7-10 Year UCITS ETF EUR Hedged Dist</t>
  </si>
  <si>
    <t>IE000BI0GCN3</t>
  </si>
  <si>
    <t>iShares Core UK Gilts UCITS ETF EUR Hedged (Dist)</t>
  </si>
  <si>
    <t>Vanguard ESG Global All Cap UCITS ETF (USD) Accumulating</t>
  </si>
  <si>
    <t>DE000ETFL565</t>
  </si>
  <si>
    <t>Deka MSCI Europe Climate Change ESG UCITS ETF</t>
  </si>
  <si>
    <t>L&amp;G Longer Dated All Commodities UCITS ETF</t>
  </si>
  <si>
    <t>Amundi Japan TOPIX II UCITS ETF EUR Dist</t>
  </si>
  <si>
    <t>Amundi MSCI EMU Small Cap ESG CTB Net Zero Ambition UCITS ETF</t>
  </si>
  <si>
    <t>iShares Euro Government Bond 5-7yr UCITS ETF</t>
  </si>
  <si>
    <t>Xtrackers S&amp;P 500 Equal Weight UCITS ETF 2C EUR Hedged</t>
  </si>
  <si>
    <t>iShares Euro Corporate Bond BBB-BB UCITS ETF</t>
  </si>
  <si>
    <t>Amundi Index Euro Corporate SRI UCITS ETF 2 DR EUR (C)</t>
  </si>
  <si>
    <t>IE00BZ173T46</t>
  </si>
  <si>
    <t>iShares MSCI USA SRI UCITS ETF USD (Dist)</t>
  </si>
  <si>
    <t>gettex, XETRA, Euronext Amsterdam</t>
  </si>
  <si>
    <t>IE000OHHIBC6</t>
  </si>
  <si>
    <t>iShares Core MSCI World UCITS ETF USD (Dist)</t>
  </si>
  <si>
    <t>IE00BKF09C98</t>
  </si>
  <si>
    <t>iShares USD High Yield Corporate Bond ESG UCITS ETF USD (Dist)</t>
  </si>
  <si>
    <t>SPDR Bloomberg SASB 0-3 Year Euro Corporate ESG UCITS ETF (Acc)</t>
  </si>
  <si>
    <t>IE0004J6PFL7</t>
  </si>
  <si>
    <t>iShares Core UK Gilts UCITS ETF USD Hedged (Dist)</t>
  </si>
  <si>
    <t>IE000H92C4B8</t>
  </si>
  <si>
    <t>iShares EUR High Yield Corporate Bond ESG Paris-Aligned Climate UCITS ETF EUR (Dist)</t>
  </si>
  <si>
    <t>UBS ETF (IE) MSCI USA Value UCITS ETF (USD) A-dis</t>
  </si>
  <si>
    <t>IE00BGV5VM45</t>
  </si>
  <si>
    <t>Xtrackers S&amp;P Europe ex UK UCITS ETF</t>
  </si>
  <si>
    <t>Amundi MSCI Europe Quality Factor UCITS ETF EUR (C)</t>
  </si>
  <si>
    <t>UBS ETF (LU) Bloomberg Euro Area Liquid Corporates 1-5 Year UCITS ETF (EUR) A-dis</t>
  </si>
  <si>
    <t>WisdomTree US Quality Dividend Growth UCITS ETF USD Acc</t>
  </si>
  <si>
    <t>Invesco S&amp;P 500 High Dividend Low Volatility UCITS ETF</t>
  </si>
  <si>
    <t>FR0012739431</t>
  </si>
  <si>
    <t>BNP Paribas Easy EURO STOXX 50 UCITS ETF</t>
  </si>
  <si>
    <t>Amundi EUR Corporate Bond UCITS ETF DR EUR (C)</t>
  </si>
  <si>
    <t>IE000F6G1DE0</t>
  </si>
  <si>
    <t>iShares EUR Corporate Bond 1-5yr UCITS ETF EUR (Acc)</t>
  </si>
  <si>
    <t>iShares iBonds Dec 2028 Term EUR Corporate UCITS ETF EUR (Acc)</t>
  </si>
  <si>
    <t>L&amp;G Japan Equity UCITS ETF</t>
  </si>
  <si>
    <t>Amundi Euro Government Bond 5-7Y UCITS ETF Acc</t>
  </si>
  <si>
    <t>Amundi Index MSCI Emerging ESG Broad CTB UCITS ETF DR (C)</t>
  </si>
  <si>
    <t>Invesco MSCI Emerging Markets UCITS ETF</t>
  </si>
  <si>
    <t>DE0005933964</t>
  </si>
  <si>
    <t>iShares SLI UCITS ETF (DE)</t>
  </si>
  <si>
    <t>IE000XLJ2JQ9</t>
  </si>
  <si>
    <t>Amundi S&amp;P SmallCap 600 ESG UCITS ETF UCITS ETF Dist</t>
  </si>
  <si>
    <t>UBS ETF (LU) J.P. Morgan Global Government ESG Liquid Bond UCITS ETF (hedged to EUR) A-acc</t>
  </si>
  <si>
    <t>Borsa Italiana</t>
  </si>
  <si>
    <t>Vanguard LifeStrategy 60% Equity UCITS ETF Accumulating</t>
  </si>
  <si>
    <t>LU2523865991</t>
  </si>
  <si>
    <t>Xtrackers II Eurozone Government Bond 7-10 UCITS ETF 2C - USD Hedged</t>
  </si>
  <si>
    <t>Invesco MSCI USA ESG Climate Paris Aligned UCITS ETF Acc</t>
  </si>
  <si>
    <t>iShares iBonds Dec 2027 Term EUR Corporate UCITS ETF EUR (Acc)</t>
  </si>
  <si>
    <t>First Trust Cloud Computing UCITS ETF Acc</t>
  </si>
  <si>
    <t>Amundi S&amp;P Global Luxury UCITS ETF EUR (C)</t>
  </si>
  <si>
    <t>Invesco FTSE RAFI US 1000 UCITS ETF</t>
  </si>
  <si>
    <t>Amundi MSCI EMU UCITS ETF Dist</t>
  </si>
  <si>
    <t>IE0000X2DXK3</t>
  </si>
  <si>
    <t>iShares iBonds Dec 2025 Term USD Corporate UCITS ETF USD (Acc)</t>
  </si>
  <si>
    <t>UBS ETF (LU) MSCI Japan Socially Responsible UCITS ETF (JPY) A-dis</t>
  </si>
  <si>
    <t>Amundi FTSE MIB UCITS ETF Dist</t>
  </si>
  <si>
    <t>gettex, London, Euronext Paris, Borsa Italiana</t>
  </si>
  <si>
    <t>iShares EURO STOXX Mid UCITS ETF</t>
  </si>
  <si>
    <t>IE00B7KQ7B66</t>
  </si>
  <si>
    <t>UBS ETF (IE) MSCI World UCITS ETF (USD) A-dis</t>
  </si>
  <si>
    <t>Vanguard ESG Global Corporate Bond UCITS ETF EUR Hedged Distributing</t>
  </si>
  <si>
    <t>gettex, XETRA, Euronext Paris, Borsa Italiana, Euronext Amsterdam</t>
  </si>
  <si>
    <t>LU0838782315</t>
  </si>
  <si>
    <t>Xtrackers DAX ESG Screened UCITS ETF 1D</t>
  </si>
  <si>
    <t>IE000K1P4V37</t>
  </si>
  <si>
    <t>Amundi MSCI World SRI Climate Net Zero Ambition PAB UCITS ETF EUR Hedged Acc</t>
  </si>
  <si>
    <t>IE00BKP5L623</t>
  </si>
  <si>
    <t>iShares J.P. Morgan ESG USD EM Bond UCITS ETF CHF Hedged (Acc)</t>
  </si>
  <si>
    <t>IE00B4LN9N13</t>
  </si>
  <si>
    <t>iShares S&amp;P 500 Industrials Sector UCITS ETF</t>
  </si>
  <si>
    <t>IE00BYVTMT69</t>
  </si>
  <si>
    <t>Invesco Nasdaq-100 UCITS ETF CHF Hedged</t>
  </si>
  <si>
    <t>LU2641054551</t>
  </si>
  <si>
    <t>Xtrackers II Germany Government Bond 0-1 UCITS ETF 1C</t>
  </si>
  <si>
    <t>IE00BYYR0489</t>
  </si>
  <si>
    <t>iShares MSCI Saudi Arabia Capped UCITS ETF USD (Acc)</t>
  </si>
  <si>
    <t>Franklin Euro Short Maturity UCITS ETF (Dis)</t>
  </si>
  <si>
    <t>IE00BK7Y2P34</t>
  </si>
  <si>
    <t>iShares Global Government Bond UCITS ETF USD Hedged (Acc)</t>
  </si>
  <si>
    <t>IE000E7EI9P0</t>
  </si>
  <si>
    <t>Amundi S&amp;P Global Information Technology ESG UCITS ETF DR EUR (A)</t>
  </si>
  <si>
    <t>IE00BMDFDY08</t>
  </si>
  <si>
    <t>iShares USD High Yield Corporate Bond ESG UCITS ETF EUR Hedged (Acc)</t>
  </si>
  <si>
    <t>Amundi MSCI AC Asia Pacific Ex Japan UCITS ETF Acc</t>
  </si>
  <si>
    <t>IE00BKT6FT27</t>
  </si>
  <si>
    <t>iShares Global Government Bond UCITS ETF EUR Hedged (Dist)</t>
  </si>
  <si>
    <t>IE00BKLC5874</t>
  </si>
  <si>
    <t>iShares EUR High Yield Corporate Bond ESG UCITS ETF EUR (Dist)</t>
  </si>
  <si>
    <t>iShares Ageing Population UCITS ETF</t>
  </si>
  <si>
    <t>SPDR S&amp;P US Health Care Select Sector UCITS ETF</t>
  </si>
  <si>
    <t>Amundi MSCI China UCITS ETF Acc</t>
  </si>
  <si>
    <t>UBS ETF (LU) MSCI EMU Socially Responsible UCITS ETF (EUR) A-acc</t>
  </si>
  <si>
    <t>iShares Asia Pacific Dividend UCITS ETF</t>
  </si>
  <si>
    <t>IE00BCLWRG39</t>
  </si>
  <si>
    <t>iShares MSCI Japan USD Hedged UCITS ETF (Acc)</t>
  </si>
  <si>
    <t>UBS ETF (LU) MSCI Canada UCITS ETF (CAD) A-acc</t>
  </si>
  <si>
    <t>iShares Dow Jones US Select Dividend UCITS ETF (DE)</t>
  </si>
  <si>
    <t>Invesco S&amp;P 500 ESG UCITS ETF EUR Hedged Acc</t>
  </si>
  <si>
    <t>Invesco Euro Government Bond 1-3 Year UCITS ETF Dist</t>
  </si>
  <si>
    <t>LU2233156749</t>
  </si>
  <si>
    <t>Amundi Index MSCI Japan SRI PAB UCITS ETF DR (C)</t>
  </si>
  <si>
    <t>iShares Agribusiness UCITS ETF</t>
  </si>
  <si>
    <t>gettex, London, Stuttgart, Borsa Italiana, Euronext Amsterdam</t>
  </si>
  <si>
    <t>IE00BKPT2S34</t>
  </si>
  <si>
    <t>iShares Global Inflation Linked Government Bond UCITS ETF EUR Hedged (Acc)</t>
  </si>
  <si>
    <t>SPDR Bloomberg Euro Government Bond UCITS ETF (Dist)</t>
  </si>
  <si>
    <t>IE00B42YS929</t>
  </si>
  <si>
    <t>iShares MSCI World GBP Hedged UCITS ETF (Acc)</t>
  </si>
  <si>
    <t>LU1169820997</t>
  </si>
  <si>
    <t>UBS ETF (LU) MSCI United Kingdom UCITS ETF (hedged to CHF) A-acc</t>
  </si>
  <si>
    <t>UBS ETF (LU) SBI Foreign AAA-BBB 5-10 ESG UCITS ETF (CHF) A-dis</t>
  </si>
  <si>
    <t>Amundi Euro High Yield Bond ESG UCITS ETF EUR (C)</t>
  </si>
  <si>
    <t>IE00BM67HX07</t>
  </si>
  <si>
    <t>Xtrackers S&amp;P 500 UCITS ETF 2C GBP hedged</t>
  </si>
  <si>
    <t>gettex, London, Stuttgart, SIX Swiss Exchange</t>
  </si>
  <si>
    <t>Amundi Euro Highest Rated Macro-Weighted Government Bond UCITS ETF Acc</t>
  </si>
  <si>
    <t>iShares iBonds Dec 2026 Term EUR Corporate UCITS ETF EUR (Acc)</t>
  </si>
  <si>
    <t>IE00BKW9SW28</t>
  </si>
  <si>
    <t>Invesco GBP Corporate Bond UCITS ETF Dist</t>
  </si>
  <si>
    <t>Amundi Dow Jones Industrial Average UCITS ETF Dist</t>
  </si>
  <si>
    <t>IE00BDDRF478</t>
  </si>
  <si>
    <t>iShares S&amp;P 500 Communication Sector UCITS ETF USD (Acc)</t>
  </si>
  <si>
    <t>LU1446552652</t>
  </si>
  <si>
    <t>Ossiam Shiller Barclays CAPEÂ® US Sector Value TR UCITS ETF 1C (EUR Hedged)</t>
  </si>
  <si>
    <t>Amundi Index J.P. Morgan GBI Global Government Bonds UCITS ETF DR (C)</t>
  </si>
  <si>
    <t>IE00B0M62V02</t>
  </si>
  <si>
    <t>iShares Euro Total Market Growth Large UCITS ETF</t>
  </si>
  <si>
    <t>IE00BDQZN337</t>
  </si>
  <si>
    <t>UBS ETF (IE) MSCI ACWI ESG Universal UCITS ETF (hedged to EUR) A-acc</t>
  </si>
  <si>
    <t>WisdomTree Physical Gold - EUR Daily Hedged</t>
  </si>
  <si>
    <t>IE00BFNM3M05</t>
  </si>
  <si>
    <t>iShares MSCI Japan ESG Screened UCITS ETF USD (Dist)</t>
  </si>
  <si>
    <t>IE00BJXT3B87</t>
  </si>
  <si>
    <t>UBS ETF (IE) MSCI USA Socially Responsible UCITS ETF (USD) A-dis</t>
  </si>
  <si>
    <t>iShares iBonds Dec 2025 Term EUR Corporate UCITS ETF EUR (Acc)</t>
  </si>
  <si>
    <t>Ossiam Euro Government Bonds 3-5Y Carbon Reduction UCITS ETF</t>
  </si>
  <si>
    <t>SPDR Bloomberg Global Aggregate Bond UCITS ETF</t>
  </si>
  <si>
    <t>iShares Smart City Infrastructure UCITS ETF USD (Acc)</t>
  </si>
  <si>
    <t>gettex, XETRA, Euronext Paris, SIX Swiss Exchange, Borsa Italiana, Euronext Amsterdam</t>
  </si>
  <si>
    <t>Xtrackers II USD Overnight Rate Swap UCITS ETF 1C</t>
  </si>
  <si>
    <t>IE00BFNM3C07</t>
  </si>
  <si>
    <t>iShares MSCI EMU ESG Screened UCITS ETF EUR (Dist)</t>
  </si>
  <si>
    <t>IE000U9J8HX9</t>
  </si>
  <si>
    <t>JPMorgan Nasdaq Equity Premium Income Active UCITS ETF USD (dist)</t>
  </si>
  <si>
    <t>IE00BZ56RN96</t>
  </si>
  <si>
    <t>WisdomTree Global Quality Dividend Growth UCITS ETF USD</t>
  </si>
  <si>
    <t>Xtrackers MSCI Pacific ex Japan ESG Screened UCITS ETF 1C</t>
  </si>
  <si>
    <t>DE000ETFL268</t>
  </si>
  <si>
    <t>Deka MSCI USA UCITS ETF</t>
  </si>
  <si>
    <t>GB00BNRRFY34</t>
  </si>
  <si>
    <t>CoinShares Physical Staked Solana</t>
  </si>
  <si>
    <t>BNP Paribas Easy MSCI EMU ESG Filtered Min TE UCITS ETF</t>
  </si>
  <si>
    <t>iShares STOXX Europe Select Dividend 30 UCITS ETF (DE)</t>
  </si>
  <si>
    <t>Lyxor Smart Overnight Return UCITS ETF C-USD</t>
  </si>
  <si>
    <t>Vanguard USD Corporate Bond UCITS ETF EUR Hedged Accumulating</t>
  </si>
  <si>
    <t>GB00B5840F36</t>
  </si>
  <si>
    <t>Xtrackers Physical Gold ETC</t>
  </si>
  <si>
    <t>IE00BK95B138</t>
  </si>
  <si>
    <t>iShares USD Treasury Bond UCITS ETF USD (Dist)</t>
  </si>
  <si>
    <t>HANetf Future of Defence UCITS ETF</t>
  </si>
  <si>
    <t>IE00BKPT2T41</t>
  </si>
  <si>
    <t>iShares J.P. Morgan ESG USD EM Investment Grade Bond UCITS ETF USD (Acc)</t>
  </si>
  <si>
    <t>SIX Swiss Exchange, Euronext Amsterdam</t>
  </si>
  <si>
    <t>IE00BDR55703</t>
  </si>
  <si>
    <t>UBS ETF (IE) MSCI ACWI Socially Responsible UCITS ETF (hedged to USD) A-acc</t>
  </si>
  <si>
    <t>IE00B48X4842</t>
  </si>
  <si>
    <t>SPDR MSCI Emerging Markets Small Cap UCITS ETF</t>
  </si>
  <si>
    <t>LU2355200796</t>
  </si>
  <si>
    <t>Amundi Index J.P. Morgan GBI Global Govies UCITS ETF DR Hedged GBP (D)</t>
  </si>
  <si>
    <t>LU1681038326</t>
  </si>
  <si>
    <t>Amundi Nasdaq 100 UCITS ETF USD</t>
  </si>
  <si>
    <t>JPMorgan EUR Corporate Bond Research Enhanced Index (ESG) UCITS ETF</t>
  </si>
  <si>
    <t>LU1407891271</t>
  </si>
  <si>
    <t>Amundi US Treasury Bond Long Dated UCITS ETF GBP Hedged Dist</t>
  </si>
  <si>
    <t>LU2297533809</t>
  </si>
  <si>
    <t>Amundi Index US Corporate SRI UCITS ETF DR Hedged EUR (D)</t>
  </si>
  <si>
    <t>Xtrackers MSCI World Communication Services UCITS ETF 1C</t>
  </si>
  <si>
    <t>iShares MSCI Australia UCITS ETF</t>
  </si>
  <si>
    <t>Xtrackers Global Government Bond UCITS ETF 5C</t>
  </si>
  <si>
    <t>L&amp;G ESG Emerging Markets Government Bond (USD) 0-5 Year UCITS ETF EUR Hedged Acc</t>
  </si>
  <si>
    <t>IE000W1AURU9</t>
  </si>
  <si>
    <t>iShares USD High Yield Corporate Bond ESG Paris-Aligned Climate UCITS ETF USD (Dist)</t>
  </si>
  <si>
    <t>SPDR Bloomberg 1-10 Year US Corporate Bond UCITS ETF</t>
  </si>
  <si>
    <t>IE00BDR5GV14</t>
  </si>
  <si>
    <t>UBS ETF (IE) Global Gender Equality UCITS ETF (USD) A-acc</t>
  </si>
  <si>
    <t>L&amp;G US ESG Exclusions Paris Aligned UCITS ETF USD Accumulating</t>
  </si>
  <si>
    <t>SPDR Bloomberg US Treasury Bond UCITS ETF</t>
  </si>
  <si>
    <t>DE000A0F5UK5</t>
  </si>
  <si>
    <t>iShares STOXX Europe 600 Basic Resources UCITS ETF (DE)</t>
  </si>
  <si>
    <t>DE000ETFL185</t>
  </si>
  <si>
    <t>Deka Deutsche Boerse EUROGOV Germany 1-3 UCITS ETF</t>
  </si>
  <si>
    <t>LU0484968903</t>
  </si>
  <si>
    <t>Xtrackers II EUR Corporate Bond SRI PAB UCITS ETF 1C</t>
  </si>
  <si>
    <t>IE000RUF4QN8</t>
  </si>
  <si>
    <t>Invesco Nasdaq-100 Swap UCITS ETF Dist</t>
  </si>
  <si>
    <t>LU2233156582</t>
  </si>
  <si>
    <t>Amundi Prime Euro Government Bonds 0-1Y UCITS ETF DR (C)</t>
  </si>
  <si>
    <t>Xtrackers Harvest CSI 300 UCITS ETF 1D</t>
  </si>
  <si>
    <t>IE00BDQYWQ65</t>
  </si>
  <si>
    <t>iShares USD TIPS 0-5 UCITS ETF USD (Dist)</t>
  </si>
  <si>
    <t>iShares Asia Property Yield UCITS ETF</t>
  </si>
  <si>
    <t>iShares USD Floating Rate Bond UCITS ETF</t>
  </si>
  <si>
    <t>IE00BJP26D89</t>
  </si>
  <si>
    <t>iShares EUR Ultrashort Bond ESG UCITS ETF (Dist)</t>
  </si>
  <si>
    <t>LU0641006456</t>
  </si>
  <si>
    <t>Xtrackers Global Government Bond UCITS ETF 3C USD hedged</t>
  </si>
  <si>
    <t>Amundi S&amp;P 500 UCITS ETF Daily Hedged EUR (C)</t>
  </si>
  <si>
    <t>Invesco US Health Care Sector UCITS ETF</t>
  </si>
  <si>
    <t>DE0006289465</t>
  </si>
  <si>
    <t>iShares eb.rexx Government Germany UCITS ETF (DE)</t>
  </si>
  <si>
    <t>IE00BFXR7892</t>
  </si>
  <si>
    <t>KraneShares CSI China Internet UCITS ETF USD</t>
  </si>
  <si>
    <t>XETRA, London, Euronext Amsterdam</t>
  </si>
  <si>
    <t>IE0006WW1TQ4</t>
  </si>
  <si>
    <t>Xtrackers MSCI World ex USA UCITS ETF 1C</t>
  </si>
  <si>
    <t>IE00B428Z604</t>
  </si>
  <si>
    <t>iShares Spain Government Bond UCITS ETF EUR (Dist)</t>
  </si>
  <si>
    <t>IE00BD8PH067</t>
  </si>
  <si>
    <t>iShares USD Treasury Bond 20+ UCITS ETF CHF Hedged (Dist)</t>
  </si>
  <si>
    <t>Vanguard USD Corporate 1-3 Bond UCITS ETF Distributing</t>
  </si>
  <si>
    <t>SPDR MSCI ACWI UCITS ETF EUR Hedged (Acc)</t>
  </si>
  <si>
    <t>Xtrackers II ESG Global Aggregate Bond UCITS ETF 5C EUR hedged</t>
  </si>
  <si>
    <t>IE00BGR7L912</t>
  </si>
  <si>
    <t>iShares USD Treasury Bond 0-1yr UCITS ETF USD (Dist)</t>
  </si>
  <si>
    <t>IE00BKPSFD61</t>
  </si>
  <si>
    <t>iShares China CNY Bond UCITS ETF USD (Acc)</t>
  </si>
  <si>
    <t>gettex, Euronext Paris, Euronext Amsterdam</t>
  </si>
  <si>
    <t>HSBC Hang Seng TECH UCITS ETF HKD</t>
  </si>
  <si>
    <t>HKD</t>
  </si>
  <si>
    <t>IE00BCBJF711</t>
  </si>
  <si>
    <t>SPDR Bloomberg 0-5 Year Sterling Corporate Bond UCITS ETF</t>
  </si>
  <si>
    <t>LU2572256746</t>
  </si>
  <si>
    <t>Amundi MSCI China A II UCITS ETF Dist</t>
  </si>
  <si>
    <t>IE00B3F81G20</t>
  </si>
  <si>
    <t>iShares MSCI Emerging Markets Small Cap UCITS ETF</t>
  </si>
  <si>
    <t>IE00BSKRJX20</t>
  </si>
  <si>
    <t>iShares EUR Government Bond 20yr Target Duration UCITS ETF EUR (Dist)</t>
  </si>
  <si>
    <t>DE000ETFL482</t>
  </si>
  <si>
    <t>Deka Euro iSTOXX ex Fin Dividend Plus UCITS ETF</t>
  </si>
  <si>
    <t>IE00BGQYRQ28</t>
  </si>
  <si>
    <t>Xtrackers MSCI USA Consumer Staples UCITS ETF 1D</t>
  </si>
  <si>
    <t>Vanguard ESG Global All Cap UCITS ETF (USD) Distributing</t>
  </si>
  <si>
    <t>IE00BFM6T921</t>
  </si>
  <si>
    <t>iShares Developed Markets Property Yield UCITS ETF USD (Acc)</t>
  </si>
  <si>
    <t>iShares MSCI EM Latin America UCITS ETF (Dist)</t>
  </si>
  <si>
    <t>Latin America</t>
  </si>
  <si>
    <t>DE000ETFL441</t>
  </si>
  <si>
    <t>Deka MDAX UCITS ETF</t>
  </si>
  <si>
    <t>DE000ETFL375</t>
  </si>
  <si>
    <t>Deka iBoxx EUR Liquid Corporates Diversified UCITS ETF</t>
  </si>
  <si>
    <t>IE0001UQQ933</t>
  </si>
  <si>
    <t>L&amp;G Gerd Kommer Multifactor Equity UCITS ETF USD Accumulating</t>
  </si>
  <si>
    <t>FR0010375766</t>
  </si>
  <si>
    <t>Amundi MSCI India II UCITS ETF USD Acc</t>
  </si>
  <si>
    <t>LU1686832194</t>
  </si>
  <si>
    <t>Amundi Euro Government Bond 25+Y UCITS ETF Acc</t>
  </si>
  <si>
    <t>IE00BDZVH966</t>
  </si>
  <si>
    <t>iShares USD TIPS UCITS ETF EUR Hedged (Acc)</t>
  </si>
  <si>
    <t>UBS ETF (IE) MSCI USA Climate Paris Aligned UCITS ETF (USD) A-acc</t>
  </si>
  <si>
    <t>BNP Paribas Easy EUR High Yield SRI Fossil Free UCITS ETF Acc</t>
  </si>
  <si>
    <t>DE0006289390</t>
  </si>
  <si>
    <t>iShares Dow Jones Industrial Average UCITS ETF (DE)</t>
  </si>
  <si>
    <t>Amundi S&amp;P 500 II UCITS ETF EUR Hedged Acc</t>
  </si>
  <si>
    <t>XS2376095068</t>
  </si>
  <si>
    <t>Invesco Physical Bitcoin</t>
  </si>
  <si>
    <t>IE00BF2GFK56</t>
  </si>
  <si>
    <t>Invesco US Treasury Bond UCITS ETF EUR Hedged Dist</t>
  </si>
  <si>
    <t>IE00BJSFR200</t>
  </si>
  <si>
    <t>iShares Global High Yield Corporate Bond UCITS ETF EUR Hedged (Dist)</t>
  </si>
  <si>
    <t>Fidelity US Quality Income UCITS ETF Acc</t>
  </si>
  <si>
    <t>Invesco Nasdaq Biotech UCITS ETF</t>
  </si>
  <si>
    <t>IE000OKVTDF7</t>
  </si>
  <si>
    <t>iShares MSCI USA Value Factor ESG UCITS ETF USD (Acc)</t>
  </si>
  <si>
    <t>IE00BDR55B48</t>
  </si>
  <si>
    <t>UBS ETF (IE) MSCI ACWI Socially Responsible UCITS ETF (hedged to GBP) A-dis</t>
  </si>
  <si>
    <t>Amundi FTSE 100 UCITS ETF Acc</t>
  </si>
  <si>
    <t>Amundi MSCI China ESG Leaders Extra UCITS ETF Acc</t>
  </si>
  <si>
    <t>Amundi S&amp;P Global Consumer Discretionary ESG UCITS ETF DR EUR (A)</t>
  </si>
  <si>
    <t>IE00BG0SKF03</t>
  </si>
  <si>
    <t>iShares Edge MSCI EM Value Factor UCITS ETF USD(Acc)</t>
  </si>
  <si>
    <t>iShares Fallen Angels High Yield Corporate Bond UCITS ETF</t>
  </si>
  <si>
    <t>UBS ETF (IE) S&amp;P 500 ESG Elite UCITS ETF (USD) A-acc</t>
  </si>
  <si>
    <t>IE00BMXC7W70</t>
  </si>
  <si>
    <t>iShares MSCI World Paris-Aligned Climate UCITS ETF USD (Acc)</t>
  </si>
  <si>
    <t>IE00B42WWV65</t>
  </si>
  <si>
    <t>Vanguard UK Gilt UCITS ETF Distributing</t>
  </si>
  <si>
    <t>IE00BKVL7331</t>
  </si>
  <si>
    <t>iShares Edge MSCI USA Minimum Volatility ESG UCITS ETF</t>
  </si>
  <si>
    <t>Amundi Euro Corporate 0-1Y ESG UCITS ETF DR (C)</t>
  </si>
  <si>
    <t>iShares Nikkei 225 UCITS ETF (Acc)</t>
  </si>
  <si>
    <t>DE000A0Q4R02</t>
  </si>
  <si>
    <t>iShares STOXX Europe 600 Utilities UCITS ETF (DE)</t>
  </si>
  <si>
    <t>Franklin Sustainable Euro Green Bond UCITS ETF</t>
  </si>
  <si>
    <t>Amundi US TIPS Government Inflation-Linked Bond UCITS ETF Dist</t>
  </si>
  <si>
    <t>Amundi Global Aggregate Green Bond UCITS ETF Acc</t>
  </si>
  <si>
    <t>UBS ETF (LU) MSCI Emerging Markets SRI UCITS ETF (USD) A-acc</t>
  </si>
  <si>
    <t>Amundi ETF MSCI Europe Ex EMU ESG Leaders UCITS ETF</t>
  </si>
  <si>
    <t>IE00B87RLX93</t>
  </si>
  <si>
    <t>iShares Euro Corporate Bond Financials UCITS ETF</t>
  </si>
  <si>
    <t>HANetf Sprott Uranium Miners UCITS ETF Acc</t>
  </si>
  <si>
    <t>Invesco AT1 Capital Bond UCITS ETF EUR Hedged Dist</t>
  </si>
  <si>
    <t>UBS ETF (LU) MSCI Europe UCITS ETF (EUR) A-dis</t>
  </si>
  <si>
    <t>LU0322248146</t>
  </si>
  <si>
    <t>Xtrackers SLI UCITS ETF 1D</t>
  </si>
  <si>
    <t>LU1737652310</t>
  </si>
  <si>
    <t>Amundi Index MSCI Europe UCITS ETF DR EUR (D)</t>
  </si>
  <si>
    <t>LU1589349734</t>
  </si>
  <si>
    <t>Amundi MSCI USA Minimum Volatility Factor UCITS ETF DR</t>
  </si>
  <si>
    <t>gettex, XETRA, Euronext Paris, Stuttgart, Euronext Amsterdam</t>
  </si>
  <si>
    <t>NL0009272749</t>
  </si>
  <si>
    <t>VanEck AEX UCITS ETF</t>
  </si>
  <si>
    <t>gettex, Euronext Amsterdam, Euronext Brussels</t>
  </si>
  <si>
    <t>GB00BLD4ZM24</t>
  </si>
  <si>
    <t>CoinShares Physical Staked Ethereum</t>
  </si>
  <si>
    <t>iShares Edge MSCI Europe Momentum Factor UCITS ETF</t>
  </si>
  <si>
    <t>IE00BCHWNV48</t>
  </si>
  <si>
    <t>Xtrackers MSCI USA Industrials UCITS ETF 1D</t>
  </si>
  <si>
    <t>DE0006289499</t>
  </si>
  <si>
    <t>iShares eb.rexx Government Germany 5.5-10.5yr UCITS ETF (DE)</t>
  </si>
  <si>
    <t>LU2655993207</t>
  </si>
  <si>
    <t>Amundi MSCI World UCITS ETF - EUR (D)</t>
  </si>
  <si>
    <t>IE00BFNM3F38</t>
  </si>
  <si>
    <t>iShares MSCI Europe ESG Screened UCITS ETF EUR (Dist)</t>
  </si>
  <si>
    <t>SPDR S&amp;P US Industrials Select Sector UCITS ETF</t>
  </si>
  <si>
    <t>Xtrackers US Treasuries Ultrashort Bond UCITS ETF 1C</t>
  </si>
  <si>
    <t>Amundi Index MSCI Pacific ex Japan SRI PAB UCITS ETF DR EUR (C)</t>
  </si>
  <si>
    <t>IE00B6R51Z18</t>
  </si>
  <si>
    <t>iShares Oil &amp; Gas Exploration &amp; Production UCITS ETF</t>
  </si>
  <si>
    <t>JPMorgan Eurozone Research Enhanced Index Equity (ESG) UCITS ETF EUR (acc)</t>
  </si>
  <si>
    <t>SPDR STOXX Europe 600 SRI UCITS ETF</t>
  </si>
  <si>
    <t>LU1655103486</t>
  </si>
  <si>
    <t>Ossiam Bloomberg Europe ex Eurozone PAB NR UCITS ETF 1C (EUR)</t>
  </si>
  <si>
    <t>Amundi S&amp;P Global Communication Services ESG UCITS ETF DR EUR (A)</t>
  </si>
  <si>
    <t>UBS ETF (IE) MSCI USA hedged EUR UCITS ETF (EUR) A-acc</t>
  </si>
  <si>
    <t>Invesco Morningstar US Energy Infrastructure MLP UCITS ETF Dist</t>
  </si>
  <si>
    <t>DE000A0H0744</t>
  </si>
  <si>
    <t>iShares Dow Jones Asia Pacific Select Dividend 50 UCITS ETF (DE)</t>
  </si>
  <si>
    <t>IE000XNILW20</t>
  </si>
  <si>
    <t>WisdomTree Global Sustainable Equity UCITS ETF USD Unhedged Acc</t>
  </si>
  <si>
    <t>XETRA, London, Borsa Italiana</t>
  </si>
  <si>
    <t>Invesco Physical Gold EUR Hedged ETC</t>
  </si>
  <si>
    <t>Amundi Index FTSE EPRA NAREIT Global UCITS ETF DR</t>
  </si>
  <si>
    <t>gettex, London, Euronext Paris, Stuttgart, Borsa Italiana, Euronext Amsterdam</t>
  </si>
  <si>
    <t>IE00BZBW4Z27</t>
  </si>
  <si>
    <t>First Trust US Equity Income UCITS ETF Dist</t>
  </si>
  <si>
    <t>IE00B6YX5K17</t>
  </si>
  <si>
    <t>SPDR Bloomberg 1-5 Year Gilt UCITS ETF</t>
  </si>
  <si>
    <t>UBS ETF (LU) Bloomberg TIPS 1-10 UCITS ETF (hedged to EUR) A-acc</t>
  </si>
  <si>
    <t>UBS ETF (LU) J.P. Morgan USD EM Diversified Bond 1-5 UCITS ETF (hedged to EUR) A-acc</t>
  </si>
  <si>
    <t>PIMCO Euro Low Duration Corporate Bond UCITS ETF Dist</t>
  </si>
  <si>
    <t>IE00BD4TYL27</t>
  </si>
  <si>
    <t>UBS ETF (IE) MSCI USA hedged CHF UCITS ETF (CHF) A-acc</t>
  </si>
  <si>
    <t>IE00BMW42520</t>
  </si>
  <si>
    <t>iShares MSCI Europe Industrials Sector UCITS ETF EUR (Acc)</t>
  </si>
  <si>
    <t>IE00BKT1CS59</t>
  </si>
  <si>
    <t>iShares J.P. Morgan USD EM Corp Bond UCITS ETF EUR Hedged (Acc)</t>
  </si>
  <si>
    <t>IE0003NQ0IY5</t>
  </si>
  <si>
    <t>Xtrackers MSCI World Quality ESG UCITS ETF 1C</t>
  </si>
  <si>
    <t>Xtrackers MSCI AC Asia ex Japan ESG Swap UCITS ETF 1C</t>
  </si>
  <si>
    <t>IE00BMGNVD65</t>
  </si>
  <si>
    <t>iShares Core Global Aggregate Bond UCITS ETF USD Hedged (Dist)</t>
  </si>
  <si>
    <t>Amundi S&amp;P Global Industrials ESG UCITS ETF DR EUR (A)</t>
  </si>
  <si>
    <t>DE000A2UDH48</t>
  </si>
  <si>
    <t>Xtrackers IE Physical Gold GBP Hedged ETC Securities</t>
  </si>
  <si>
    <t>JPMorgan USD Emerging Markets Sovereign Bond UCITS ETF - EUR Hedged (acc)</t>
  </si>
  <si>
    <t>LU2611731824</t>
  </si>
  <si>
    <t>Amundi NYSE Arca Gold Bugs UCITS ETF Dist</t>
  </si>
  <si>
    <t>XETRA, Euronext Paris, SIX Swiss Exchange, Euronext Amsterdam</t>
  </si>
  <si>
    <t>Xtrackers iBoxx EUR Corporate Bond Yield Plus UCITS ETF 1D</t>
  </si>
  <si>
    <t>IE0009W21NT4</t>
  </si>
  <si>
    <t>UBS ETF (IE) MSCI World ESG Leaders UCITS ETF (hedged to EUR) A-acc</t>
  </si>
  <si>
    <t>Xtrackers Global Government Bond UCITS ETF 1D EUR hedged</t>
  </si>
  <si>
    <t>LU0641006613</t>
  </si>
  <si>
    <t>Xtrackers Global Government Bond UCITS ETF 4C CHF hedged</t>
  </si>
  <si>
    <t>Xtrackers II Eurozone Government Bond 3-5 UCITS ETF 1C</t>
  </si>
  <si>
    <t>Amundi US Treasury Bond Long Dated UCITS ETF Dist</t>
  </si>
  <si>
    <t>iShares USD Corporate Bond ESG 0-3yr UCITS ETF EUR Hedged (Acc)</t>
  </si>
  <si>
    <t>IE000CXLGK86</t>
  </si>
  <si>
    <t>Xtrackers S&amp;P 500 Equal Weight UCITS ETF 2D</t>
  </si>
  <si>
    <t>Amundi EUR High Yield Corporate Bond ESG UCITS ETF Dist</t>
  </si>
  <si>
    <t>iShares Edge MSCI EM Minimum Volatility UCITS ETF</t>
  </si>
  <si>
    <t>iShares Italy Government Bond UCITS ETF EUR (Acc)</t>
  </si>
  <si>
    <t>DE000A0H08K7</t>
  </si>
  <si>
    <t>iShares STOXX Europe 600 Insurance UCITS ETF (DE)</t>
  </si>
  <si>
    <t>SPDR Bloomberg US TIPS UCITS ETF</t>
  </si>
  <si>
    <t>IE00B58FQX63</t>
  </si>
  <si>
    <t>UBS ETF (IE) CMCI Composite SF UCITS ETF (hedged to CHF) A-acc</t>
  </si>
  <si>
    <t>LU2090063673</t>
  </si>
  <si>
    <t>Amundi MSCI Japan UCITS ETF Dist</t>
  </si>
  <si>
    <t>iShares USD TIPS UCITS ETF USD (Dist)</t>
  </si>
  <si>
    <t>IE000MAO75G5</t>
  </si>
  <si>
    <t>DE0006289473</t>
  </si>
  <si>
    <t>iShares eb.rexx Government Germany 1.5-2.5yr UCITS ETF (DE)</t>
  </si>
  <si>
    <t>HSBC MSCI World UCITS ETF EUR Hedged (Acc)</t>
  </si>
  <si>
    <t>XETRA, London, Euronext Paris, Borsa Italiana</t>
  </si>
  <si>
    <t>PIMCO US Short-Term High Yield Corporate Bond Index UCITS ETF Dist</t>
  </si>
  <si>
    <t>AXA IM ACT Climate Equity UCITS ETF USD Acc</t>
  </si>
  <si>
    <t>iShares USD High Yield Corporate Bond UCITS ETF EUR Hedged (Dist)</t>
  </si>
  <si>
    <t>L&amp;G Europe ex UK Equity UCITS ETF</t>
  </si>
  <si>
    <t>Amundi Euro Highest Rated Macro-Weighted Government Bond 1-3Y UCITS ETF Acc</t>
  </si>
  <si>
    <t>iShares MSCI Japan Small Cap UCITS ETF (Dist)</t>
  </si>
  <si>
    <t>SPDR S&amp;P US Utilities Select Sector UCITS ETF</t>
  </si>
  <si>
    <t>LU1681037609</t>
  </si>
  <si>
    <t>Amundi Japan Topix UCITS ETF EUR</t>
  </si>
  <si>
    <t>IE00BDQZ5152</t>
  </si>
  <si>
    <t>iShares USD Intermediate Credit Bond UCITS ETF</t>
  </si>
  <si>
    <t>Amundi DJ Global Titans 50 UCITS ETF Dist</t>
  </si>
  <si>
    <t>IE000EJ2EHO7</t>
  </si>
  <si>
    <t>UBS ETF (IE) Factor MSCI World Minimum Volatility ESG Leaders UCITS ETF (USA) A-acc</t>
  </si>
  <si>
    <t>IE00BFZPF546</t>
  </si>
  <si>
    <t>iShares J.P. Morgan Emerging Markets Local Government Bond UCITS ETF USD (Acc)</t>
  </si>
  <si>
    <t>LU1847674733</t>
  </si>
  <si>
    <t>Ossiam Bloomberg Eurozone PAB NR UCITS ETF 1C (EUR)</t>
  </si>
  <si>
    <t>DE000ETF9090</t>
  </si>
  <si>
    <t>Amundi DAX 50 ESG II UCITS ETF Dist</t>
  </si>
  <si>
    <t>IE0003UVYC20</t>
  </si>
  <si>
    <t>JPMorgan Global Equity Premium Income Active UCITS ETF USD (dist)</t>
  </si>
  <si>
    <t>BNP Paribas Easy JPM ESG EMU Government Bond IG 1-3Y UCITS ETF Capitalisation</t>
  </si>
  <si>
    <t>DE000A0H08J9</t>
  </si>
  <si>
    <t>iShares STOXX Europe 600 Industrial Goods &amp; Services UCITS ETF (DE)</t>
  </si>
  <si>
    <t>iShares Diversified Commodity Swap UCITS ETF (DE)</t>
  </si>
  <si>
    <t>gettex, XETRA, Euronext Paris, Stuttgart, Borsa Italiana, Euronext Amsterdam</t>
  </si>
  <si>
    <t>Invesco Nasdaq-100 UCITS ETF EUR Hedged</t>
  </si>
  <si>
    <t>IE00BK72HH44</t>
  </si>
  <si>
    <t>UBS ETF (IE) MSCI World Socially Responsible UCITS ETF (USD) A-dis</t>
  </si>
  <si>
    <t>Global X Nasdaq 100 Covered Call UCITS ETF D</t>
  </si>
  <si>
    <t>HSBC Asia Pacific ex Japan Sustainable Equity UCITS ETF USD</t>
  </si>
  <si>
    <t>IE0000VITHT2</t>
  </si>
  <si>
    <t>iShares iBonds Dec 2028 Term USD Corporate UCITS ETF USD (Dist)</t>
  </si>
  <si>
    <t>Amundi S&amp;P Global Energy Carbon Reduced UCITS ETF DR EUR (A)</t>
  </si>
  <si>
    <t>IE00BD1F4K20</t>
  </si>
  <si>
    <t>iShares Edge MSCI USA Size Factor UCITS ETF</t>
  </si>
  <si>
    <t>UBS ETF (IE) MSCI AC Asia Ex Japan SF UCITS ETF (USD) A-acc</t>
  </si>
  <si>
    <t>HSBC MSCI Emerging Markets UCITS ETF USD (Acc)</t>
  </si>
  <si>
    <t>UBS ETF (LU) J.P. Morgan USD EM IG ESG Diversified Bond UCITS ETF (USD) A-acc</t>
  </si>
  <si>
    <t>IE00BGDQ0T50</t>
  </si>
  <si>
    <t>iShares MSCI EM SRI UCITS ETF USD (Dist)</t>
  </si>
  <si>
    <t>UBS ETF (IE) CMCI Composite SF UCITS ETF (hedged to EUR) A-acc</t>
  </si>
  <si>
    <t>iShares Edge MSCI World Size Factor UCITS ETF</t>
  </si>
  <si>
    <t>IE0008ZGI5C1</t>
  </si>
  <si>
    <t>FlexShares Listed Private Equity UCITS ETF</t>
  </si>
  <si>
    <t>gettex, XETRA, London, Euronext Paris, Euronext Amsterdam</t>
  </si>
  <si>
    <t>Vanguard ESG Global Corporate Bond UCITS ETF EUR Hedged Accumulating</t>
  </si>
  <si>
    <t>IE00BDFJYM28</t>
  </si>
  <si>
    <t>iShares US Aggregate Bond UCITS ETF EUR Hedged (Acc)</t>
  </si>
  <si>
    <t>IE00BF20LF40</t>
  </si>
  <si>
    <t>iShares MSCI Europe Mid Cap UCITS ETF EUR (Acc)</t>
  </si>
  <si>
    <t>Amundi Government Bond Highest Rated Euro Investment Grade UCITS ETF EUR (C)</t>
  </si>
  <si>
    <t>DE000ETFL599</t>
  </si>
  <si>
    <t>Deka MSCI EUR Corporates Climate Change ESG UCITS ETF</t>
  </si>
  <si>
    <t>VanEck Crypto and Blockchain Innovators UCITS ETF</t>
  </si>
  <si>
    <t>IE000W8HP9L8</t>
  </si>
  <si>
    <t>BNP Paribas Easy MSCI World ESG Filtered Min TE UCITS ETF EUR Acc</t>
  </si>
  <si>
    <t>Xtrackers MSCI EM Asia ESG Screened Swap UCITS ETF 1C</t>
  </si>
  <si>
    <t>Amundi MSCI Europe Value Factor UCITS ETF EUR</t>
  </si>
  <si>
    <t>IE00B43VDT70</t>
  </si>
  <si>
    <t>Invesco Physical Silver</t>
  </si>
  <si>
    <t>IE00BGDPWV87</t>
  </si>
  <si>
    <t>iShares Asia Property Yield UCITS ETF USD (Acc)</t>
  </si>
  <si>
    <t>Xtrackers MSCI World Consumer Discretionary UCITS ETF 1C</t>
  </si>
  <si>
    <t>LU1291103338</t>
  </si>
  <si>
    <t>BNP Paribas Easy MSCI USA SRI S-Series PAB 5% Capped UCITS ETF USD Acc</t>
  </si>
  <si>
    <t>SPDR Dow Jones Global Real Estate UCITS ETF</t>
  </si>
  <si>
    <t>UBS ETF (LU) Bloomberg US Liquid Corporates 1-5 Year UCITS ETF (USD) A-dis</t>
  </si>
  <si>
    <t>IE000P2WSBY0</t>
  </si>
  <si>
    <t>Invesco Global Corporate Bond ESG UCITS ETF GBP PfHdg Dist</t>
  </si>
  <si>
    <t>Amundi MSCI Nordic UCITS ETF EUR (C)</t>
  </si>
  <si>
    <t>L&amp;G Europe ESG Exclusions Paris Aligned UCITS ETF EUR Accumulating</t>
  </si>
  <si>
    <t>IE000R9FA4A0</t>
  </si>
  <si>
    <t>iShares S&amp;P 500 ESG UCITS ETF USD (Acc)</t>
  </si>
  <si>
    <t>IE00BYZ28V50</t>
  </si>
  <si>
    <t>iShares Global Government Bond UCITS ETF (Acc)</t>
  </si>
  <si>
    <t>IE00BMX0DF60</t>
  </si>
  <si>
    <t>iShares US Medical Devices UCITS ETF USD (Acc)</t>
  </si>
  <si>
    <t>gettex, Euronext Paris, SIX Swiss Exchange, Euronext Amsterdam</t>
  </si>
  <si>
    <t>IE0006FM6MI8</t>
  </si>
  <si>
    <t>Amundi S&amp;P Global Health Care ESG UCITS ETF DR EUR (A)</t>
  </si>
  <si>
    <t>LU0614173549</t>
  </si>
  <si>
    <t>Xtrackers Eurozone Government Bond 1-3 UCITS ETF 1D</t>
  </si>
  <si>
    <t>LU0514695187</t>
  </si>
  <si>
    <t>Xtrackers MSCI India Swap UCITS ETF 1C</t>
  </si>
  <si>
    <t>Xtrackers Physical Silver ETC (EUR)</t>
  </si>
  <si>
    <t>AXA IM ACT Biodiversity Equity UCITS ETF USD Acc</t>
  </si>
  <si>
    <t>LU2082999306</t>
  </si>
  <si>
    <t>Lyxor Smart Overnight Return UCITS ETF D-EUR</t>
  </si>
  <si>
    <t>DE000ETFL227</t>
  </si>
  <si>
    <t>Deka Deutsche Boerse EUROGOV Germany Money Market UCITS ETF</t>
  </si>
  <si>
    <t>Amundi MSCI Future Mobility ESG Screened UCITS ETF Acc</t>
  </si>
  <si>
    <t>IE00BK6NC407</t>
  </si>
  <si>
    <t>iShares Core EUR Corporate Bond UCITS ETF CHF Hedged (Acc)</t>
  </si>
  <si>
    <t>LU0994505336</t>
  </si>
  <si>
    <t>Xtrackers Spanish Equity UCITS ETF 1D</t>
  </si>
  <si>
    <t>LU0533033741</t>
  </si>
  <si>
    <t>Amundi MSCI World Information Technology UCITS ETF USD Acc</t>
  </si>
  <si>
    <t>LU0671493277</t>
  </si>
  <si>
    <t>UBS ETF (LU) MSCI EMU Small Cap UCITS ETF (EUR) A-dis</t>
  </si>
  <si>
    <t>WisdomTree Broad Commodities UCITS ETF</t>
  </si>
  <si>
    <t>IE00B27YCP72</t>
  </si>
  <si>
    <t>iShares MSCI Emerging Markets Islamic UCITS ETF</t>
  </si>
  <si>
    <t>SPDR Bloomberg SASB U.S. Corporate ESG UCITS ETF EUR Hedged (Acc)</t>
  </si>
  <si>
    <t>JPMorgan Japan Research Enhanced Index Equity (ESG) UCITS ETF USD (acc)</t>
  </si>
  <si>
    <t>Xtrackers Japan Government Bond UCITS ETF 1C</t>
  </si>
  <si>
    <t>gettex, Euronext Paris, SIX Swiss Exchange, Borsa Italiana</t>
  </si>
  <si>
    <t>Xtrackers S&amp;P Global Infrastructure Swap UCITS ETF 1C</t>
  </si>
  <si>
    <t>Xtrackers Euro Stoxx Quality Dividend UCITS ETF 1D</t>
  </si>
  <si>
    <t>IE00BMW42298</t>
  </si>
  <si>
    <t>iShares MSCI Europe Consumer Discretionary Sector UCITS ETF EUR (Acc)</t>
  </si>
  <si>
    <t>IE000BWITBP9</t>
  </si>
  <si>
    <t>iShares iBonds Dec 2026 Term USD Corporate UCITS ETF USD (Acc)</t>
  </si>
  <si>
    <t>Amundi MSCI AC Asia Ex Japan UCITS ETF Acc</t>
  </si>
  <si>
    <t>IE00BMFJGP26</t>
  </si>
  <si>
    <t>iShares Core Euro Government Bond UCITS ETF CHF Hedged (Acc)</t>
  </si>
  <si>
    <t>DE000ETFL466</t>
  </si>
  <si>
    <t>Deka EURO STOXX 50 ESG Filtered UCITS ETF</t>
  </si>
  <si>
    <t>IE000N6LBS91</t>
  </si>
  <si>
    <t>UBS ETF (IE) MSCI World UCITS ETF (hedged to CHF) A-acc</t>
  </si>
  <si>
    <t>DE000ETFL235</t>
  </si>
  <si>
    <t>Deka DAXplus Maximum Dividend UCITS ETF</t>
  </si>
  <si>
    <t>IE000H1H16W5</t>
  </si>
  <si>
    <t>iShares MSCI World Value Factor ESG UCITS ETF USD (Acc)</t>
  </si>
  <si>
    <t>Amundi MSCI India UCITS ETF EUR (C)</t>
  </si>
  <si>
    <t>IE00BF2FNB90</t>
  </si>
  <si>
    <t>Invesco US Treasury Bond 7-10 Year UCITS ETF GBP Hedged Dist</t>
  </si>
  <si>
    <t>IE0006QX3Y11</t>
  </si>
  <si>
    <t>Ossiam Bloomberg Canada PAB UCITS ETF 1A (EUR)</t>
  </si>
  <si>
    <t>iShares MSCI Korea UCITS ETF (Dist)</t>
  </si>
  <si>
    <t>IE000FF2EBQ8</t>
  </si>
  <si>
    <t>BNP Paribas Easy ECPI Global ESG Infrastructure UCITS ETF EUR Capitalisation</t>
  </si>
  <si>
    <t>iShares Edge MSCI Europe Multifactor UCITS ETF</t>
  </si>
  <si>
    <t>LU1184092051</t>
  </si>
  <si>
    <t>Xtrackers MSCI Europe UCITS ETF 2C USD hedged</t>
  </si>
  <si>
    <t>IE00BSPLC298</t>
  </si>
  <si>
    <t>SPDR MSCI Europe Small Cap Value Weighted UCITS ETF</t>
  </si>
  <si>
    <t>BNP Paribas Easy MSCI USA SRI S-Series PAB 5% Capped UCITS ETF EUR Dis</t>
  </si>
  <si>
    <t>LU0292103222</t>
  </si>
  <si>
    <t>Xtrackers MSCI Europe Health Care ESG Screened UCITS ETF 1C</t>
  </si>
  <si>
    <t>Invesco US Financials Sector UCITS ETF</t>
  </si>
  <si>
    <t>LU1127514245</t>
  </si>
  <si>
    <t>Xtrackers MSCI EMU UCITS ETF 1C USD hedged</t>
  </si>
  <si>
    <t>IE00BYYLVK39</t>
  </si>
  <si>
    <t>UBS ETFs (IE) Bloomberg Commodity CMCI SF UCITS ETF (hedged to CHF) A-acc</t>
  </si>
  <si>
    <t>IE00BYXYX521</t>
  </si>
  <si>
    <t>Invesco Bloomberg Commodity ex-Agriculture UCITS ETF Acc</t>
  </si>
  <si>
    <t>Xtrackers Eurozone Government Bond Yield Plus 1-3 UCITS ETF 1C</t>
  </si>
  <si>
    <t>IE00B296QM64</t>
  </si>
  <si>
    <t>iShares MSCI USA Islamic UCITS ETF</t>
  </si>
  <si>
    <t>LU1852211561</t>
  </si>
  <si>
    <t>UBS ETF (LU) Sustainable Development Bank Bonds UCITS ETF (hedged to CHF) A-acc</t>
  </si>
  <si>
    <t>WisdomTree USD Floating Rate Treasury Bond UCITS ETF USD Acc</t>
  </si>
  <si>
    <t>UBS ETF (IE) MSCI Australia UCITS ETF (AUD) A-acc</t>
  </si>
  <si>
    <t>AUD</t>
  </si>
  <si>
    <t>DE000ETFL524</t>
  </si>
  <si>
    <t xml:space="preserve">Deka US Treasury 7-10 UCITS ETF </t>
  </si>
  <si>
    <t>VanEck Uranium and Nuclear Technologies UCITS ETF A</t>
  </si>
  <si>
    <t>IE00BF3N6Y61</t>
  </si>
  <si>
    <t>iShares USD Corporate Bond UCITS ETF EUR Hedged (Dist)</t>
  </si>
  <si>
    <t>DE000A0H08R2</t>
  </si>
  <si>
    <t>iShares STOXX Europe 600 Telecommunications UCITS ETF (DE)</t>
  </si>
  <si>
    <t>SPDR MSCI World UCITS ETF EUR Hedged (Acc)</t>
  </si>
  <si>
    <t>AXA IM Euro Credit PAB UCITS ETF EUR Acc</t>
  </si>
  <si>
    <t>IE00BMD8KM66</t>
  </si>
  <si>
    <t>JPMorgan BetaBuilders US Treasury Bond 0-3 Months UCITS ETF USD (Acc)</t>
  </si>
  <si>
    <t>Amundi Index MSCI EMU SRI PAB UCITS ETF DR (C)</t>
  </si>
  <si>
    <t>BNP Paribas Easy MSCI Pacific ex Japan ESG Filtered Min TE UCITS ETF</t>
  </si>
  <si>
    <t>IE000I1D7D10</t>
  </si>
  <si>
    <t>iShares iBonds Dec 2027 Term USD Corporate UCITS ETF USD (Acc)</t>
  </si>
  <si>
    <t>IE00B27YCF74</t>
  </si>
  <si>
    <t>iShares Global Timber &amp; Forestry UCITS ETF</t>
  </si>
  <si>
    <t>UBS ETF (LU) Bloomberg USD Emerging Markets Sovereign UCITS ETF (hedged to EUR) A-acc</t>
  </si>
  <si>
    <t>DE000ETFL557</t>
  </si>
  <si>
    <t>Deka MSCI EMU Climate Change ESG UCITS ETF</t>
  </si>
  <si>
    <t>IE0009YQE5W1</t>
  </si>
  <si>
    <t>JPMorgan UK Equity Core UCITS ETF GBP (acc)</t>
  </si>
  <si>
    <t>Amundi Japan Topix UCITS ETF Daily Hedged EUR (C)</t>
  </si>
  <si>
    <t>IE00BM9GRQ71</t>
  </si>
  <si>
    <t>Fidelity Sustainable USD EM Bond UCITS ETF ACC-GBP (hedged)</t>
  </si>
  <si>
    <t>IE00B4P11460</t>
  </si>
  <si>
    <t>PIMCO Emerging Markets Advantage Local Bond Index UCITS ETF Acc</t>
  </si>
  <si>
    <t>UBS ETF (IE) MSCI Japan Climate Paris Aligned UCITS ETF (JPY) A-acc</t>
  </si>
  <si>
    <t>Invesco Euro Corporate Bond UCITS ETF Dist</t>
  </si>
  <si>
    <t>SPDR S&amp;P US Consumer Staples Select Sector UCITS ETF</t>
  </si>
  <si>
    <t>iShares EUR Corporate Bond Interest Rate Hedged ESG UCITS ETF</t>
  </si>
  <si>
    <t>iShares MSCI Brazil UCITS ETF (Dist)</t>
  </si>
  <si>
    <t>IE000JXFRNI0</t>
  </si>
  <si>
    <t>iShares USD TIPS 0-5 UCITS ETF USD (Acc)</t>
  </si>
  <si>
    <t>IE00BJP26F04</t>
  </si>
  <si>
    <t>iShares GBP Ultrashort Bond ESG UCITS ETF (Dist)</t>
  </si>
  <si>
    <t>Fidelity Sustainable Research Enhanced Japan Equity UCITS ETF Acc</t>
  </si>
  <si>
    <t>IE000F0DNOJ1</t>
  </si>
  <si>
    <t>UBS ETF (IE) MSCI World ESG Leaders UCITS ETF (hedged to CHF) A-acc</t>
  </si>
  <si>
    <t>IE000CR7DJI8</t>
  </si>
  <si>
    <t>iShares S&amp;P 500 ESG UCITS ETF EUR Hedged (Acc)</t>
  </si>
  <si>
    <t>FR0010717090</t>
  </si>
  <si>
    <t>Amundi ETF MSCI EMU High Dividend UCITS ETF EUR (C)</t>
  </si>
  <si>
    <t>IE000L5NW549</t>
  </si>
  <si>
    <t>iShares MSCI World Momentum Factor ESG UCITS ETF USD (Acc)</t>
  </si>
  <si>
    <t>DE000A0H08H3</t>
  </si>
  <si>
    <t>iShares STOXX Europe 600 Food &amp; Beverage UCITS ETF (DE)</t>
  </si>
  <si>
    <t>IE00BYZ28W67</t>
  </si>
  <si>
    <t>iShares Core FTSE 100 UCITS ETF USD Hedged (Acc)</t>
  </si>
  <si>
    <t>LU0942970442</t>
  </si>
  <si>
    <t>Xtrackers II ESG Global Aggregate Bond UCITS ETF 4C - CHF Hedged</t>
  </si>
  <si>
    <t>DE000ETFL474</t>
  </si>
  <si>
    <t>Deka Oekom Euro Nachhaltigkeit UCITS ETF</t>
  </si>
  <si>
    <t>Amundi Euro Inflation Expectations 2-10Y UCITS ETF Acc</t>
  </si>
  <si>
    <t>IE00BJXT3H40</t>
  </si>
  <si>
    <t>UBS ETF (IE) MSCI USA Socially Responsible UCITS ETF (hedged to GBP) A-dis</t>
  </si>
  <si>
    <t>WisdomTree Energy Transition Metals</t>
  </si>
  <si>
    <t>IE000GWA2J58</t>
  </si>
  <si>
    <t>Xtrackers MSCI Emerging Markets UCITS ETF 1D</t>
  </si>
  <si>
    <t>LU1169821888</t>
  </si>
  <si>
    <t>UBS ETF (LU) MSCI Japan UCITS ETF (hedged to CHF) A-acc</t>
  </si>
  <si>
    <t>Xtrackers USD Corporate Bond UCITS ETF 2D EUR hedged</t>
  </si>
  <si>
    <t>IE000H5X52W8</t>
  </si>
  <si>
    <t>iShares iBonds Dec 2027 Term EUR Corporate UCITS ETF EUR (Dist)</t>
  </si>
  <si>
    <t>HSBC S&amp;P 500 UCITS ETF USD (Acc)</t>
  </si>
  <si>
    <t>IE00BKT6VQ12</t>
  </si>
  <si>
    <t>iShares China CNY Bond UCITS ETF EUR Hedged (Acc)</t>
  </si>
  <si>
    <t>L&amp;G Gold Mining UCITS ETF</t>
  </si>
  <si>
    <t>IE00B8X9NW27</t>
  </si>
  <si>
    <t>First Trust US Large Cap Core AlphaDEX UCITS ETF Acc</t>
  </si>
  <si>
    <t>Invesco US Utilities Sector UCITS ETF</t>
  </si>
  <si>
    <t>LU2382233182</t>
  </si>
  <si>
    <t>Amundi Global Corporate SRI 1-5Y UCITS ETF DR Hedged GBP (C)</t>
  </si>
  <si>
    <t>SPDR S&amp;P U.S. Communication Services Select Sector UCITS ETF</t>
  </si>
  <si>
    <t>CH0445689208</t>
  </si>
  <si>
    <t>21Shares Crypto Basket Index ETP</t>
  </si>
  <si>
    <t>IE00BKC94M46</t>
  </si>
  <si>
    <t>SPDR Bloomberg Global Aggregate Bond UCITS ETF USD Hedged (Acc)</t>
  </si>
  <si>
    <t>UBS ETF (LU) Factor MSCI EMU Prime Value ESG UCITS ETF (EUR) A-dis</t>
  </si>
  <si>
    <t>L&amp;G Global Equity UCITS ETF</t>
  </si>
  <si>
    <t>IE00B9M04V95</t>
  </si>
  <si>
    <t>iShares J.P. Morgan USD EM Bond CHF Hedged UCITS ETF (Dist)</t>
  </si>
  <si>
    <t>LU1681044993</t>
  </si>
  <si>
    <t>Amundi MSCI Switzerland UCITS ETF CHF</t>
  </si>
  <si>
    <t>HSBC MSCI World Value ESG UCITS ETF USD (Acc)</t>
  </si>
  <si>
    <t>IE00BHJYDV33</t>
  </si>
  <si>
    <t>Invesco MDAX UCITS ETF A</t>
  </si>
  <si>
    <t>Amundi MSCI Emerging Markets Latin America UCITS ETF EUR (C)</t>
  </si>
  <si>
    <t>DE000ETFL037</t>
  </si>
  <si>
    <t>Deka STOXX Europe Strong Growth 20 UCITS ETF</t>
  </si>
  <si>
    <t>L&amp;G Clean Energy UCITS ETF</t>
  </si>
  <si>
    <t>CH1199067674</t>
  </si>
  <si>
    <t>21Shares Bitcoin Core ETP</t>
  </si>
  <si>
    <t>BNP Paribas Easy MSCI North America ESG Filtered Min TE UCITS ETF</t>
  </si>
  <si>
    <t>IE00B5V94313</t>
  </si>
  <si>
    <t>iShares Germany Government Bond UCITS ETF (Dist)</t>
  </si>
  <si>
    <t>FR0011550680</t>
  </si>
  <si>
    <t>BNP Paribas Easy S&amp;P 500 UCITS ETF</t>
  </si>
  <si>
    <t>IE00BLRPQM83</t>
  </si>
  <si>
    <t>L&amp;G ESG GBP Corporate Bond UCITS ETF</t>
  </si>
  <si>
    <t>IE0003JSNHV9</t>
  </si>
  <si>
    <t>JPMorgan Global Research Enhanced Index Equity SRI Paris Aligned UCITS ETF EUR (acc)</t>
  </si>
  <si>
    <t>Amundi MSCI Emerging Asia II UCITS ETF Acc</t>
  </si>
  <si>
    <t>L&amp;G ESG Emerging Markets Government Bond (USD) 0-5 Year UCITS ETF</t>
  </si>
  <si>
    <t>IE000HT7E0B1</t>
  </si>
  <si>
    <t>Xtrackers Nordic Net Zero Pathway Paris Aligned UCITS ETF 1C</t>
  </si>
  <si>
    <t>LU2296661775</t>
  </si>
  <si>
    <t>Xtrackers MSCI EM Asia ESG Screened Swap UCITS ETF 1D</t>
  </si>
  <si>
    <t>LU2755521270</t>
  </si>
  <si>
    <t>Xtrackers MSCI Pacific ex Japan ESG Screened UCITS ETF 1D</t>
  </si>
  <si>
    <t>LU2780870932</t>
  </si>
  <si>
    <t>Amundi Global Corporate SRI 1-5Y Highest Rated UCITS ETF USD Hedged Acc</t>
  </si>
  <si>
    <t>LU2533812058</t>
  </si>
  <si>
    <t>BNP Paribas Easy EUR Corporate Bond SRI Fossil Free Ultrashort Duration UCITS ETF Acc</t>
  </si>
  <si>
    <t>DE000A0H08Q4</t>
  </si>
  <si>
    <t>iShares STOXX Europe 600 Technology UCITS ETF (DE) EUR (Dist)</t>
  </si>
  <si>
    <t>IE00B3VWLG82</t>
  </si>
  <si>
    <t>iShares MSCI UK Small Cap UCITS ETF (Acc)</t>
  </si>
  <si>
    <t>JPMorgan EUR Corporate Bond 1-5 yr Research Enhanced Index (ESG) UCITS ETF</t>
  </si>
  <si>
    <t>LU2581375156</t>
  </si>
  <si>
    <t>Xtrackers Stoxx Europe 600 UCITS ETF 1D</t>
  </si>
  <si>
    <t>FR0010150458</t>
  </si>
  <si>
    <t>BNP Paribas Easy CAC 40 ESG UCITS ETF</t>
  </si>
  <si>
    <t>gettex, XETRA, Euronext Paris</t>
  </si>
  <si>
    <t>IE00BK7Y2Q41</t>
  </si>
  <si>
    <t>iShares USD Corporate Bond UCITS ETF CHF Hedged (Acc)</t>
  </si>
  <si>
    <t>iShares MSCI Pacific ex-Japan UCITS ETF (Dist)</t>
  </si>
  <si>
    <t>JPMorgan USD Ultra-Short Income UCITS ETF USD (Acc)</t>
  </si>
  <si>
    <t>DE000ETFL201</t>
  </si>
  <si>
    <t>Deka Deutsche Boerse EUROGOV Germany 5-10 UCITS ETF</t>
  </si>
  <si>
    <t>IE00BG04LZ52</t>
  </si>
  <si>
    <t>Xtrackers MSCI USA UCITS ETF 3C CHF Hedged</t>
  </si>
  <si>
    <t>Amundi Index MSCI Europe SRI PAB UCITS ETF DR (D)</t>
  </si>
  <si>
    <t>FR0010251744</t>
  </si>
  <si>
    <t>Amundi IBEX 35 UCITS ETF Dist</t>
  </si>
  <si>
    <t>IE00BF3N7219</t>
  </si>
  <si>
    <t>iShares Fallen Angels High Yield Corp Bond UCITS ETF EUR Hedged (Dist)</t>
  </si>
  <si>
    <t>Xtrackers ESG USD High Yield Corporate Bond UCITS ETF 1C</t>
  </si>
  <si>
    <t>LU1407888053</t>
  </si>
  <si>
    <t>Amundi US Treasury Bond 7-10Y UCITS ETF Dist</t>
  </si>
  <si>
    <t>LU2089238385</t>
  </si>
  <si>
    <t>Amundi Prime Japan UCITS ETF DR (C)</t>
  </si>
  <si>
    <t>UBS ETF (LU) MSCI China ESG Universal Low Carbon Select UCITS ETF (USD) A-dis</t>
  </si>
  <si>
    <t>HSBC MSCI China UCITS ETF USD (Acc)</t>
  </si>
  <si>
    <t>DE000ETF7011</t>
  </si>
  <si>
    <t>Amundi Multi-Asset Portfolio UCITS ETF Dist</t>
  </si>
  <si>
    <t>IE00B622SG73</t>
  </si>
  <si>
    <t>PIMCO Sterling Short Maturity UCITS ETF Dist</t>
  </si>
  <si>
    <t>IE00B4JY5R22</t>
  </si>
  <si>
    <t>UBS ETF (IE) S&amp;P 500 SF UCITS ETF (USD) A-acc</t>
  </si>
  <si>
    <t>IE00BFM15T99</t>
  </si>
  <si>
    <t>iShares Core MSCI Japan IMI UCITS ETF USD (Dist)</t>
  </si>
  <si>
    <t>L&amp;G Russell 2000 US Small Cap Quality UCITS ETF</t>
  </si>
  <si>
    <t>Xtrackers FTSE China 50 UCITS ETF 1C</t>
  </si>
  <si>
    <t>DE000ETFL540</t>
  </si>
  <si>
    <t>Deka MSCI Germany Climate Change ESG UCITS ETF</t>
  </si>
  <si>
    <t>IE0006BISQN7</t>
  </si>
  <si>
    <t>L&amp;G Multi-Strategy Enhanced Commodities UCITS ETF CHF Hedged Acc</t>
  </si>
  <si>
    <t>iShares FTSE MIB UCITS ETF (Acc)</t>
  </si>
  <si>
    <t>LU2059756754</t>
  </si>
  <si>
    <t>Amundi Index MSCI Emerging Markets SRI PAB UCITS ETF DR (D)</t>
  </si>
  <si>
    <t>DE0006289481</t>
  </si>
  <si>
    <t>iShares eb.rexx Government Germany 2.5-5.5yr UCITS ETF (DE)</t>
  </si>
  <si>
    <t>LU1681045297</t>
  </si>
  <si>
    <t>Amundi MSCI Emerging Markets Latin America UCITS ETF USD</t>
  </si>
  <si>
    <t>BNP Paribas Easy MSCI Europe SRI S-Series PAB 5% Capped UCITS ETF EUR Dis</t>
  </si>
  <si>
    <t>UBS ETF (LU) Bloomberg Euro Inflation Linked 1-10 UCITS ETF (EUR) A-dis</t>
  </si>
  <si>
    <t>IE00B60SWV01</t>
  </si>
  <si>
    <t>Invesco FTSE 250 UCITS ETF</t>
  </si>
  <si>
    <t>IE000NXQKHU1</t>
  </si>
  <si>
    <t>iShares iBonds Dec 2025 Term EUR Corporate UCITS ETF EUR (Dist)</t>
  </si>
  <si>
    <t>IE00BDFJYP58</t>
  </si>
  <si>
    <t>iShares Fallen Angels High Yield Corporate Bond UCITS ETF USD (Acc)</t>
  </si>
  <si>
    <t>UBS ETF (LU) Bloomberg MSCI US Liquid Corporates Sustainable UCITS ETF (hedged to EUR) A-acc</t>
  </si>
  <si>
    <t>Vanguard ESG North America All Cap UCITS ETF (USD) Accumulating</t>
  </si>
  <si>
    <t>UBS ETF (LU) MSCI Switzerland 20/35 UCITS ETF (hedged to EUR) A-acc</t>
  </si>
  <si>
    <t>IE00BWZN1T31</t>
  </si>
  <si>
    <t>iShares MSCI EMU USD Hedged UCITS ETF (Acc)</t>
  </si>
  <si>
    <t>LU0460391732</t>
  </si>
  <si>
    <t>Xtrackers Bloomberg Commodity ex-Agriculture &amp; Livestock Swap UCITS ETF 2C</t>
  </si>
  <si>
    <t>Amundi US Treasury Bond Long Dated UCITS ETF EUR Hedged Dist</t>
  </si>
  <si>
    <t>UBS ETF (IE) Factor MSCI USA Prime Value ESG UCITS ETF (USD) A-dis</t>
  </si>
  <si>
    <t>IE00BLRPQK69</t>
  </si>
  <si>
    <t>L&amp;G UK Gilt 0-5 Year UCITS ETF</t>
  </si>
  <si>
    <t>Amundi MSCI Brazil UCITS ETF Acc</t>
  </si>
  <si>
    <t>LU2250132763</t>
  </si>
  <si>
    <t>UBS ETF (LU) MSCI Switzerland IMI Socially Responsible UCITS ETF (CHF) A-acc</t>
  </si>
  <si>
    <t>IE00BYXPXL17</t>
  </si>
  <si>
    <t>iShares Edge MSCI World Minimum Volatility UCITS ETF EUR Hedged (Acc)</t>
  </si>
  <si>
    <t>SPDR Bloomberg SASB U.S. High Yield Corporate ESG UCITS ETF USD Unhedged (Dist)</t>
  </si>
  <si>
    <t>IE00BYWZ0333</t>
  </si>
  <si>
    <t>LU2182388152</t>
  </si>
  <si>
    <t>Amundi Prime UK Mid and Small Cap UCITS ETF DR GBP (D)</t>
  </si>
  <si>
    <t>Invesco US Treasury Bond 3-7 Year UCITS ETF Dist</t>
  </si>
  <si>
    <t>DE000A0H0785</t>
  </si>
  <si>
    <t>iShares Euro Government Bond Capped 1.5-10.5yr UCITS ETF (DE)</t>
  </si>
  <si>
    <t>IE00BDQZN550</t>
  </si>
  <si>
    <t>UBS ETF (IE) MSCI ACWI ESG Universal UCITS ETF (hedged to GBP) A-acc</t>
  </si>
  <si>
    <t>JPMorgan Global Equity Multi-Factor UCITS ETF Accumulating</t>
  </si>
  <si>
    <t>LU1875395870</t>
  </si>
  <si>
    <t>Xtrackers Nikkei 225 UCITS ETF 2D EUR Hedged</t>
  </si>
  <si>
    <t>IE00B4MKCJ84</t>
  </si>
  <si>
    <t>iShares S&amp;P 500 Materials Sector UCITS ETF USD (Acc)</t>
  </si>
  <si>
    <t>Global X SuperDividendÂ® UCITS ETF D</t>
  </si>
  <si>
    <t>HSBC MSCI China A Inclusion UCITS ETF</t>
  </si>
  <si>
    <t>SPDR Bloomberg 0-3 Year US Corporate Bond UCITS ETF</t>
  </si>
  <si>
    <t>Amundi MSCI China ESG Leaders Extra UCITS ETF Dist</t>
  </si>
  <si>
    <t>LU1681047079</t>
  </si>
  <si>
    <t>Amundi CAC 40 ESG UCITS ETF DR - EUR (D)</t>
  </si>
  <si>
    <t>LU2269164310</t>
  </si>
  <si>
    <t>Amundi Index MSCI Japan SRI PAB UCITS ETF DR Hedged EUR (C)</t>
  </si>
  <si>
    <t>LU1974694397</t>
  </si>
  <si>
    <t>UBS ETF (LU) J.P. Morgan Global Government ESG Liquid Bond UCITS ETF (hedged to CHF) A-acc</t>
  </si>
  <si>
    <t>LU0641007264</t>
  </si>
  <si>
    <t>Xtrackers II Global Inflation-Linked Bond UCITS ETF 3D - GBP Hedged</t>
  </si>
  <si>
    <t>IE00B8J37J31</t>
  </si>
  <si>
    <t>iShares MSCI Japan CHF Hedged UCITS ETF (Acc)</t>
  </si>
  <si>
    <t>Xtrackers II USD Emerging Markets Bond UCITS ETF 1C - EUR Hedged</t>
  </si>
  <si>
    <t>Amundi MSCI Korea UCITS ETF Acc</t>
  </si>
  <si>
    <t>UBS ETF (LU) MSCI Europe Socially Responsible UCITS ETF (EUR) A-acc</t>
  </si>
  <si>
    <t>BNP Paribas Easy ECPI Global ESG Blue Economy UCITS ETF EUR</t>
  </si>
  <si>
    <t>Invesco Quantitative Strategies ESG Global Equity Multi-Factor UCITS ETF EUR PfHdg Acc</t>
  </si>
  <si>
    <t>SPDR S&amp;P Pan Asia Dividend Aristocrats UCITS ETF (Dist)</t>
  </si>
  <si>
    <t>Amundi US Treasury Bond Long Dated UCITS ETF Acc</t>
  </si>
  <si>
    <t>IE00BMZ17T93</t>
  </si>
  <si>
    <t>iShares MSCI World SRI UCITS ETF GBP Hedged (Dist)</t>
  </si>
  <si>
    <t>Amundi MSCI EMU Value Factor UCITS ETF Dist</t>
  </si>
  <si>
    <t>Amundi Floating Rate USD Corporate ESG UCITS ETF EUR Hedged (C)</t>
  </si>
  <si>
    <t>LU2277591868</t>
  </si>
  <si>
    <t>Amundi Index MSCI Emerging Markets UCITS ETF DR - USD (D)</t>
  </si>
  <si>
    <t>IndexIQ Factors Sustainable Europe Equity UCITS ETF</t>
  </si>
  <si>
    <t>IE000H3AH951</t>
  </si>
  <si>
    <t>UBS ETF (IE) FTSE EPRA Nareit Developed Green UCITS ETF (USA) A-dis</t>
  </si>
  <si>
    <t>IE00BD4TY345</t>
  </si>
  <si>
    <t>UBS ETF (IE) MSCI Australia UCITS ETF (AUD) A-dis</t>
  </si>
  <si>
    <t>Amundi MSCI Digital Economy and Metaverse ESG Screened UCITS ETF Acc</t>
  </si>
  <si>
    <t>BNP Paribas Easy Energy &amp; Metals Enhanced Roll UCITS ETF EUR</t>
  </si>
  <si>
    <t>IE000FSN19U2</t>
  </si>
  <si>
    <t>Amundi MSCI USA UCITS ETF Acc</t>
  </si>
  <si>
    <t>UBS ETF (LU) Bloomberg MSCI US Liquid Corporates Sustainable UCITS ETF (USD) A-dis</t>
  </si>
  <si>
    <t>LU2777377875</t>
  </si>
  <si>
    <t>BNP Paribas Easy Low Carbon 100 Europe PAB UCITS ETF SD Dist</t>
  </si>
  <si>
    <t>WisdomTree Agriculture</t>
  </si>
  <si>
    <t>DE000A3GPSP7</t>
  </si>
  <si>
    <t>VanEck Ethereum ETN</t>
  </si>
  <si>
    <t>Ossiam Shiller Barclays CAPEÂ® Europe Sector Value TR UCITS ETF 1C (EUR)</t>
  </si>
  <si>
    <t>IE0000U24AJ9</t>
  </si>
  <si>
    <t>Amundi MSCI USA SRI Climate Net Zero Ambition PAB UCITS ETF EUR Hedged Acc</t>
  </si>
  <si>
    <t>LU1681041973</t>
  </si>
  <si>
    <t>Amundi MSCI Europe High Dividend Factor UCITS ETF EUR (C)</t>
  </si>
  <si>
    <t>HSBC Developed World Sustainable Equity UCITS ETF USD</t>
  </si>
  <si>
    <t>IE0007G78AC4</t>
  </si>
  <si>
    <t>iShares USD Asia Investment Grade Corporate Bond UCITS ETF USD (Acc)</t>
  </si>
  <si>
    <t>IE00BHXMHN35</t>
  </si>
  <si>
    <t>UBS ETF (IE) S&amp;P 500 ESG UCITS ETF (hedged to CHF) A-acc</t>
  </si>
  <si>
    <t>Amundi MSCI China A UCITS ETF Acc</t>
  </si>
  <si>
    <t>IE0004CIQ1O4</t>
  </si>
  <si>
    <t>Amundi MSCI World ESG Leaders UCITS ETF UCITS ETF Hedged EUR Acc</t>
  </si>
  <si>
    <t>IE00BDVPNV63</t>
  </si>
  <si>
    <t>WisdomTree Enhanced Commodity ex-Agriculture UCITS ETF EUR Hedged Acc</t>
  </si>
  <si>
    <t>DE000A0H08N1</t>
  </si>
  <si>
    <t>iShares STOXX Europe 600 Personal &amp; Household Goods UCITS ETF (DE)</t>
  </si>
  <si>
    <t>Amundi S&amp;P Global Consumer Staples ESG UCITS ETF DR EUR (A)</t>
  </si>
  <si>
    <t>LU2300294746</t>
  </si>
  <si>
    <t>Amundi MSCI Japan ESG Climate Net Zero Ambition CTB UCITS ETF Dist</t>
  </si>
  <si>
    <t>Amundi Euro Government Green Bond UCITS ETF Acc</t>
  </si>
  <si>
    <t>IE00BJXT3L85</t>
  </si>
  <si>
    <t>UBS ETF (IE) MSCI USA Socially Responsible UCITS ETF (hedged to CHF) A-acc</t>
  </si>
  <si>
    <t>LU1852212023</t>
  </si>
  <si>
    <t>UBS ETF (LU) Sustainable Development Bank Bonds UCITS ETF (hedged to GBP)</t>
  </si>
  <si>
    <t>IE00BKPSFC54</t>
  </si>
  <si>
    <t>iShares MSCI World Quality Dividend ESG UCITS ETF USD (Acc)</t>
  </si>
  <si>
    <t>IE00098ZGGO6</t>
  </si>
  <si>
    <t>iShares USD Corporate Bond 0-3yr ESG UCITS ETF USD (Acc)</t>
  </si>
  <si>
    <t>LU2196470426</t>
  </si>
  <si>
    <t>Xtrackers Nikkei 225 UCITS ETF 1C</t>
  </si>
  <si>
    <t>IE00B988C465</t>
  </si>
  <si>
    <t>iShares Global High Yield Corp Bond CHF Hedged UCITS ETF (Dist)</t>
  </si>
  <si>
    <t>Xtrackers USD Corporate Bond SRI PAB UCITS ETF 1C</t>
  </si>
  <si>
    <t>Amundi Fed Funds US Dollar Cash UCITS ETF Acc</t>
  </si>
  <si>
    <t>Amundi Stoxx Europe Select Dividend 30 UCITS ETF Dist</t>
  </si>
  <si>
    <t>IE000NITTFF2</t>
  </si>
  <si>
    <t>iShares Russell 1000 Growth UCITS ETF USD (Acc)</t>
  </si>
  <si>
    <t>IE00BG143G97</t>
  </si>
  <si>
    <t>Vanguard Germany All Cap UCITS ETF Distributing</t>
  </si>
  <si>
    <t>Amundi MSCI Europe ESG Leaders UCITS ETF EUR Hedged Acc</t>
  </si>
  <si>
    <t>Xtrackers Eurozone Government Bond 25+ UCITS ETF 1C</t>
  </si>
  <si>
    <t>IE00BJSFQW37</t>
  </si>
  <si>
    <t>iShares Global Corporate Bond UCITS ETF EUR Hedged (Dist)</t>
  </si>
  <si>
    <t>Amundi US Treasury Bond 1-3Y UCITS ETF EUR Hedged Dist</t>
  </si>
  <si>
    <t>gettex, London, Euronext Paris, SIX Swiss Exchange, Borsa Italiana</t>
  </si>
  <si>
    <t>SPDR Bloomberg 10+ Year Euro Government Bond UCITS ETF</t>
  </si>
  <si>
    <t>LU1547515053</t>
  </si>
  <si>
    <t>BNP Paribas Easy JPM ESG EMBI Global Diversified Composite UCITS ETF</t>
  </si>
  <si>
    <t>IE00B6S2Z822</t>
  </si>
  <si>
    <t>SPDR S&amp;P UK Dividend Aristocrats UCITS ETF (Dist)</t>
  </si>
  <si>
    <t>LU2572257397</t>
  </si>
  <si>
    <t>Amundi MSCI Pacific ESG Climate Net Zero Ambition CTB UCITS ETF Dist</t>
  </si>
  <si>
    <t>DE000A0H08D2</t>
  </si>
  <si>
    <t>iShares Nikkei 225 UCITS ETF (DE)</t>
  </si>
  <si>
    <t>IE00BKRWN659</t>
  </si>
  <si>
    <t>iShares USD Development Bank Bonds UCITS ETF USD (Acc)</t>
  </si>
  <si>
    <t>AXA IM ACT Climate Equity UCITS ETF EUR Hedged Acc</t>
  </si>
  <si>
    <t>BNP Paribas Easy JPM ESG Green Social &amp; Sustainability IG EUR Bond UCITS ETF Acc</t>
  </si>
  <si>
    <t>DE000ETFL078</t>
  </si>
  <si>
    <t>Deka EURO STOXX Select Dividend 30 UCITS ETF</t>
  </si>
  <si>
    <t>IE00BDR5H412</t>
  </si>
  <si>
    <t>UBS ETF (IE) Global Gender Equality UCITS ETF (hedged to CHF) A-acc</t>
  </si>
  <si>
    <t>LU1291109533</t>
  </si>
  <si>
    <t>BNP Paribas Easy Energy &amp; Metals Enhanced Roll UCITS ETF USD</t>
  </si>
  <si>
    <t>Euronext Paris, SIX Swiss Exchange</t>
  </si>
  <si>
    <t>IE00BD3RYZ16</t>
  </si>
  <si>
    <t>iShares OMX Stockholm Capped UCITS ETF</t>
  </si>
  <si>
    <t>SEK</t>
  </si>
  <si>
    <t>Amundi STOXX Europe 600 Technology UCITS ETF Acc</t>
  </si>
  <si>
    <t>iShares MSCI South Africa UCITS ETF</t>
  </si>
  <si>
    <t>Invesco Communications S&amp;P US Select Sector UCITS ETF A</t>
  </si>
  <si>
    <t>LU1169822779</t>
  </si>
  <si>
    <t>UBS ETF (LU) MSCI Japan UCITS ETF (hedged to USD) A-acc</t>
  </si>
  <si>
    <t>LU0429458895</t>
  </si>
  <si>
    <t>Xtrackers II US Treasuries 1-3 UCITS ETF 1D</t>
  </si>
  <si>
    <t>IE0001O84583</t>
  </si>
  <si>
    <t>JPMorgan BetaBuilders US Small Cap Equity UCITS ETF USD (dist)</t>
  </si>
  <si>
    <t>Invesco MSCI World ESG Universal Screened UCITS ETF Acc</t>
  </si>
  <si>
    <t>LU1048317298</t>
  </si>
  <si>
    <t>UBS ETF (LU) Bloomberg US Liquid Corporates UCITS ETF (hedged to GBP) A-dis</t>
  </si>
  <si>
    <t>LU0192223062</t>
  </si>
  <si>
    <t>BNP Paribas Easy FTSE EPRA/NAREIT Eurozone Capped UCITS ETF QD</t>
  </si>
  <si>
    <t>gettex, XETRA, Euronext Paris, Stuttgart, SIX Swiss Exchange, Euronext Amsterdam</t>
  </si>
  <si>
    <t>IE00BG0TQ445</t>
  </si>
  <si>
    <t>Invesco UK Gilt 1-5 Year UCITS ETF Dist</t>
  </si>
  <si>
    <t>Amundi MSCI Europe Minimum Volatility Factor UCITS ETF EUR (C)</t>
  </si>
  <si>
    <t>gettex, XETRA, London, Euronext Paris, Stuttgart</t>
  </si>
  <si>
    <t>IE00BDT6FS23</t>
  </si>
  <si>
    <t>SPDR Refinitiv Global Convertible Bond CHF Hedged UCITS ETF</t>
  </si>
  <si>
    <t>Amundi FTSE Italia PMI PIR 2020 UCITS ETF Acc</t>
  </si>
  <si>
    <t>Global X Uranium UCITS ETF USD Accumulating</t>
  </si>
  <si>
    <t>LU1681041544</t>
  </si>
  <si>
    <t>Amundi MSCI Europe Small Cap ESG Climate Net Zero Ambition CTB UCITS ETF Acc</t>
  </si>
  <si>
    <t>iShares MSCI USA ESG Screened UCITS ETF EUR Hedged (Acc)</t>
  </si>
  <si>
    <t>IE000FHBZDZ8</t>
  </si>
  <si>
    <t>iShares Core Global Aggregate Bond UCITS ETF USD (Acc)</t>
  </si>
  <si>
    <t>Amundi MSCI World Financials UCITS ETF EUR Acc</t>
  </si>
  <si>
    <t>FR0011550672</t>
  </si>
  <si>
    <t>Invesco S&amp;P World Information Technology ESG UCITS ETF Acc</t>
  </si>
  <si>
    <t>Amundi MSCI Disruptive Technology ESG Screened UCITS ETF Acc</t>
  </si>
  <si>
    <t>IE00BJXFZ989</t>
  </si>
  <si>
    <t>UBS ETF (IE) MSCI ACWI SF UCITS ETF (USD) A-UKdis</t>
  </si>
  <si>
    <t>IE00BGYWFN19</t>
  </si>
  <si>
    <t>Vanguard USD Corporate Bond UCITS ETF GBP Hedged Accumulating</t>
  </si>
  <si>
    <t>HSBC Emerging Market Sustainable Equity UCITS ETF USD</t>
  </si>
  <si>
    <t>Amundi S&amp;P Global Utilities ESG UCITS ETF DR EUR (A)</t>
  </si>
  <si>
    <t>Amundi MSCI World II UCITS ETF Acc</t>
  </si>
  <si>
    <t>Amundi MSCI Europe PAB Net Zero Ambition UCITS ETF Acc</t>
  </si>
  <si>
    <t>WisdomTree Physical Precious Metals</t>
  </si>
  <si>
    <t>BNP Paribas Easy MSCI Europe Small Caps SRI S-Series PAB 5% Capped UCITS ETF</t>
  </si>
  <si>
    <t>IE00BNDS1R53</t>
  </si>
  <si>
    <t>Vanguard ESG Global Corporate Bond UCITS ETF CHF Hedged Accumulating</t>
  </si>
  <si>
    <t>UBS ETF (LU) Bloomberg US Liquid Corporates UCITS ETF (hedged to EUR) A-acc</t>
  </si>
  <si>
    <t>LU1681037781</t>
  </si>
  <si>
    <t>Amundi Japan Topix UCITS ETF JPY</t>
  </si>
  <si>
    <t>London, Euronext Paris, SIX Swiss Exchange</t>
  </si>
  <si>
    <t>IE00BK1PV445</t>
  </si>
  <si>
    <t>Xtrackers MSCI USA UCITS ETF 1D</t>
  </si>
  <si>
    <t>Invesco NASDAQ-100 Equal Weight UCITS ETF Acc</t>
  </si>
  <si>
    <t>Xtrackers Physical Silver EUR Hedged ETC</t>
  </si>
  <si>
    <t>IE0007UPSEA3</t>
  </si>
  <si>
    <t>iShares iBonds Dec 2026 Term USD Corporate UCITS ETF USD (Dist)</t>
  </si>
  <si>
    <t>SIX Swiss Exchange, Borsa Italiana, Euronext Amsterdam</t>
  </si>
  <si>
    <t>IE00BG0J4841</t>
  </si>
  <si>
    <t>iShares Digital Security UCITS ETF USD (Dist)</t>
  </si>
  <si>
    <t>HANetf SparkChange Physical Carbon EUA ETC</t>
  </si>
  <si>
    <t>Tabula EUR IG Bond Paris-aligned Climate UCITS ETF Acc</t>
  </si>
  <si>
    <t>Global X Copper Miners UCITS ETF USD Accumulating</t>
  </si>
  <si>
    <t>Amundi Italy BTP Government Bond 1-3Y UCITS ETF Dist</t>
  </si>
  <si>
    <t>UBS ETF (LU) MSCI EMU Value UCITS ETF (EUR) A-dis</t>
  </si>
  <si>
    <t>Invesco FTSE EM High Dividend Low Volatility UCITS ETF</t>
  </si>
  <si>
    <t>JPMorgan US Research Enhanced Index Equity SRI Paris Aligned UCITS ETF USD (acc)</t>
  </si>
  <si>
    <t>Amundi Euro Government Bond 15+Y UCITS ETF Acc</t>
  </si>
  <si>
    <t>Goldman Sachs ActiveBeta US Large Cap Equity UCITS ETF CLASS USD (Acc.)</t>
  </si>
  <si>
    <t>AXA IM ACT Biodiversity Equity UCITS ETF EUR Hedged Acc</t>
  </si>
  <si>
    <t>UBS ETF (LU) Factor MSCI EMU Quality ESG UCITS ETF (EUR) A-dis</t>
  </si>
  <si>
    <t>Amundi MSCI Millennials ESG Screened UCITS ETF Acc</t>
  </si>
  <si>
    <t>Amundi Global Emerging Bond Markit iBoxx UCITS ETF USD</t>
  </si>
  <si>
    <t>Euronext Paris, SIX Swiss Exchange, Borsa Italiana</t>
  </si>
  <si>
    <t>UBS ETF (IE) MSCI World Socially Responsible UCITS ETF (hedged to EUR) A-acc</t>
  </si>
  <si>
    <t>IE00BD9MMG79</t>
  </si>
  <si>
    <t>JPMorgan GBP Ultra-Short Income UCITS ETF GBP (Dist)</t>
  </si>
  <si>
    <t>LU0927735406</t>
  </si>
  <si>
    <t>Xtrackers MSCI Japan UCITS ETF 2D USD hedged</t>
  </si>
  <si>
    <t>London, Euronext Paris, SIX Swiss Exchange, Borsa Italiana</t>
  </si>
  <si>
    <t>IE00B459R192</t>
  </si>
  <si>
    <t>SPDR Bloomberg US Aggregate Bond UCITS ETF</t>
  </si>
  <si>
    <t>IE00BK72HT65</t>
  </si>
  <si>
    <t>UBS ETF (IE) MSCI World Socially Responsible UCITS ETF (hedged to CHF) A-acc</t>
  </si>
  <si>
    <t>Invesco MSCI Europe ESG Universal Screened UCITS ETF Acc</t>
  </si>
  <si>
    <t>IE00BRHZ0398</t>
  </si>
  <si>
    <t>iShares MSCI Target UK Real Estate UCITS ETF</t>
  </si>
  <si>
    <t>IE00B7KMNP07</t>
  </si>
  <si>
    <t>UBS ETF (IE) Solactive Global Pure Gold Miners UCITS ETF (USD) A-dis</t>
  </si>
  <si>
    <t>LU1681044720</t>
  </si>
  <si>
    <t>Amundi MSCI Switzerland UCITS ETF EUR (C)</t>
  </si>
  <si>
    <t>LU1681038839</t>
  </si>
  <si>
    <t>Amundi Russell 2000 UCITS ETF USD</t>
  </si>
  <si>
    <t>IE00BD34DB16</t>
  </si>
  <si>
    <t>UBS ETF (IE) S&amp;P 500 UCITS ETF (hedged to CHF) A-acc</t>
  </si>
  <si>
    <t>LU2611731667</t>
  </si>
  <si>
    <t>Amundi MDAX ESG UCITS ETF Dist</t>
  </si>
  <si>
    <t>HANetf EMQQ Emerging Markets Internet UCITS ETF</t>
  </si>
  <si>
    <t>Xtrackers II ESG Global Aggregate Bond UCITS ETF 1D</t>
  </si>
  <si>
    <t>IE0008U15456</t>
  </si>
  <si>
    <t>iShares Core EUR Government Bond UCITS ETF EUR (Acc)</t>
  </si>
  <si>
    <t>XS2434891219</t>
  </si>
  <si>
    <t>Fidelity Physical Bitcoin ETP</t>
  </si>
  <si>
    <t>LU1048315755</t>
  </si>
  <si>
    <t>UBS ETF (LU) Bloomberg US Liquid Corporates 1-5 Year UCITS ETF (hedged to CHF) A-acc</t>
  </si>
  <si>
    <t>IE00B4LHWP62</t>
  </si>
  <si>
    <t>iShares Physical Platinum ETC</t>
  </si>
  <si>
    <t>LU2611732632</t>
  </si>
  <si>
    <t>Amundi DJ Switzerland Titans 30 UCITS ETF Dist</t>
  </si>
  <si>
    <t>DE000ETFL383</t>
  </si>
  <si>
    <t>Deka iBoxx EUR Liquid Non-Financials Diversified UCITS ETF</t>
  </si>
  <si>
    <t>Xtrackers II Global Inflation-Linked Bond UCITS ETF 1D - EUR Hedged</t>
  </si>
  <si>
    <t>Amundi USD Corporate Bond PAB Net Zero Ambition UCITS ETF Dist</t>
  </si>
  <si>
    <t>Invesco US Industrials Sector UCITS ETF</t>
  </si>
  <si>
    <t>SPDR S&amp;P 500 Low Volatility UCITS ETF</t>
  </si>
  <si>
    <t>LU1953136287</t>
  </si>
  <si>
    <t>BNP Paribas Easy EUR Corporate Bond SRI PAB UCITS ETF Dist</t>
  </si>
  <si>
    <t>Amundi Nasdaq-100 II UCITS ETF EUR Hedged Acc</t>
  </si>
  <si>
    <t>gettex, Stuttgart, Borsa Italiana</t>
  </si>
  <si>
    <t>Invesco US Real Estate Sector UCITS ETF</t>
  </si>
  <si>
    <t>Xtrackers MSCI Global SDG 3 Good Health UCITS ETF 1C</t>
  </si>
  <si>
    <t>SPDR S&amp;P US Consumer Discretionary Select Sector UCITS ETF</t>
  </si>
  <si>
    <t>Amundi Global Aggregate Bond UCITS ETF DR (C)</t>
  </si>
  <si>
    <t>IE00BG47KG48</t>
  </si>
  <si>
    <t>Vanguard Global Aggregate Bond UCITS ETF GBP Hedged Distributing</t>
  </si>
  <si>
    <t>LU0292109187</t>
  </si>
  <si>
    <t>Xtrackers MSCI Taiwan UCITS ETF 1C</t>
  </si>
  <si>
    <t>Amundi FTSE EPRA NAREIT Global Developed UCITS ETF Dist</t>
  </si>
  <si>
    <t>Amundi US Inflation Expectations 10Y UCITS ETF Acc</t>
  </si>
  <si>
    <t>IE00BSPLC520</t>
  </si>
  <si>
    <t>SPDR MSCI USA Value Weighted UCITS ETF</t>
  </si>
  <si>
    <t>IE00BFXYHY63</t>
  </si>
  <si>
    <t>iShares USD Treasury Bond 3-7 UCITS ETF USD (Dist)</t>
  </si>
  <si>
    <t>IE00BZ2GV965</t>
  </si>
  <si>
    <t>UBS ETF (IE) CMCI ex-Agriculture SF UCITS ETF (USD) A-acc</t>
  </si>
  <si>
    <t>Xtrackers IE Physical Silver ETC Securities</t>
  </si>
  <si>
    <t>IE00BCLWRD08</t>
  </si>
  <si>
    <t>iShares MSCI EMU Mid Cap UCITS ETF</t>
  </si>
  <si>
    <t>Amundi MSCI Greece UCITS ETF Dist</t>
  </si>
  <si>
    <t>LU0322250985</t>
  </si>
  <si>
    <t>Xtrackers CAC 40 UCITS ETF 1D</t>
  </si>
  <si>
    <t>Amundi MSCI Japan ESG Climate Net Zero Ambition CTB UCITS ETF DR EUR (C)</t>
  </si>
  <si>
    <t>IE000U9ODG19</t>
  </si>
  <si>
    <t>iShares Global Aerospace &amp; Defence UCITS ETF USD (Acc)</t>
  </si>
  <si>
    <t>Euronext Paris, SIX Swiss Exchange, Borsa Italiana, Euronext Amsterdam</t>
  </si>
  <si>
    <t>LU2572257470</t>
  </si>
  <si>
    <t>Amundi MSCI Europe Small Cap ESG Climate Net Zero Ambition CTB UCITS ETF Dist</t>
  </si>
  <si>
    <t>LU2491210618</t>
  </si>
  <si>
    <t>Ossiam Bloomberg Asia Pacific ex Japan PAB NR UCITS ETF 1C (EUR)</t>
  </si>
  <si>
    <t>L&amp;G ESG Emerging Markets Corporate Bond UCITS ETF</t>
  </si>
  <si>
    <t>BNP Paribas Easy EUR Aggregate Bond SRI Fossil Free UCITS ETF Capitalisation</t>
  </si>
  <si>
    <t>IE00BLDGH447</t>
  </si>
  <si>
    <t>iShares EUR Government Bond Climate UCITS ETF EUR (Dist)</t>
  </si>
  <si>
    <t>UBS ETF (IE) MSCI USA Socially Responsible UCITS ETF (hedged to EUR) A-acc</t>
  </si>
  <si>
    <t>IE00BFXR5R48</t>
  </si>
  <si>
    <t>L&amp;G UK Equity UCITS ETF</t>
  </si>
  <si>
    <t>IE00BP3QZJ36</t>
  </si>
  <si>
    <t>iShares MSCI France UCITS ETF</t>
  </si>
  <si>
    <t>LU2182388749</t>
  </si>
  <si>
    <t>Amundi US Treasury Bond 0-1Y UCITS ETF EUR Hedged Acc</t>
  </si>
  <si>
    <t>IE0001A541Y3</t>
  </si>
  <si>
    <t>JPMorgan Japan Research Enhanced Index Equity (ESG) UCITS ETF ETF JPY (acc)</t>
  </si>
  <si>
    <t>PIMCO US Low Duration Corporate Bond UCITS ETF Dist</t>
  </si>
  <si>
    <t>IE000LX17BP9</t>
  </si>
  <si>
    <t>iShares iBonds Dec 2030 Term EUR Corporate UCITS ETF EUR (Dist)</t>
  </si>
  <si>
    <t>DE000ETFL094</t>
  </si>
  <si>
    <t>Deka MSCI USA Large Cap UCITS ETF</t>
  </si>
  <si>
    <t>IE0009QS7W62</t>
  </si>
  <si>
    <t>iShares MSCI World Health Care Sector ESG UCITS ETF USD (Acc)</t>
  </si>
  <si>
    <t>Amundi Global Government Bond II UCITS ETF EUR Hedged Dist</t>
  </si>
  <si>
    <t>iShares MSCI Korea UCITS ETF (Acc)</t>
  </si>
  <si>
    <t>LU2300294589</t>
  </si>
  <si>
    <t>Amundi Index MSCI EM Asia SRI PAB UCITS ETF DR (D)</t>
  </si>
  <si>
    <t>UBS ETF (LU) Bloomberg TIPS 10+ UCITS ETF (USD) A-dis</t>
  </si>
  <si>
    <t>DE000A0F5UG3</t>
  </si>
  <si>
    <t>iShares Dow Jones Eurozone Sustainability Screened UCITS ETF (DE)</t>
  </si>
  <si>
    <t>Amundi Global Corporate SRI 1-5Y UCITS ETF DR (C)</t>
  </si>
  <si>
    <t>IE00BLRPQN90</t>
  </si>
  <si>
    <t>L&amp;G ESG GBP Corporate Bond 0-5 Year UCITS ETF</t>
  </si>
  <si>
    <t>Xtrackers II Eurozone Government Bond ESG Tilted UCITS ETF 1D</t>
  </si>
  <si>
    <t>Vanguard LifeStrategy 40% Equity UCITS ETF Accumulating</t>
  </si>
  <si>
    <t>IE00BMBKBZ46</t>
  </si>
  <si>
    <t>iShares S&amp;P 500 Health Care Sector UCITS ETF EUR Hedged (Dist)</t>
  </si>
  <si>
    <t>IE00BZ56RD98</t>
  </si>
  <si>
    <t>WisdomTree US Quality Dividend Growth UCITS ETF USD</t>
  </si>
  <si>
    <t>IE00B87G8S03</t>
  </si>
  <si>
    <t>iShares Global AAA-AA Government Bond UCITS ETF (Dist)</t>
  </si>
  <si>
    <t>iShares EUR Ultrashort Bond ESG UCITS ETF EUR (Acc)</t>
  </si>
  <si>
    <t>SPDR Bloomberg Emerging Markets Local Bond UCITS ETF EUR Hedged (Acc)</t>
  </si>
  <si>
    <t>Xtrackers ESG USD Emerging Markets Bond Quality Weighted UCITS ETF 2D EUR Hedged</t>
  </si>
  <si>
    <t>Amundi US TIPS Government Inflation-Linked Bond UCITS ETF EUR Hedged Dist</t>
  </si>
  <si>
    <t>Global X Silver Miners UCITS ETF USD Accumulating</t>
  </si>
  <si>
    <t>LU2182388582</t>
  </si>
  <si>
    <t>Amundi MSCI EMU Climate Net Zero Ambition PAB UCITS ETF Acc</t>
  </si>
  <si>
    <t>DE000A0Q4R28</t>
  </si>
  <si>
    <t>iShares STOXX Europe 600 Automobiles &amp; Parts UCITS ETF (DE) EUR (Dist)</t>
  </si>
  <si>
    <t>iShares MSCI World Energy Sector ESG UCITS ETF USD (Dist)</t>
  </si>
  <si>
    <t>Invesco US Treasury Bond 1-3 Year UCITS ETF Dist</t>
  </si>
  <si>
    <t>IE00BFYTYS33</t>
  </si>
  <si>
    <t>iShares Edge MSCI World Value Factor UCITS ETF USD (Dist)</t>
  </si>
  <si>
    <t>JPMorgan USD Emerging Markets Sovereign Bond UCITS ETF</t>
  </si>
  <si>
    <t>IE00020C1NS6</t>
  </si>
  <si>
    <t>Invesco Global High Yield Corporate Bond ESG UCITS ETF GBP PfHdg Dist</t>
  </si>
  <si>
    <t>UBS ETF (IE) MSCI EMU ESG Universal Low Carbon Select UCITS ETF (EUR) A-acc</t>
  </si>
  <si>
    <t>IE00BM8QRY62</t>
  </si>
  <si>
    <t>Invesco S&amp;P 500 Equal Weight UCITS ETF Dist</t>
  </si>
  <si>
    <t>Amundi MSCI Turkey UCITS ETF Acc</t>
  </si>
  <si>
    <t>LU1407888723</t>
  </si>
  <si>
    <t>Amundi US Treasury Bond 3-7Y UCITS ETF Acc</t>
  </si>
  <si>
    <t>Amundi STOXX Europe 600 Basic Resources UCITS ETF Acc</t>
  </si>
  <si>
    <t>LU1650491795</t>
  </si>
  <si>
    <t>Amundi Euro Government Inflation-Linked Bond UCITS ETF Dist</t>
  </si>
  <si>
    <t>JE00BN7KB334</t>
  </si>
  <si>
    <t>WisdomTree Natural Gas</t>
  </si>
  <si>
    <t>IE000UMV0L21</t>
  </si>
  <si>
    <t>Xtrackers MSCI USA ESG UCITS ETF 1D</t>
  </si>
  <si>
    <t>Xtrackers USD Emerging Markets Bond UCITS ETF 2D</t>
  </si>
  <si>
    <t>Amundi EUR Short Term High Yield Corporate Bond ESG UCITS ETF Dist</t>
  </si>
  <si>
    <t>Xtrackers II Global Inflation-Linked Bond UCITS ETF 5C</t>
  </si>
  <si>
    <t>LU1563454823</t>
  </si>
  <si>
    <t>Amundi Global Aggregate Green Bond UCITS ETF EUR Hedged Acc</t>
  </si>
  <si>
    <t>Xtrackers MSCI Global SDG 11 Sustainable Cities UCITS ETF 1C</t>
  </si>
  <si>
    <t>Ossiam STOXX Europe 600 ESG Equal Weight NR UCITS ETF 1C (EUR)</t>
  </si>
  <si>
    <t>IE00BK0TB144</t>
  </si>
  <si>
    <t>iShares Global Corporate Bond UCITS ETF CHF Hedged (Acc)</t>
  </si>
  <si>
    <t>LU2673523309</t>
  </si>
  <si>
    <t>Xtrackers II Target Maturity Sept 2029 EUR Corporate Bond UCITS ETF 1D</t>
  </si>
  <si>
    <t>Vanguard ESG EUR Corporate Bond UCITS ETF (EUR) Accumulating</t>
  </si>
  <si>
    <t>JPMorgan US Research Enhanced Index Equity (ESG) UCITS ETF EUR Hedged (acc)</t>
  </si>
  <si>
    <t>WisdomTree Japan Equity UCITS ETF USD Acc</t>
  </si>
  <si>
    <t>FR0012740983</t>
  </si>
  <si>
    <t>Invesco JPX-Nikkei 400 UCITS ETF</t>
  </si>
  <si>
    <t>DE000ETFL318</t>
  </si>
  <si>
    <t>Deka MSCI Japan Climate Change ESG UCITS ETF</t>
  </si>
  <si>
    <t>SPDR S&amp;P Emerging Markets Dividend Aristocrats UCITS ETF (Dist)</t>
  </si>
  <si>
    <t>LU0950676469</t>
  </si>
  <si>
    <t>UBS ETF (LU) Bloomberg US 7-10 Year Treasury Bond UCITS ETF (USD) A-acc</t>
  </si>
  <si>
    <t>IE00BZ173W74</t>
  </si>
  <si>
    <t>iShares USD Corporate Bond Interest Rate Hedged UCITS ETF USD (Acc)</t>
  </si>
  <si>
    <t>LU2343997487</t>
  </si>
  <si>
    <t>Amundi MSCI China ESG Leaders Select UCITS ETF DR (C)</t>
  </si>
  <si>
    <t>iShares MSCI EMU Large Cap UCITS ETF</t>
  </si>
  <si>
    <t>BNP Paribas Easy MSCI EMU SRI S-Series PAB 5% Capped UCITS ETF</t>
  </si>
  <si>
    <t>IE00BMCZLH06</t>
  </si>
  <si>
    <t>iShares USD Development Bank Bonds UCITS ETF EUR Hedged (Acc)</t>
  </si>
  <si>
    <t>Invesco Euro Government Bond 3-5 Year UCITS ETF Dist</t>
  </si>
  <si>
    <t>IE00BMW42637</t>
  </si>
  <si>
    <t>iShares MSCI Europe Energy Sector UCITS ETF EUR (Acc)</t>
  </si>
  <si>
    <t>UBS ETF (LU) MSCI USA Socially Responsible UCITS ETF (hedged to EUR) A-dis</t>
  </si>
  <si>
    <t>IE00BF2GC043</t>
  </si>
  <si>
    <t>Invesco US Treasury Bond 3-7 Year UCITS ETF GBP Hedged Dist</t>
  </si>
  <si>
    <t>DE0005933949</t>
  </si>
  <si>
    <t>iShares STOXX Europe 50 UCITS ETF (DE)</t>
  </si>
  <si>
    <t>IE000I5MBLC4</t>
  </si>
  <si>
    <t>JPMorgan US Research Enhanced Index Equity SRI Paris Aligned UCITS ETF EUR (acc)</t>
  </si>
  <si>
    <t>LU2572256662</t>
  </si>
  <si>
    <t>Amundi PEA Dow Jones Industrial Average UCITS ETF Dist</t>
  </si>
  <si>
    <t>IE00BDR55364</t>
  </si>
  <si>
    <t>UBS ETF (IE) MSCI ACWI Socially Responsible UCITS ETF (USD) A-dis</t>
  </si>
  <si>
    <t>BNP Paribas Easy JPM ESG EMBI Global Diversified Composite UCITS ETF EUR Hedged</t>
  </si>
  <si>
    <t>IE00B4M7GH52</t>
  </si>
  <si>
    <t>iShares MSCI Poland UCITS ETF USD (Acc)</t>
  </si>
  <si>
    <t>WisdomTree Emerging Markets Equity Income UCITS ETF</t>
  </si>
  <si>
    <t>IE00BH3YZ803</t>
  </si>
  <si>
    <t>Invesco S&amp;P SmallCap 600 UCITS ETF A</t>
  </si>
  <si>
    <t>Amundi MSCI Eastern Europe Ex Russia UCITS ETF Acc</t>
  </si>
  <si>
    <t>Eastern Europe</t>
  </si>
  <si>
    <t>iShares MSCI World Quality Factor ESG UCITS ETF USD (Acc)</t>
  </si>
  <si>
    <t>IE00BH361H73</t>
  </si>
  <si>
    <t>Xtrackers MSCI North America High Dividend Yield UCITS ETF 1C</t>
  </si>
  <si>
    <t>CH0558875933</t>
  </si>
  <si>
    <t>AMINA Bitcoin ETP</t>
  </si>
  <si>
    <t>IE00BF8HV717</t>
  </si>
  <si>
    <t>PIMCO Covered Bond UCITS ETF Dist</t>
  </si>
  <si>
    <t>LU1920015796</t>
  </si>
  <si>
    <t>Xtrackers II US Treasuries UCITS ETF 1C</t>
  </si>
  <si>
    <t>BNP Paribas Easy FTSE EPRA/NAREIT Eurozone Capped UCITS ETF</t>
  </si>
  <si>
    <t>Xtrackers Bloomberg Commodity ex-Agriculture &amp; Livestock Swap UCITS ETF 1C EUR Hedged</t>
  </si>
  <si>
    <t>IE000GHXL2Q3</t>
  </si>
  <si>
    <t>iShares EUR Government Bond 20yr Target Duration UCITS ETF EUR (Acc)</t>
  </si>
  <si>
    <t>IndexIQ Factors Sustainable Japan Equity UCITS ETF</t>
  </si>
  <si>
    <t>LU1242369327</t>
  </si>
  <si>
    <t>Xtrackers MSCI Europe UCITS ETF 1D</t>
  </si>
  <si>
    <t>LU1659681230</t>
  </si>
  <si>
    <t>BNP Paribas Easy MSCI Emerging SRI S-Series PAB 5% Capped UCITS ETF EUR Acc</t>
  </si>
  <si>
    <t>BNP Paribas Easy MSCI Japan ESG Filtered Min TE UCITS ETF EUR Hedged</t>
  </si>
  <si>
    <t>Rize Cybersecurity and Data Privacy UCITS ETF</t>
  </si>
  <si>
    <t>GB00BJYDH394</t>
  </si>
  <si>
    <t>WisdomTree Physical Ethereum</t>
  </si>
  <si>
    <t>LU2611732475</t>
  </si>
  <si>
    <t>Amundi SDAX UCITS ETF Dist</t>
  </si>
  <si>
    <t>IE00BJ5JP329</t>
  </si>
  <si>
    <t>iShares MSCI World Consumer Staples Sector ESG UCITS ETF USD (Dist)</t>
  </si>
  <si>
    <t>IE00B9MRJJ36</t>
  </si>
  <si>
    <t>Xtrackers MDAX ESG Screened UCITS ETF 1D</t>
  </si>
  <si>
    <t>FR0010435297</t>
  </si>
  <si>
    <t>Amundi MSCI Emerging Markets III UCITS ETF USD Acc</t>
  </si>
  <si>
    <t>IE000WYX67F4</t>
  </si>
  <si>
    <t>iShares Core EUR Corporate Bond UCITS ETF USD Hedged (Dist)</t>
  </si>
  <si>
    <t>LU1574142243</t>
  </si>
  <si>
    <t>Amundi Stoxx Europe 600 UCITS ETF - EUR Hedged Dist</t>
  </si>
  <si>
    <t>IE00BN92ZL31</t>
  </si>
  <si>
    <t>iShares MSCI World Paris-Aligned Climate UCITS ETF USD (Dist)</t>
  </si>
  <si>
    <t>iShares MSCI UK UCITS ETF (Acc)</t>
  </si>
  <si>
    <t>LU1048316720</t>
  </si>
  <si>
    <t>UBS ETF (LU) Bloomberg US Liquid Corporates UCITS ETF (USD) A-acc</t>
  </si>
  <si>
    <t>Amundi S&amp;P Global Materials ESG UCITS ETF DR EUR (A)</t>
  </si>
  <si>
    <t>DE000A3GMKD7</t>
  </si>
  <si>
    <t>LU2788421340</t>
  </si>
  <si>
    <t>Xtrackers CSI500 Swap UCITS ETF 1C</t>
  </si>
  <si>
    <t>Invesco Preferred Shares UCITS ETF</t>
  </si>
  <si>
    <t>LU1753045332</t>
  </si>
  <si>
    <t>BNP Paribas Easy MSCI Europe SRI S-Series PAB 5% Capped UCITS ETF EUR Acc</t>
  </si>
  <si>
    <t>IE000N0TTJQ9</t>
  </si>
  <si>
    <t>AXA IM USD Credit PAB UCITS ETF USD Acc</t>
  </si>
  <si>
    <t>UBS ETF (IE) MSCI China A SF UCITS ETF (USD) A-acc</t>
  </si>
  <si>
    <t>IE000U58J0M1</t>
  </si>
  <si>
    <t>iShares Global Clean Energy UCITS ETF USD (Acc)</t>
  </si>
  <si>
    <t>gettex, XETRA, Euronext Paris, Euronext Amsterdam</t>
  </si>
  <si>
    <t>Amundi MSCI Europe Growth UCITS ETF Dist</t>
  </si>
  <si>
    <t>LU1650492256</t>
  </si>
  <si>
    <t>Amundi FTSE 100 UCITS ETF Dist</t>
  </si>
  <si>
    <t>Rize Sustainable Future of Food UCITS ETF</t>
  </si>
  <si>
    <t>Amundi S&amp;P 500 VIX Futures Enhanced Roll UCITS ETF Acc</t>
  </si>
  <si>
    <t>gettex, XETRA, Stuttgart, Borsa Italiana, Euronext Amsterdam, Euronext Brussels</t>
  </si>
  <si>
    <t>IE000CR3ZDF9</t>
  </si>
  <si>
    <t>iShares EUR Aggregate Bond ESG UCITS ETF EUR (Acc)</t>
  </si>
  <si>
    <t>IE000IVQPCG4</t>
  </si>
  <si>
    <t>Ossiam Bloomberg World PAB UCITS ETF 1A (EUR)</t>
  </si>
  <si>
    <t>IE00BD5FCF91</t>
  </si>
  <si>
    <t>IE00BG47KB92</t>
  </si>
  <si>
    <t>Vanguard Global Aggregate Bond UCITS ETF EUR Hedged Distributing</t>
  </si>
  <si>
    <t>LU1459803133</t>
  </si>
  <si>
    <t>UBS ETF (LU) Bloomberg TIPS 10+ UCITS ETF (hedged to GBP) A-dis</t>
  </si>
  <si>
    <t>IE00BCLWRB83</t>
  </si>
  <si>
    <t>iShares USD Corporate Bond Interest Rate Hedged UCITS ETF</t>
  </si>
  <si>
    <t>Amundi S&amp;P 500 Buyback UCITS ETF EUR (C)</t>
  </si>
  <si>
    <t>DE000ETF9074</t>
  </si>
  <si>
    <t>Amundi MDAX ESG II UCITS ETF Dist</t>
  </si>
  <si>
    <t>IE00BGDQ0V72</t>
  </si>
  <si>
    <t>iShares MSCI Japan SRI UCITS ETF USD (Dist)</t>
  </si>
  <si>
    <t>IE00BD4TYF66</t>
  </si>
  <si>
    <t>UBS ETF (IE) MSCI USA hedged EUR UCITS ETF (EUR) A-dis</t>
  </si>
  <si>
    <t>SPDR MSCI Europe Consumer Discretionary UCITS ETF</t>
  </si>
  <si>
    <t>LU0468896575</t>
  </si>
  <si>
    <t>Xtrackers II Germany Government Bond UCITS ETF 1D</t>
  </si>
  <si>
    <t>IE000SU7USQ3</t>
  </si>
  <si>
    <t>AXA IM MSCI World Equity PAB UCITS ETF USD Acc</t>
  </si>
  <si>
    <t>IE0007UJ6IE0</t>
  </si>
  <si>
    <t>Invesco Dow Jones US Insurance UCITS ETF Acc</t>
  </si>
  <si>
    <t>Amundi STOXX Europe 600 Energy ESG Screened UCITS ETF Acc</t>
  </si>
  <si>
    <t>IE00BD93YH54</t>
  </si>
  <si>
    <t>iShares Edge S&amp;P 500 Minimum Volatility UCITS ETF USD (Dist)</t>
  </si>
  <si>
    <t>IE00BYVHJM24</t>
  </si>
  <si>
    <t>UBS ETF (IE) MSCI ACWI ESG Universal UCITS ETF (hedged to JPY) A-acc</t>
  </si>
  <si>
    <t>DE000ETFL177</t>
  </si>
  <si>
    <t>Deka Deutsche Boerse EUROGOV Germany UCITS ETF</t>
  </si>
  <si>
    <t>UBS ETF (IE) S&amp;P Dividend Aristocrats ESG UCITS ETF (USD) A-dis</t>
  </si>
  <si>
    <t>Amundi IBEX 35 UCITS ETF Acc</t>
  </si>
  <si>
    <t>DE000A0Q4R44</t>
  </si>
  <si>
    <t>iShares STOXX Europe 600 Real Estate UCITS ETF (DE)</t>
  </si>
  <si>
    <t>Invesco MSCI Japan ESG Climate Paris Aligned UCITS ETF Acc</t>
  </si>
  <si>
    <t>L&amp;G Ecommerce Logistics UCITS ETF</t>
  </si>
  <si>
    <t>IE00B5MTXJ97</t>
  </si>
  <si>
    <t>Invesco European Insurance Sector UCITS ETF Acc</t>
  </si>
  <si>
    <t>Amundi Prime Global Government Bond UCITS ETF Dist</t>
  </si>
  <si>
    <t>IE00BFF5RX68</t>
  </si>
  <si>
    <t>iShares Edge MSCI USA Value Factor UCITS ETF USD (Dist)</t>
  </si>
  <si>
    <t>Xtrackers India Government Bond UCITS ETF 1C</t>
  </si>
  <si>
    <t>IE000AZOUN82</t>
  </si>
  <si>
    <t>Franklin MSCI World Catholic Principles UCITS ETF USD Capitalisation</t>
  </si>
  <si>
    <t>DE000A3GSUD3</t>
  </si>
  <si>
    <t>VanEck Solana ETN</t>
  </si>
  <si>
    <t>LU0962071741</t>
  </si>
  <si>
    <t>Xtrackers iBoxx Sovereigns Eurozone Yield Plus UCITS ETF 1D</t>
  </si>
  <si>
    <t>LU1965301184</t>
  </si>
  <si>
    <t>Ossiam US Steepener UCITS ETF 1C (USD)</t>
  </si>
  <si>
    <t>IE00BZ1GHD37</t>
  </si>
  <si>
    <t>WisdomTree Enhanced Commodity UCITS ETF USD</t>
  </si>
  <si>
    <t>IE00BF1QPJ56</t>
  </si>
  <si>
    <t>SPDR Bloomberg Global Aggregate Bond UCITS ETF GBP Hedged</t>
  </si>
  <si>
    <t>HSBC Nasdaq Global Semiconductor UCITS ETF</t>
  </si>
  <si>
    <t>IE00BG0TQC25</t>
  </si>
  <si>
    <t>Invesco UK Gilts UCITS ETF Dist</t>
  </si>
  <si>
    <t>IE00BSJCQV56</t>
  </si>
  <si>
    <t>SPDR FTSE EPRA Europe ex UK Real Estate UCITS ETF</t>
  </si>
  <si>
    <t>iShares MSCI Turkey UCITS ETF</t>
  </si>
  <si>
    <t>FR0014003FW1</t>
  </si>
  <si>
    <t>Amundi MSCI World Climate Paris Aligned PAB Umweltzeichen UCITS ETF DR EUR</t>
  </si>
  <si>
    <t>Xtrackers ESG USD Emerging Markets Bond Quality Weighted UCITS ETF 1D</t>
  </si>
  <si>
    <t>DE000ETFL144</t>
  </si>
  <si>
    <t>Deka iBoxx EUR Liquid Sovereign Diversified 5-7 UCITS ETF</t>
  </si>
  <si>
    <t>LU2470620845</t>
  </si>
  <si>
    <t>Amundi Global Aggregate SRI 1-5 UCITS ETF DR Hedged EUR (C)</t>
  </si>
  <si>
    <t>LU2697596745</t>
  </si>
  <si>
    <t>BNP Paribas Easy Sustainable EUR Corporate Bond UCITS ETF Capitalisation</t>
  </si>
  <si>
    <t>IE000BZXJJ24</t>
  </si>
  <si>
    <t>iShares iBonds Dec 2030 Term USD Corporate UCITS ETF USD (Dist)</t>
  </si>
  <si>
    <t>IE000ZH72RF4</t>
  </si>
  <si>
    <t>iShares Broad USD High Yield Corporate Bond UCITS ETF CHF Hedged (Acc)</t>
  </si>
  <si>
    <t>LU2675291913</t>
  </si>
  <si>
    <t>Xtrackers MSCI Emerging Markets Swap UCITS ETF 1D</t>
  </si>
  <si>
    <t>DE000ETFL342</t>
  </si>
  <si>
    <t xml:space="preserve">Deka MSCI Emerging Markets UCITS ETF </t>
  </si>
  <si>
    <t>WisdomTree Physical Palladium</t>
  </si>
  <si>
    <t>IE00BKWD3F20</t>
  </si>
  <si>
    <t>Invesco US Treasury Bond 0-1 Year UCITS ETF GBP Hedged Dist</t>
  </si>
  <si>
    <t>IE00BWK1SP74</t>
  </si>
  <si>
    <t>iShares MSCI EMU CHF Hedged UCITS ETF (Acc)</t>
  </si>
  <si>
    <t>IE00B3Q19T94</t>
  </si>
  <si>
    <t>Invesco EURO STOXX Optimised Banks UCITS ETF</t>
  </si>
  <si>
    <t>PIMCO Emerging Markets Advantage Local Bond Index UCITS ETF Dist</t>
  </si>
  <si>
    <t>Franklin Euro Short Maturity UCITS ETF (Acc)</t>
  </si>
  <si>
    <t>JPMorgan USD Emerging Markets Sovereign Bond UCITS ETF - USD (Dist)</t>
  </si>
  <si>
    <t>UBS ETF (LU) MSCI Japan UCITS ETF (hedged to EUR) A-acc</t>
  </si>
  <si>
    <t>WisdomTree Nickel</t>
  </si>
  <si>
    <t>JPMorgan USD Ultra-Short Income UCITS ETF USD (Dist)</t>
  </si>
  <si>
    <t>Fidelity Sustainable Research Enhanced Europe Equity UCITS ETF Acc</t>
  </si>
  <si>
    <t>VanEck Rare Earth and Strategic Metals UCITS ETF A</t>
  </si>
  <si>
    <t>DE000A0D8Q23</t>
  </si>
  <si>
    <t>iShares ATX UCITS ETF (DE)</t>
  </si>
  <si>
    <t>UBS ETF (IE) MSCI Emerging Markets SF UCITS ETF (USD) A-acc</t>
  </si>
  <si>
    <t>IE00BD8PH174</t>
  </si>
  <si>
    <t>iShares Global Inflation Linked Government Bond EUR Hedged UCITS ETF (Dist)</t>
  </si>
  <si>
    <t>IE00BYTRR756</t>
  </si>
  <si>
    <t>SPDR MSCI World Consumer Staples UCITS ETF</t>
  </si>
  <si>
    <t>LU1407893301</t>
  </si>
  <si>
    <t>Amundi UK Government Inflation-Linked Bond UCITS ETF Dist</t>
  </si>
  <si>
    <t>London, Euronext Paris</t>
  </si>
  <si>
    <t>Xtrackers iBoxx EUR High Yield Bond 1-3 Swap UCITS ETF 1D</t>
  </si>
  <si>
    <t>IE00BKP5L409</t>
  </si>
  <si>
    <t>iShares US Mortgage Backed Securities UCITS ETF EUR Hedged (Acc)</t>
  </si>
  <si>
    <t>DE0005933980</t>
  </si>
  <si>
    <t>iShares STOXX Europe Large 200 UCITS ETF (DE)</t>
  </si>
  <si>
    <t>IE00BNDS1T77</t>
  </si>
  <si>
    <t>Vanguard ESG Global Corporate Bond UCITS ETF GBP Hedged Accumulating</t>
  </si>
  <si>
    <t>UBS ETF (LU) MSCI Japan Socially Responsible UCITS ETF (hedged to EUR) A-acc</t>
  </si>
  <si>
    <t>LU0950676113</t>
  </si>
  <si>
    <t>UBS ETF (LU) Bloomberg US 1-3 Year Treasury Bond UCITS ETF (USD) A-acc</t>
  </si>
  <si>
    <t>IE000WIQIPT2</t>
  </si>
  <si>
    <t>iShares USD TIPS 0-5 UCITS ETF EUR Hedged (Dist)</t>
  </si>
  <si>
    <t>IE000FOSCLU1</t>
  </si>
  <si>
    <t>iShares MSCI EMU Paris-Aligned Climate UCITS ETF EUR (Dist)</t>
  </si>
  <si>
    <t>LU2641925016</t>
  </si>
  <si>
    <t>BNP Paribas Easy MSCI World SRI S-Series PAB 5% Capped UCITS ETF EUR Dist</t>
  </si>
  <si>
    <t>IE00BH04GW44</t>
  </si>
  <si>
    <t>Vanguard UK Gilt UCITS ETF Accumulating</t>
  </si>
  <si>
    <t>LU0514694701</t>
  </si>
  <si>
    <t>Xtrackers MSCI Thailand UCITS ETF 1C</t>
  </si>
  <si>
    <t>LU2673523564</t>
  </si>
  <si>
    <t>Xtrackers II Target Maturity Sept 2033 EUR Corporate Bond UCITS ETF 1D</t>
  </si>
  <si>
    <t>LU1169822340</t>
  </si>
  <si>
    <t>UBS ETF (LU) MSCI Japan UCITS ETF (hedged to GBP) A-dis</t>
  </si>
  <si>
    <t>Invesco US Energy Sector UCITS ETF</t>
  </si>
  <si>
    <t>LU1459802168</t>
  </si>
  <si>
    <t>UBS ETF (LU) Bloomberg TIPS 1-10 UCITS ETF (hedged to CHF) A-acc</t>
  </si>
  <si>
    <t>Xtrackers II GBP Overnight Rate Swap UCITS ETF 1D</t>
  </si>
  <si>
    <t>LU0533033311</t>
  </si>
  <si>
    <t>Amundi MSCI World Health Care UCITS ETF USD Acc</t>
  </si>
  <si>
    <t>IE00BYNQMK61</t>
  </si>
  <si>
    <t>UBS ETF (IE) MSCI UK IMI Socially Responsible UCITS ETF (hedged to EUR) A-acc</t>
  </si>
  <si>
    <t>IE00BFMKQC67</t>
  </si>
  <si>
    <t>Xtrackers USD Corporate Bond UCITS ETF 1C</t>
  </si>
  <si>
    <t>LU1829220133</t>
  </si>
  <si>
    <t>Amundi MSCI All Country World UCITS ETF USD Acc</t>
  </si>
  <si>
    <t>LU2673523481</t>
  </si>
  <si>
    <t>Xtrackers II Target Maturity Sept 2031 EUR Corporate Bond UCITS ETF 1D</t>
  </si>
  <si>
    <t>LU1291108642</t>
  </si>
  <si>
    <t>BNP Paribas Easy MSCI World SRI S-Series PAB 5% Capped UCITS ETF USD Acc</t>
  </si>
  <si>
    <t>iShares EUR Green Bond UCITS ETF EUR (Dist)</t>
  </si>
  <si>
    <t>Global X S&amp;P 500 Quarterly Buffer UCITS ETF USD Accumulating</t>
  </si>
  <si>
    <t>FR0010377028</t>
  </si>
  <si>
    <t>Amundi Japan TOPIX II UCITS ETF JPY Dist</t>
  </si>
  <si>
    <t>UBS ETF (LU) J.P. Morgan Global Government ESG Liquid Bond UCITS ETF (USD) A-acc</t>
  </si>
  <si>
    <t>DE000ETFL250</t>
  </si>
  <si>
    <t xml:space="preserve">Deka STOXX Europe 50Â® UCITS ETF </t>
  </si>
  <si>
    <t>IE00BYTRRF33</t>
  </si>
  <si>
    <t>SPDR MSCI World Materials UCITS ETF</t>
  </si>
  <si>
    <t>LU1048315326</t>
  </si>
  <si>
    <t>UBS ETF (LU) Bloomberg US Liquid Corporates 1-5 Year UCITS ETF (hedged to GBP) A-dis</t>
  </si>
  <si>
    <t>Amundi MSCI World Ex EMU SRI PAB Net Zero Ambition UCITS ETF Acc</t>
  </si>
  <si>
    <t>Amundi Japan TOPIX II UCITS ETF EUR Hedged Dist</t>
  </si>
  <si>
    <t>HANetf HAN-GINS Tech Megatrend Equal Weight UCITS ETF</t>
  </si>
  <si>
    <t>IE00B5B3W843</t>
  </si>
  <si>
    <t>UBS ETF (IE) Bloomberg Commodity Index SF UCITS ETF (USD) A-acc</t>
  </si>
  <si>
    <t>IE000QUCVEN9</t>
  </si>
  <si>
    <t>Rize Global Sustainable Infrastructure UCITS ETF USD Dist</t>
  </si>
  <si>
    <t>IE000PQQLZM7</t>
  </si>
  <si>
    <t>JPMorgan Active Global Aggregate Bond UCITS ETF EUR Hedged (acc)</t>
  </si>
  <si>
    <t>SPDR ICE BofA 0-5 Year EM USD Government Bond UCITS ETF EUR Hedged (Acc)</t>
  </si>
  <si>
    <t>Fidelity Emerging Markets Quality Income UCITS ETF</t>
  </si>
  <si>
    <t>IE00BMDBMK72</t>
  </si>
  <si>
    <t>iShares MSCI Pacific ex-Japan ESG Enhanced UCITS ETF USD (Acc)</t>
  </si>
  <si>
    <t>LU1302703878</t>
  </si>
  <si>
    <t>Amundi S&amp;P 500 II UCITS ETF CHF Hedged Dist</t>
  </si>
  <si>
    <t>LU0950670777</t>
  </si>
  <si>
    <t>UBS ETF (LU) SBI Foreign AAA-BBB 1-5 ESG UCITS ETF (CHF) A-acc</t>
  </si>
  <si>
    <t>IE000CBYU7J5</t>
  </si>
  <si>
    <t>L&amp;G Emerging Markets ESG Exclusions Paris Aligned UCITS ETF USD Accumulating</t>
  </si>
  <si>
    <t>Amundi Australia S&amp;P/ASX 200 UCITS ETF Dist</t>
  </si>
  <si>
    <t>Xtrackers USD Corporate Bond Short Duration SRI PAB UCITS ETF 1D</t>
  </si>
  <si>
    <t>Franklin Global Quality Dividend UCITS ETF</t>
  </si>
  <si>
    <t>IE00BDGV0415</t>
  </si>
  <si>
    <t>UBS ETF (IE) MSCI USA Select Factor Mix UCITS ETF (USD) A-acc</t>
  </si>
  <si>
    <t>IE00BYVJRQ85</t>
  </si>
  <si>
    <t>iShares MSCI Japan SRI EUR Hedged UCITS ETF (Acc)</t>
  </si>
  <si>
    <t>LU2611732129</t>
  </si>
  <si>
    <t>Amundi F.A.Z. 100 UCITS ETF Dist</t>
  </si>
  <si>
    <t>Xtrackers S&amp;P 500 Equal Weight ESG UCITS ETF 2C EUR Hedged</t>
  </si>
  <si>
    <t>IE00B6QGFW01</t>
  </si>
  <si>
    <t>iShares Emerging Asia Local Government Bond UCITS ETF</t>
  </si>
  <si>
    <t>UBS ETF (LU) Bloomberg US Liquid Corporates UCITS ETF (USD) A-dis</t>
  </si>
  <si>
    <t>Amundi STOXX Europe 600 Consumer Staples UCITS ETF Acc</t>
  </si>
  <si>
    <t>DE000A0H08E0</t>
  </si>
  <si>
    <t>iShares STOXX Europe 600 Chemicals UCITS ETF (DE)</t>
  </si>
  <si>
    <t>Amundi USD High Yield Corporate Bond ESG UCITS ETF Dist</t>
  </si>
  <si>
    <t>UBS ETF (IE) Factor MSCI USA Quality ESG UCITS ETF (hedged to EUR) A-acc</t>
  </si>
  <si>
    <t>IE00BVZ6SQ11</t>
  </si>
  <si>
    <t>PIMCO US Short-Term High Yield Corporate Bond Index UCITS ETF Acc</t>
  </si>
  <si>
    <t>IE0008TDJ461</t>
  </si>
  <si>
    <t>iShares iBonds Dec 2030 Term USD Corporate UCITS ETF USD (Acc)</t>
  </si>
  <si>
    <t>IE0001R850E1</t>
  </si>
  <si>
    <t>First Trust SMID Rising Dividend Achievers UCITS ETF Class A Accumulation</t>
  </si>
  <si>
    <t>UBS ETF (LU) Bloomberg MSCI US Liquid Corporates 1-5 Year Sustainable UCITS ETF (hedged to EUR) A-acc</t>
  </si>
  <si>
    <t>Vanguard ESG Developed Europe All Cap UCITS ETF (EUR) Accumulating</t>
  </si>
  <si>
    <t>UBS ETF (LU) MSCI Europe Socially Responsible UCITS ETF (hedged to EUR) A-acc</t>
  </si>
  <si>
    <t>WisdomTree Carbon</t>
  </si>
  <si>
    <t>Amundi EUR High Yield Corporate Bond ESG UCITS ETF Acc</t>
  </si>
  <si>
    <t>IE00BYTRRC02</t>
  </si>
  <si>
    <t>SPDR MSCI World Industrials UCITS ETF</t>
  </si>
  <si>
    <t>London, SIX Swiss Exchange, Euronext Amsterdam</t>
  </si>
  <si>
    <t>SPDR Bloomberg 10+ Year US Corporate Bond UCITS ETF</t>
  </si>
  <si>
    <t>WisdomTree Broad Commodities</t>
  </si>
  <si>
    <t>JPMorgan BetaBuilders US Treasury Bond 1-3 yr UCITS ETF - USD (Acc)</t>
  </si>
  <si>
    <t>IE0000ZVYDH0</t>
  </si>
  <si>
    <t>Amundi MSCI ACWI SRI PAB UCITS ETF DR USD (A)</t>
  </si>
  <si>
    <t>iShares Blockchain Technology UCITS ETF USD (Acc)</t>
  </si>
  <si>
    <t>LU1659681586</t>
  </si>
  <si>
    <t>BNP Paribas Easy MSCI USA SRI S-Series PAB 5% Capped UCITS ETF EUR Acc</t>
  </si>
  <si>
    <t>CH0454664043</t>
  </si>
  <si>
    <t>21Shares Ripple XRP ETP</t>
  </si>
  <si>
    <t>LU2491211004</t>
  </si>
  <si>
    <t>Ossiam Barclays Quantic Global E NR UCITS ETF 1C (EUR)</t>
  </si>
  <si>
    <t>LU0832436512</t>
  </si>
  <si>
    <t>Amundi Global Equity Quality Income UCITS ETF Dist</t>
  </si>
  <si>
    <t>LU2133056387</t>
  </si>
  <si>
    <t>Amundi MSCI Japan UCITS ETF EUR Hedged Dist</t>
  </si>
  <si>
    <t>BNP Paribas Easy MSCI China Select SRI S-Series 10% Capped UCITS ETF EUR Acc</t>
  </si>
  <si>
    <t>LU2697597552</t>
  </si>
  <si>
    <t>BNP Paribas Easy Sustainable EUR Government Bond UCITS ETF Capitalisation</t>
  </si>
  <si>
    <t>Goldman Sachs Access China Government Bond UCITS ETF USD (Dist)</t>
  </si>
  <si>
    <t>Invesco US Treasury Bond 10+ Year UCITS ETF EUR Hedged Dist</t>
  </si>
  <si>
    <t>IE0004L9EID2</t>
  </si>
  <si>
    <t>iShares India INR Government Bond UCITS ETF USD (Dist)</t>
  </si>
  <si>
    <t>XETRA, Euronext Amsterdam</t>
  </si>
  <si>
    <t>Rize Environmental Impact 100 UCITS ETF</t>
  </si>
  <si>
    <t>LU1646361276</t>
  </si>
  <si>
    <t>Amundi MSCI EMU UCITS ETF Acc</t>
  </si>
  <si>
    <t>IE00BCHWNS19</t>
  </si>
  <si>
    <t>Xtrackers MSCI USA Energy UCITS ETF 1D</t>
  </si>
  <si>
    <t>UBS ETF (IE) MSCI Emerging Markets Climate Paris Aligned UCITS ETF (USD) A-acc</t>
  </si>
  <si>
    <t>BNP Paribas Easy ESG Quality Europe UCITS ETF</t>
  </si>
  <si>
    <t>Amundi Global Emerging Bond Markit iBoxx UCITS ETF Dist</t>
  </si>
  <si>
    <t>UBS ETF (LU) FTSE 100 UCITS ETF (GBP) A-dis</t>
  </si>
  <si>
    <t>Amundi MSCI Water ESG Screened UCITS ETF Acc</t>
  </si>
  <si>
    <t>IE000HQY8R78</t>
  </si>
  <si>
    <t>iShares Global Aggregate Bond ESG UCITS ETF USD Hedged (Acc)</t>
  </si>
  <si>
    <t>IE00BJ5JP097</t>
  </si>
  <si>
    <t>iShares MSCI World Financials Sector ESG UCITS ETF USD (Dist)</t>
  </si>
  <si>
    <t>LU1169830442</t>
  </si>
  <si>
    <t>UBS ETF (LU) MSCI Switzerland 20/35 UCITS ETF (hedged to GBP) A-dis</t>
  </si>
  <si>
    <t>IE00BF2FPB31</t>
  </si>
  <si>
    <t>Invesco US Treasury Bond 3-7 Year UCITS ETF EUR Hedged Dist</t>
  </si>
  <si>
    <t>DE000ETF9082</t>
  </si>
  <si>
    <t>Amundi TecDAX UCITS ETF Dist</t>
  </si>
  <si>
    <t>iShares Edge MSCI USA Multifactor UCITS ETF</t>
  </si>
  <si>
    <t>IE00BKW9SV11</t>
  </si>
  <si>
    <t>Invesco GBP Corporate Bond ESG UCITS ETF Dist</t>
  </si>
  <si>
    <t>JE00BN7KB664</t>
  </si>
  <si>
    <t>WisdomTree Wheat</t>
  </si>
  <si>
    <t>Amundi JPX Nikkei 400 UCITS ETF Daily Hedged EUR (C)</t>
  </si>
  <si>
    <t>gettex, Euronext Paris, Stuttgart, SIX Swiss Exchange</t>
  </si>
  <si>
    <t>HANetf Alerian Midstream Energy Dividend UCITS ETF</t>
  </si>
  <si>
    <t>Hybrid</t>
  </si>
  <si>
    <t>LU0378818560</t>
  </si>
  <si>
    <t>Xtrackers Singapore Government Bond UCITS ETF 1C</t>
  </si>
  <si>
    <t>SGD</t>
  </si>
  <si>
    <t>Amundi USD High Yield Corporate Bond ESG UCITS ETF EUR HEDGED Dist</t>
  </si>
  <si>
    <t>IndexIQ Factors Sustainable Corporate Euro Bond UCITS ETF</t>
  </si>
  <si>
    <t>IE00BYX5K108</t>
  </si>
  <si>
    <t>Invesco MSCI Europe ex-UK UCITS ETF</t>
  </si>
  <si>
    <t>HSBC Bloomberg Global Sustainable Aggregate 1-3 Year Bond UCITS ETF</t>
  </si>
  <si>
    <t>DE000A0Q4R69</t>
  </si>
  <si>
    <t>iShares DAX ESG UCITS ETF (DE)</t>
  </si>
  <si>
    <t>LU2089239193</t>
  </si>
  <si>
    <t>Amundi Prime US Treasury UCITS ETF DR (C)</t>
  </si>
  <si>
    <t>UBS ETF (LU) Bloomberg USD Emerging Markets Sovereign UCITS ETF (USD) A-dis</t>
  </si>
  <si>
    <t>SPDR Bloomberg 10+ Year US Treasury Bond UCITS ETF</t>
  </si>
  <si>
    <t>LU2439733507</t>
  </si>
  <si>
    <t>Amundi Global Aggregate SRI UCITS ETF DR Hedged EUR (C)</t>
  </si>
  <si>
    <t>GB00BNGJ9G01</t>
  </si>
  <si>
    <t>WisdomTree Physical Solana</t>
  </si>
  <si>
    <t>IE00BG0TQD32</t>
  </si>
  <si>
    <t>Invesco UK Gilts UCITS ETF Acc</t>
  </si>
  <si>
    <t>WisdomTree Precious Metals</t>
  </si>
  <si>
    <t>LU1681043672</t>
  </si>
  <si>
    <t>Amundi MSCI World UCITS ETF USD (C)</t>
  </si>
  <si>
    <t>IE000YASIPS3</t>
  </si>
  <si>
    <t>AXA IM MSCI Europe Equity PAB UCITS ETF EUR Acc</t>
  </si>
  <si>
    <t>Invesco US Consumer Discretionary Sector UCITS ETF</t>
  </si>
  <si>
    <t>Amundi STOXX Europe 600 Utilities UCITS ETF Acc</t>
  </si>
  <si>
    <t>LU2673523218</t>
  </si>
  <si>
    <t>Xtrackers II Target Maturity Sept 2027 EUR Corporate Bond UCITS ETF 1D</t>
  </si>
  <si>
    <t>VanEck J.P. Morgan EM Local Currency Bond UCITS ETF</t>
  </si>
  <si>
    <t>LU0292108619</t>
  </si>
  <si>
    <t>Xtrackers MSCI EM Latin America ESG Swap UCITS ETF 1C</t>
  </si>
  <si>
    <t>IE00B598DX38</t>
  </si>
  <si>
    <t>UBS ETF (IE) Bloomberg Commodity Index SF UCITS ETF (CHF) A-acc</t>
  </si>
  <si>
    <t>IE00028H9QJ8</t>
  </si>
  <si>
    <t>Xtrackers USD Corporate Green Bond UCITS ETF 1C EUR Hedged</t>
  </si>
  <si>
    <t>IE000UJC4MR1</t>
  </si>
  <si>
    <t>Invesco FTSE All-World UCITS ETF GBP PfHdg Dist</t>
  </si>
  <si>
    <t>DE000A0H08S0</t>
  </si>
  <si>
    <t>iShares STOXX Europe 600 Travel &amp; Leisure UCITS ETF (DE)</t>
  </si>
  <si>
    <t>LU0659578842</t>
  </si>
  <si>
    <t>Xtrackers MSCI Singapore UCITS ETF 1C</t>
  </si>
  <si>
    <t>Xtrackers MSCI USA ESG UCITS ETF 2C EUR Hedged</t>
  </si>
  <si>
    <t>IE00BMH5VP31</t>
  </si>
  <si>
    <t>iShares Edge MSCI World Minimum Volatility ESG UCITS ETF EUR Hedged (Acc)</t>
  </si>
  <si>
    <t>IE000XN05VU8</t>
  </si>
  <si>
    <t>UBS ETF (IE) MSCI Australia ESG Universal Low Carbon Select UCITS ETF (AUD) A-acc</t>
  </si>
  <si>
    <t>LU2082997516</t>
  </si>
  <si>
    <t>Amundi STOXX Europe 600 Healthcare UCITS ETF Dist</t>
  </si>
  <si>
    <t>IE00BG482169</t>
  </si>
  <si>
    <t>Invesco Preferred Shares UCITS ETF A</t>
  </si>
  <si>
    <t>Invesco Morningstar US Energy Infrastructure MLP UCITS ETF Acc</t>
  </si>
  <si>
    <t>Franklin European Quality Dividend UCITS ETF</t>
  </si>
  <si>
    <t>LU2611731741</t>
  </si>
  <si>
    <t>Amundi DIVDAX UCITS ETF Dist</t>
  </si>
  <si>
    <t>LU1215461598</t>
  </si>
  <si>
    <t>UBS ETF (LU) Bloomberg MSCI US Liquid Corporates Sustainable UCITS ETF (hedged to GBP) A-dis</t>
  </si>
  <si>
    <t>Amundi MSCI Smart Cities ESG Screened UCITS ETF - Acc</t>
  </si>
  <si>
    <t>WisdomTree Aluminium</t>
  </si>
  <si>
    <t>IE00BKT6FV49</t>
  </si>
  <si>
    <t>iShares Core MSCI Japan IMI UCITS ETF EUR Hedged (Acc)</t>
  </si>
  <si>
    <t>IE000MQ5XEW1</t>
  </si>
  <si>
    <t>L&amp;G Multi-Strategy Enhanced Commodities ex-Agriculture &amp; Livestock UCITS ETF USD Accumulating</t>
  </si>
  <si>
    <t>IE000P0R7WK6</t>
  </si>
  <si>
    <t>Franklin Sustainable Euro Green Sovereign UCITS ETF (Acc)</t>
  </si>
  <si>
    <t>LU0292097234</t>
  </si>
  <si>
    <t>Xtrackers FTSE 100 UCITS ETF Income 1D</t>
  </si>
  <si>
    <t>UBS ETF (LU) Bloomberg TIPS 1-10 UCITS ETF (USD) A-dis</t>
  </si>
  <si>
    <t>LU2742533636</t>
  </si>
  <si>
    <t>BNP Paribas Easy JPM ESG EMU Government Bond IG 10Y+ UCITS ETF Acc</t>
  </si>
  <si>
    <t>VanEck Morningstar Global Wide Moat UCITS ETF</t>
  </si>
  <si>
    <t>IE00BYTRRG40</t>
  </si>
  <si>
    <t>SPDR MSCI World Telecommunications UCITS ETF</t>
  </si>
  <si>
    <t>DE000A3G90G9</t>
  </si>
  <si>
    <t>ETC Group Ethereum Staking ETP</t>
  </si>
  <si>
    <t>LU1169830368</t>
  </si>
  <si>
    <t>UBS ETF (LU) MSCI Switzerland 20/35 UCITS ETF (hedged to USD) A-acc</t>
  </si>
  <si>
    <t>IE000T9EOCL3</t>
  </si>
  <si>
    <t>iShares MSCI World Small Cap ESG Enhanced UCITS ETF USD (Acc)</t>
  </si>
  <si>
    <t>Amundi STOXX Europe 600 Consumer Discretionary UCITS ETF Acc</t>
  </si>
  <si>
    <t>Xtrackers MSCI China A ESG Screened Swap UCITS ETF 1C</t>
  </si>
  <si>
    <t>DE000ETFL326</t>
  </si>
  <si>
    <t>Deka MSCI China ex A Shares UCITS ETF</t>
  </si>
  <si>
    <t>DE000A0H08F7</t>
  </si>
  <si>
    <t>iShares STOXX Europe 600 Construction &amp; Materials UCITS ETF (DE)</t>
  </si>
  <si>
    <t>WisdomTree Gold</t>
  </si>
  <si>
    <t>UBS ETF (LU) MSCI Pacific (ex Japan) UCITS ETF (USD) A-dis</t>
  </si>
  <si>
    <t>LU2089238112</t>
  </si>
  <si>
    <t>Amundi Prime Eurozone UCITS ETF DR (C)</t>
  </si>
  <si>
    <t>LU1130156323</t>
  </si>
  <si>
    <t>UBS ETF (LU) MSCI Canada UCITS ETF (hedged to GBP) A-acc</t>
  </si>
  <si>
    <t>IE00BKM4H197</t>
  </si>
  <si>
    <t>iShares MSCI Emerging Markets Consumer Growth UCITS ETF USD (Acc)</t>
  </si>
  <si>
    <t>Amundi EUR Corporate Bond ex-Financials ESG UCITS ETF Acc</t>
  </si>
  <si>
    <t>gettex, Euronext Paris, Stuttgart, SIX Swiss Exchange, Borsa Italiana</t>
  </si>
  <si>
    <t>UBS ETF (LU) MSCI Canada UCITS ETF (hedged to EUR) A-acc</t>
  </si>
  <si>
    <t>IE00BJXRT813</t>
  </si>
  <si>
    <t>SPDR MSCI World Value UCITS ETF</t>
  </si>
  <si>
    <t>IE000IHURBR0</t>
  </si>
  <si>
    <t>iShares iBonds Dec 2029 Term EUR Corporate UCITS ETF EUR (Dist)</t>
  </si>
  <si>
    <t>HSBC MSCI Emerging Markets Value ESG UCITS ETF USD (Acc)</t>
  </si>
  <si>
    <t>JPMorgan Global High Yield Corporate Bond Multi-Factor UCITS ETF (acc)</t>
  </si>
  <si>
    <t>IE000QJMYB29</t>
  </si>
  <si>
    <t>iShares iBonds Dec 2029 Term USD Corporate UCITS ETF USD (Acc)</t>
  </si>
  <si>
    <t>IE0005POVJH8</t>
  </si>
  <si>
    <t>SPDR MSCI World UCITS ETF GBP Hedged (Dist)</t>
  </si>
  <si>
    <t>DE000A0H08G5</t>
  </si>
  <si>
    <t>iShares STOXX Europe 600 Financial Services UCITS ETF (DE)</t>
  </si>
  <si>
    <t>DE000ETFL359</t>
  </si>
  <si>
    <t>Deka iBoxx EUR Liquid Germany Covered Diversified UCITS ETF</t>
  </si>
  <si>
    <t>Amundi JPX Nikkei 400 UCITS ETF EUR (C)</t>
  </si>
  <si>
    <t>DE000ETFL193</t>
  </si>
  <si>
    <t>Deka Deutsche Boerse EUROGOV Germany 3-5 UCITS ETF</t>
  </si>
  <si>
    <t>SPDR S&amp;P U.S. Dividend Aristocrats UCITS ETF EUR Hedged (Dist)</t>
  </si>
  <si>
    <t>IE00BNDS1V99</t>
  </si>
  <si>
    <t>Vanguard ESG Global Corporate Bond UCITS ETF GBP Hedged Distributing</t>
  </si>
  <si>
    <t>IE00BF0BCP69</t>
  </si>
  <si>
    <t>L&amp;G All Commodities UCITS ETF</t>
  </si>
  <si>
    <t>IE000TZT3JJ0</t>
  </si>
  <si>
    <t>JPMorgan UK Equity Core UCITS ETF GBP (dist)</t>
  </si>
  <si>
    <t>IE000ZO4CUT7</t>
  </si>
  <si>
    <t>L&amp;G ESG Emerging Markets Corporate Bond (USD) UCITS ETF EUR Hedged Acc</t>
  </si>
  <si>
    <t>IE0002EKOXU6</t>
  </si>
  <si>
    <t>iShares Russell 1000 Value UCITS ETF USD (Acc)</t>
  </si>
  <si>
    <t>Vanguard LifeStrategy 20% Equity UCITS ETF Accumulating</t>
  </si>
  <si>
    <t>LU1324516480</t>
  </si>
  <si>
    <t>UBS ETF (LU) Bloomberg USD Emerging Markets Sovereign UCITS ETF (hedged to GBP) A-dis</t>
  </si>
  <si>
    <t>IE000PB4LRO2</t>
  </si>
  <si>
    <t>Amundi MSCI World ESG Climate Net Zero Ambition CTB UCITS ETF UCITS ETF Dist</t>
  </si>
  <si>
    <t>IE00BYMS5W68</t>
  </si>
  <si>
    <t>Invesco KBW Nasdaq Fintech UCITS ETF Acc</t>
  </si>
  <si>
    <t>IE000KJVA5F6</t>
  </si>
  <si>
    <t>iShares EUR High Yield Corporate Bond UCITS ETF GBP Hedged (Dist)</t>
  </si>
  <si>
    <t>Invesco FTSE RAFI All World 3000 UCITS ETF</t>
  </si>
  <si>
    <t>IE00BF2GFM70</t>
  </si>
  <si>
    <t>Invesco US Treasury Bond UCITS ETF GBP Hedged Dist</t>
  </si>
  <si>
    <t>LU1681046857</t>
  </si>
  <si>
    <t>Amundi Government Bond Lowest Rated Euro Investment Grade UCITS ETF EUR (D)</t>
  </si>
  <si>
    <t>Xtrackers II ESG Global Government Bond UCITS ETF 4D EUR Hedged</t>
  </si>
  <si>
    <t>IE000ZGT8JM8</t>
  </si>
  <si>
    <t>HSBC Developed World Sustainable Equity UCITS ETF USD (Dist)</t>
  </si>
  <si>
    <t>IE00BDQZN667</t>
  </si>
  <si>
    <t>UBS ETF (IE) MSCI ACWI ESG Universal UCITS ETF (hedged to CHF) A-dis</t>
  </si>
  <si>
    <t>iShares MSCI Mexico Capped UCITS ETF (Acc)</t>
  </si>
  <si>
    <t>IE00BYQCZD50</t>
  </si>
  <si>
    <t>WisdomTree Japan Equity UCITS ETF USD Hedged Acc</t>
  </si>
  <si>
    <t>IE000DUDS685</t>
  </si>
  <si>
    <t>iShares Broad EUR High Yield Corporate Bond UCITS ETF CHF Hedged (Acc)</t>
  </si>
  <si>
    <t>LU1349386927</t>
  </si>
  <si>
    <t>Xtrackers DAX UCITS ETF 1D</t>
  </si>
  <si>
    <t>LU2581375230</t>
  </si>
  <si>
    <t>Xtrackers MSCI Japan UCITS ETF 1D</t>
  </si>
  <si>
    <t>LU0838780707</t>
  </si>
  <si>
    <t>Xtrackers FTSE 100 UCITS ETF 1C</t>
  </si>
  <si>
    <t>UBS ETF (LU) J.P. Morgan CNY China Government 1-10 Year Bond UCITS ETF (USD) A-acc</t>
  </si>
  <si>
    <t>IE00BD34DK07</t>
  </si>
  <si>
    <t>UBS ETF (IE) S&amp;P 500 UCITS ETF (hedged to EUR) A-acc</t>
  </si>
  <si>
    <t>IE00BG0J4B71</t>
  </si>
  <si>
    <t>iShares Broad EUR High Yield Corporate Bond UCITS ETF EUR (Dist)</t>
  </si>
  <si>
    <t>Fidelity Sustainable Global Corporate Bond Paris-Aligned Multifactor UCITS ETF ACC-Euro (hedged)</t>
  </si>
  <si>
    <t>IE000FPWSL69</t>
  </si>
  <si>
    <t>L&amp;G Gerd Kommer Multifactor Equity UCITS ETF USD Distributing</t>
  </si>
  <si>
    <t>LU2552296563</t>
  </si>
  <si>
    <t>Xtrackers II iBoxx Eurozone Government Bond Yield Plus 1-3 UCITS ETF 2D</t>
  </si>
  <si>
    <t>IE000AXIKJM8</t>
  </si>
  <si>
    <t>AXA IM MSCI USA Equity PAB UCITS ETF USD Acc</t>
  </si>
  <si>
    <t>IE00BKVL7D31</t>
  </si>
  <si>
    <t>iShares Edge MSCI Europe Minimum Volatility ESG UCITS ETF (Acc)</t>
  </si>
  <si>
    <t>UBS ETF (LU) MSCI Europe UCITS ETF (hedged to EUR) A-acc</t>
  </si>
  <si>
    <t>HSBC EURO STOXX 50 UCITS ETF EUR (Acc)</t>
  </si>
  <si>
    <t>LU2611732558</t>
  </si>
  <si>
    <t>Amundi Euro Stoxx Select Dividend 30 UCITS ETF Dist</t>
  </si>
  <si>
    <t>IE000TL3PL69</t>
  </si>
  <si>
    <t>Xtrackers MSCI World Momentum ESG UCITS ETF</t>
  </si>
  <si>
    <t>Amundi Prime Europe UCITS ETF DR (D)</t>
  </si>
  <si>
    <t>LU1920015523</t>
  </si>
  <si>
    <t>Xtrackers II US Treasuries 1-3 UCITS ETF 1C</t>
  </si>
  <si>
    <t>BNP Paribas Easy ESG Low Volatility Europe UCITS ETF</t>
  </si>
  <si>
    <t>DE000ETF9603</t>
  </si>
  <si>
    <t>Amundi STOXX Europe 600 ESG II UCITS ETF Dist</t>
  </si>
  <si>
    <t>LU0259322260</t>
  </si>
  <si>
    <t>Market Access NYSE Arca Gold Bugs UCITS ETF</t>
  </si>
  <si>
    <t>DE000TMG0LD6</t>
  </si>
  <si>
    <t>boerse.de Gold ETC</t>
  </si>
  <si>
    <t>XS2183935605</t>
  </si>
  <si>
    <t>Invesco Physical Gold GBP Hedged ETC</t>
  </si>
  <si>
    <t>Xtrackers S&amp;P 500 ESG UCITS ETF 1C</t>
  </si>
  <si>
    <t>IE0000QLH0G6</t>
  </si>
  <si>
    <t>Invesco FTSE All-World UCITS ETF Dist</t>
  </si>
  <si>
    <t>IE000P16KP52</t>
  </si>
  <si>
    <t>First Trust Nasdaq Cybersecurity UCITS ETF EUR Hedged Acc</t>
  </si>
  <si>
    <t>First Trust Eurozone AlphaDEX UCITS ETF Acc</t>
  </si>
  <si>
    <t>LU2099992005</t>
  </si>
  <si>
    <t>UBS ETF (LU) Bloomberg MSCI Global Liquid Corporates Sustainable UCITS ETF (hedged to CHF) A-acc</t>
  </si>
  <si>
    <t>IE000JTPK610</t>
  </si>
  <si>
    <t>iShares MSCI ACWI SRI UCITS ETF USD (Acc)</t>
  </si>
  <si>
    <t>IE00BG47J908</t>
  </si>
  <si>
    <t>JPMorgan GBP Ultra-Short Income UCITS ETF GBP (Acc)</t>
  </si>
  <si>
    <t>DE000ETF9033</t>
  </si>
  <si>
    <t>Amundi DivDAX II UCITS ETF Dist</t>
  </si>
  <si>
    <t>Invesco Quantitative Strategies Global Equity Low Volatility Low Carbon UCITS ETF EUR PfHdg Acc</t>
  </si>
  <si>
    <t>LU1452600197</t>
  </si>
  <si>
    <t>Amundi US TIPS Government Inflation-Linked Bond UCITS ETF Acc</t>
  </si>
  <si>
    <t>LU1737652823</t>
  </si>
  <si>
    <t>Amundi Index FTSE EPRA NAREIT Global UCITS ETF DR EUR (D)</t>
  </si>
  <si>
    <t>IE000C692SN6</t>
  </si>
  <si>
    <t>HSBC MSCI World Small Cap ESG UCITS ETF USD (Acc)</t>
  </si>
  <si>
    <t>gettex, XETRA, London, Euronext Paris</t>
  </si>
  <si>
    <t>IE00BJ5JP436</t>
  </si>
  <si>
    <t>iShares MSCI World Communication Services Sector ESG UCITS ETF USD (Dist)</t>
  </si>
  <si>
    <t>IE0009D6K2A2</t>
  </si>
  <si>
    <t>Invesco US High Yield Fallen Angels UCITS ETF Acc</t>
  </si>
  <si>
    <t>Xtrackers S&amp;P/ASX 200 UCITS ETF 1D</t>
  </si>
  <si>
    <t>IE000NFR7C63</t>
  </si>
  <si>
    <t>iShares MSCI China Tech UCITS ETF USD (Acc)</t>
  </si>
  <si>
    <t>IE00BYV1YF22</t>
  </si>
  <si>
    <t>Fidelity Global Quality Income UCITS ETF (GBP Hedged)</t>
  </si>
  <si>
    <t>LU0937836467</t>
  </si>
  <si>
    <t>UBS ETF (LU) MSCI UK UCITS ETF (GBP) A-dis</t>
  </si>
  <si>
    <t>BNP Paribas Easy ESG Growth Europe UCITS ETF Acc</t>
  </si>
  <si>
    <t>LU2616774076</t>
  </si>
  <si>
    <t>BNP Paribas Easy USD Corporate Bond SRI Fossil Free UCITS ETF Acc</t>
  </si>
  <si>
    <t>IE00BF1B7272</t>
  </si>
  <si>
    <t>SPDR MSCI ACWI UCITS ETF USD Hedged (Acc)</t>
  </si>
  <si>
    <t>IE00BFMXZJ56</t>
  </si>
  <si>
    <t>Vanguard FTSE Japan UCITS ETF USD Hedged Acc</t>
  </si>
  <si>
    <t>IE00BYX8XD24</t>
  </si>
  <si>
    <t>iShares Edge S&amp;P 500 Minimum Volatility UCITS ETF EUR Hedged (Acc)</t>
  </si>
  <si>
    <t>IE00BD8D5G25</t>
  </si>
  <si>
    <t>PIMCO Euro Short-Term High Yield Corporate Bond Index UCITS ETF Acc</t>
  </si>
  <si>
    <t>LU0249326488</t>
  </si>
  <si>
    <t>Market Access Rogers International Commodity UCITS ETF</t>
  </si>
  <si>
    <t>IE00BMZ17X30</t>
  </si>
  <si>
    <t>iShares MSCI World SRI UCITS ETF USD Hedged (Dist)</t>
  </si>
  <si>
    <t>Amundi Global Government Inflation-Linked Bond 1-10Y UCITS ETF EUR Hedged Dist</t>
  </si>
  <si>
    <t>IE000U99N3V1</t>
  </si>
  <si>
    <t>iShares iBonds Dec 2025 Term USD Treasury UCITS ETF USD (Acc)</t>
  </si>
  <si>
    <t>Amundi Italy MIB ESG UCITS ETF</t>
  </si>
  <si>
    <t>Invesco Global Buyback Achievers UCITS ETF</t>
  </si>
  <si>
    <t>Invesco MSCI China All Shares Stock Connect UCITS ETF Acc</t>
  </si>
  <si>
    <t>FR0011857234</t>
  </si>
  <si>
    <t>Amundi MDAX UCITS ETF Dist</t>
  </si>
  <si>
    <t>IE00BMDBMG37</t>
  </si>
  <si>
    <t>iShares MSCI Europe SRI UCITS ETF USD (Acc)</t>
  </si>
  <si>
    <t>Invesco MSCI Emerging Markets ESG Climate Paris Aligned UCITS ETF Acc</t>
  </si>
  <si>
    <t>IE00BK6Q9938</t>
  </si>
  <si>
    <t>JPMorgan BetaBuilders US Treasury Bond UCITS ETF GBP Hedged (Acc)</t>
  </si>
  <si>
    <t>IE00BYTRR640</t>
  </si>
  <si>
    <t>SPDR MSCI World Consumer Discretionary UCITS ETF</t>
  </si>
  <si>
    <t>LU2090062436</t>
  </si>
  <si>
    <t>Amundi DAX III UCITS ETF Dist</t>
  </si>
  <si>
    <t>FR0012399806</t>
  </si>
  <si>
    <t>Amundi EURO STOXX 50 II UCITS ETF USD Hedged Acc</t>
  </si>
  <si>
    <t>Amundi Government Bond Lowest Rated Euro Investment Grade 1-3 UCITS ETF DR EUR (C)</t>
  </si>
  <si>
    <t>DE000ETFL110</t>
  </si>
  <si>
    <t>Deka iBoxx EUR Liquid Sovereign Diversified 1-10 UCITS ETF</t>
  </si>
  <si>
    <t>IE0000902GT6</t>
  </si>
  <si>
    <t>WisdomTree Megatrends UCITS ETF USD</t>
  </si>
  <si>
    <t>IE000D352U62</t>
  </si>
  <si>
    <t>iShares J.P. Morgan USD EM Corporate Bond UCITS ETF GBP Hedged (Dist)</t>
  </si>
  <si>
    <t>IE00B2QWDR12</t>
  </si>
  <si>
    <t>iShares MSCI AC Far East ex-Japan Small Cap UCITS ETF</t>
  </si>
  <si>
    <t>DE000ETFL631</t>
  </si>
  <si>
    <t xml:space="preserve">Deka S&amp;P 500 UCITS ETF </t>
  </si>
  <si>
    <t>DE000ETFL615</t>
  </si>
  <si>
    <t>Deka iBoxx MSCI ESG EUR Corporates Green Bond UCITS ETF</t>
  </si>
  <si>
    <t>IE00BJ5JP659</t>
  </si>
  <si>
    <t>iShares MSCI World Industrials Sector ESG UCITS ETF USD (Dist)</t>
  </si>
  <si>
    <t>VanEck Hydrogen Economy UCITS ETF</t>
  </si>
  <si>
    <t>LU1280300853</t>
  </si>
  <si>
    <t>UBS ETF (LU) MSCI EMU Socially Responsible UCITS ETF (hedged to GBP) A-dis</t>
  </si>
  <si>
    <t>DE000A2QP372</t>
  </si>
  <si>
    <t>iShares EURO STOXX Banks 30-15 UCITS ETF (DE) EUR (Acc)</t>
  </si>
  <si>
    <t>DE000ETFL300</t>
  </si>
  <si>
    <t>Deka MSCI Japan UCITS ETF</t>
  </si>
  <si>
    <t>LU1650492330</t>
  </si>
  <si>
    <t>Amundi FTSE 100 UCITS ETF EUR Hedged Acc</t>
  </si>
  <si>
    <t>LU2059756325</t>
  </si>
  <si>
    <t>Amundi MSCI EMU ESG Leaders Select UCITS ETF DR EUR (D)</t>
  </si>
  <si>
    <t>LU0292105359</t>
  </si>
  <si>
    <t>Xtrackers MSCI Europe Consumer Staples ESG Screened UCITS ETF 1C</t>
  </si>
  <si>
    <t>LU1459801947</t>
  </si>
  <si>
    <t>UBS ETF (LU) Bloomberg TIPS 1-10 UCITS ETF (hedged to GBP) A-acc</t>
  </si>
  <si>
    <t>Xtrackers Physical Platinum EUR Hedged ETC</t>
  </si>
  <si>
    <t>iShares EUR Corporate Bond ESG Paris-Aligned Climate UCITS ETF EUR (Acc)</t>
  </si>
  <si>
    <t>WisdomTree Silver</t>
  </si>
  <si>
    <t>LU2089238039</t>
  </si>
  <si>
    <t>Amundi Prime Europe UCITS ETF DR (C)</t>
  </si>
  <si>
    <t>LU1753045845</t>
  </si>
  <si>
    <t>BNP Paribas Easy MSCI Japan SRI S-Series PAB 5% Capped UCITS ETF EUR Acc</t>
  </si>
  <si>
    <t>Amundi STOXX Europe 600 Insurance UCITS ETF Acc</t>
  </si>
  <si>
    <t>LU1169819981</t>
  </si>
  <si>
    <t>UBS ETF (LU) MSCI EMU UCITS ETF (hedged to GBP) A-dis</t>
  </si>
  <si>
    <t>LU0486851024</t>
  </si>
  <si>
    <t>Xtrackers MSCI Europe Value UCITS ETF 1C</t>
  </si>
  <si>
    <t>Amundi MSCI Indonesia UCITS ETF Acc</t>
  </si>
  <si>
    <t>LU2089239276</t>
  </si>
  <si>
    <t>Amundi USD Corporate Bond UCITS ETF Acc</t>
  </si>
  <si>
    <t>LU0292103651</t>
  </si>
  <si>
    <t>Xtrackers MSCI Europe Financials ESG Screened UCITS ETF 1C</t>
  </si>
  <si>
    <t>DE000ETFL219</t>
  </si>
  <si>
    <t>Deka Deutsche Boerse EUROGOV Germany 10+ UCITS ETF</t>
  </si>
  <si>
    <t>FR0012399772</t>
  </si>
  <si>
    <t>Amundi EURO STOXX 50 II UCITS ETF GBP Hedged Acc</t>
  </si>
  <si>
    <t>LU1691909508</t>
  </si>
  <si>
    <t>Amundi Global Gender Equality UCITS ETF Acc</t>
  </si>
  <si>
    <t>Xtrackers MSCI Emerging Markets ex China UCITS ETF 1C</t>
  </si>
  <si>
    <t>DE000ETFL532</t>
  </si>
  <si>
    <t xml:space="preserve">Deka Euro Corporates 0-3 Liquid UCITS ETF </t>
  </si>
  <si>
    <t>SPDR Bloomberg 1-3 Year US Treasury Bond UCITS ETF</t>
  </si>
  <si>
    <t>Vanguard LifeStrategy 60% Equity UCITS ETF Distributing</t>
  </si>
  <si>
    <t>CH1102728750</t>
  </si>
  <si>
    <t>21Shares Cardano ETP</t>
  </si>
  <si>
    <t>Amundi MSCI Europe Momentum Factor UCITS ETF EUR (C)</t>
  </si>
  <si>
    <t>IE0003XJA0J9</t>
  </si>
  <si>
    <t>Amundi Prime All Country World UCITS ETF UCITS ETF Acc</t>
  </si>
  <si>
    <t>LU1681048713</t>
  </si>
  <si>
    <t>Amundi ETF S&amp;P Global Luxury UCITS ETF USD</t>
  </si>
  <si>
    <t>IE00BF2FNR50</t>
  </si>
  <si>
    <t>Invesco US Treasury Bond 3-7 Year UCITS ETF Acc</t>
  </si>
  <si>
    <t>Xtrackers Eurozone Government Bond 15-30 UCITS ETF 1C</t>
  </si>
  <si>
    <t>IE00BF0V4615</t>
  </si>
  <si>
    <t>UBS ETF (IE) Bloomberg Commodity CMCI SF UCITS ETF (hedged to GBP) A-acc</t>
  </si>
  <si>
    <t>IE00BJLKK341</t>
  </si>
  <si>
    <t>iShares MSCI EMU SRI UCITS ETF EUR (Acc)</t>
  </si>
  <si>
    <t>LU2402389261</t>
  </si>
  <si>
    <t>Amundi Index MSCI Pacific ex Japan SRI PAB UCITS ETF DR EUR (D)</t>
  </si>
  <si>
    <t>IE000L0X6L81</t>
  </si>
  <si>
    <t>Goldman Sachs Global Green Bond UCITS ETF EUR Hedged (Dist)</t>
  </si>
  <si>
    <t>DE000A0F5UE8</t>
  </si>
  <si>
    <t>iShares Dow Jones China Offshore 50 UCITS ETF (DE)</t>
  </si>
  <si>
    <t>IE000GE2BEZ9</t>
  </si>
  <si>
    <t>iShares EUR High Yield Corporate Bond UCITS ETF USD Hedged (Dist)</t>
  </si>
  <si>
    <t>Amundi Euro Highest Rated Macro-Weighted Government Bond 3-5Y UCITS ETF Acc</t>
  </si>
  <si>
    <t>Global X Robotics &amp; Artificial Intelligence UCITS ETF USD Accumulating</t>
  </si>
  <si>
    <t>IE00BDZVHD04</t>
  </si>
  <si>
    <t>iShares Developed Markets Property Yield UCITS ETF EUR Hedged (Acc)</t>
  </si>
  <si>
    <t>IE00BL0BLZ15</t>
  </si>
  <si>
    <t>JPMorgan Global High Yield Corporate Bond Multi-Factor UCITS ETF USD Hedged (acc)</t>
  </si>
  <si>
    <t>IE00BD34DL14</t>
  </si>
  <si>
    <t>UBS ETF (IE) S&amp;P 500 UCITS ETF (hedged to GBP) A-dis</t>
  </si>
  <si>
    <t>Fidelity Sustainable Research Enhanced Global Equity UCITS ETF Acc</t>
  </si>
  <si>
    <t>IE00BYZLWM19</t>
  </si>
  <si>
    <t>Invesco AT1 Capital Bond UCITS ETF GBP Hedged Dist</t>
  </si>
  <si>
    <t>Franklin STOXX Europe 600 Paris Aligned Climate UCITS ETF</t>
  </si>
  <si>
    <t>IE00BMYDM802</t>
  </si>
  <si>
    <t>L&amp;G Quality Equity Dividends ESG Exclusions UK UCITS ETF</t>
  </si>
  <si>
    <t>WisdomTree AT1 CoCo Bond UCITS ETF</t>
  </si>
  <si>
    <t>IE00BD26N851</t>
  </si>
  <si>
    <t>PIMCO US Short-Term High Yield Corporate Bond Index UCITS ETF EUR Hedged Acc</t>
  </si>
  <si>
    <t>Invesco S&amp;P 500 QVM UCITS ETF</t>
  </si>
  <si>
    <t>Amundi Global Aggregate Bond UCITS ETF DR - EUR Hedged (C)</t>
  </si>
  <si>
    <t>DE000A3GSUE1</t>
  </si>
  <si>
    <t>VanEck TRON ETN</t>
  </si>
  <si>
    <t>IE00BLLZQ805</t>
  </si>
  <si>
    <t>iShares Growth Portfolio UCITS ETF EUR (Acc)</t>
  </si>
  <si>
    <t>PIMCO Euro Short-Term High Yield Corporate Bond Index UCITS ETF Dist</t>
  </si>
  <si>
    <t>Amundi Global High Yield Corporate Bond ESG UCITS ETF EUR Hedged Acc</t>
  </si>
  <si>
    <t>FR0010930644</t>
  </si>
  <si>
    <t>Amundi Global Hydrogen ESG Screened UCITS ETF EUR Acc</t>
  </si>
  <si>
    <t>IE000WGK3YY5</t>
  </si>
  <si>
    <t>JPMorgan Europe Research Enhanced Index Equity (ESG) UCITS ETF EUR (dist)</t>
  </si>
  <si>
    <t>IE000WX7BVB0</t>
  </si>
  <si>
    <t>JPMorgan Global Equity Premium Income Active UCITS ETF USD (acc)</t>
  </si>
  <si>
    <t>UBS ETF (LU) J.P. Morgan USD EM Diversified Bond 1-5 UCITS ETF (USD) A-dis</t>
  </si>
  <si>
    <t>IE000M86QRT4</t>
  </si>
  <si>
    <t>Amundi S&amp;P 500 Equal Weight ESG Leaders UCITS ETF EUR Hedged Acc</t>
  </si>
  <si>
    <t>LU1681039217</t>
  </si>
  <si>
    <t>Amundi JPX Nikkei 400 UCITS ETF Daily Hedged USD</t>
  </si>
  <si>
    <t>Xtrackers II Italy Government Bond 0-1 Swap UCITS ETF 1C</t>
  </si>
  <si>
    <t>DE000A3GWEU3</t>
  </si>
  <si>
    <t>VanEck Crypto Leaders ETN</t>
  </si>
  <si>
    <t>UBS ETF (IE) Global Gender Equality UCITS ETF USD A-dis</t>
  </si>
  <si>
    <t>GB00B684MW17</t>
  </si>
  <si>
    <t>Xtrackers Physical Rhodium ETC</t>
  </si>
  <si>
    <t>IE00BKY58625</t>
  </si>
  <si>
    <t>HSBC Europe ex UK Sustainable Equity UCITS ETF EUR</t>
  </si>
  <si>
    <t>Amundi MSCI China Tech ESG Screened UCITS ETF EUR Acc</t>
  </si>
  <si>
    <t>UBS ETF (LU) J.P. Morgan EM Multi-Factor Enhanced Local Currency Bond UCITS ETF (USD) A-dis</t>
  </si>
  <si>
    <t>BNP Paribas Easy FTSE EPRA Nareit Developed Europe Green CTB UCITS ETF</t>
  </si>
  <si>
    <t>Invesco Solar Energy UCITS ETF Acc</t>
  </si>
  <si>
    <t>IE00BF2FNJ76</t>
  </si>
  <si>
    <t>Invesco US Treasury Bond 1-3 Year UCITS ETF EUR Hedged Dist</t>
  </si>
  <si>
    <t>DE000A0D8Q31</t>
  </si>
  <si>
    <t>iShares eb.rexx Government Germany 10.5+yr UCITS ETF (DE)</t>
  </si>
  <si>
    <t>LU1048317538</t>
  </si>
  <si>
    <t>UBS ETF (LU) Bloomberg US Liquid Corporates UCITS ETF (hedged to CHF) A-acc</t>
  </si>
  <si>
    <t>LU1974694041</t>
  </si>
  <si>
    <t>UBS ETF (LU) J.P. Morgan Global Government ESG Liquid Bond UCITS ETF (hedged to USD) A-acc</t>
  </si>
  <si>
    <t xml:space="preserve">Franklin Catholic Principles Emerging Markets Sovereign Debt UCITS ETF </t>
  </si>
  <si>
    <t>IE0007I99HX7</t>
  </si>
  <si>
    <t>VanEck Morningstar US Wide Moat UCITS ETF A</t>
  </si>
  <si>
    <t>UBS ETF (LU) Factor MSCI EMU Low Volatility UCITS ETF (EUR) A-dis</t>
  </si>
  <si>
    <t>IE000IAPH329</t>
  </si>
  <si>
    <t>AXA IM US High Yield Opportunities UCITS ETF USD Acc</t>
  </si>
  <si>
    <t>VanEck iBoxx EUR Sovereign Capped AAA-AA 1-5 UCITS ETF</t>
  </si>
  <si>
    <t>gettex, XETRA, London, Borsa Italiana, Euronext Amsterdam, Euronext Brussels</t>
  </si>
  <si>
    <t>Amundi Bloomberg Equal-weight Commodity ex-Agriculture UCITS ETF EUR Hedged Acc</t>
  </si>
  <si>
    <t>IE000KJPDY61</t>
  </si>
  <si>
    <t>iShares World Equity High Income UCITS ETF USD (Dist)</t>
  </si>
  <si>
    <t>JPMorgan BetaBuilders US Small Cap Equity UCITS ETF USD (acc)</t>
  </si>
  <si>
    <t>IE00BD0B9B76</t>
  </si>
  <si>
    <t>iShares Refinitiv Inclusion and Diversity UCITS ETF USD (Acc)</t>
  </si>
  <si>
    <t>IE000VCBWFL8</t>
  </si>
  <si>
    <t>Xtrackers MSCI EMU High Dividend Yield ESG UCITS ETF 1D</t>
  </si>
  <si>
    <t>LU0641007009</t>
  </si>
  <si>
    <t>Xtrackers II Global Inflation-Linked Bond UCITS ETF 2C - USD Hedged</t>
  </si>
  <si>
    <t>UBS ETF (LU) Bloomberg MSCI Global Liquid Corporates Sustainable UCITS ETF (hedged to EUR) A-acc</t>
  </si>
  <si>
    <t>LU0950669845</t>
  </si>
  <si>
    <t>UBS ETF (LU) MSCI EMU Value UCITS ETF (EUR) A-acc</t>
  </si>
  <si>
    <t>IE00BFWMQ331</t>
  </si>
  <si>
    <t>Invesco MSCI Saudi Arabia UCITS UCITS ETF</t>
  </si>
  <si>
    <t>LU1215828218</t>
  </si>
  <si>
    <t>Xtrackers MSCI EMU UCITS ETF 3C CHF hedged</t>
  </si>
  <si>
    <t>SPDR Bloomberg SASB U.S. High Yield Corporate ESG UCITS ETF EUR Hedged (Acc)</t>
  </si>
  <si>
    <t>Amundi Prime Eurozone UCITS ETF DR (D)</t>
  </si>
  <si>
    <t>LU2090063327</t>
  </si>
  <si>
    <t>Amundi MSCI Semiconductors ESG Screened UCITS ETF Dist</t>
  </si>
  <si>
    <t>BNP Paribas Easy ESG Eurozone Biodiversity Leaders PAB UCITS ETF</t>
  </si>
  <si>
    <t>LU1291098314</t>
  </si>
  <si>
    <t>BNP Paribas Easy MSCI Emerging SRI S-Series PAB 5% Capped UCITS ETF USD Acc</t>
  </si>
  <si>
    <t>Invesco MSCI Europe ESG Climate Paris Aligned UCITS ETF Acc</t>
  </si>
  <si>
    <t>First Trust Indxx Innovative Transaction &amp; Process UCITS ETF Acc</t>
  </si>
  <si>
    <t>FR0011669845</t>
  </si>
  <si>
    <t>Amundi MSCI World II UCITS ETF USD Hedged Dist</t>
  </si>
  <si>
    <t>LU1130155861</t>
  </si>
  <si>
    <t>UBS ETF (LU) MSCI Canada UCITS ETF (hedged to USD) A-acc</t>
  </si>
  <si>
    <t>LU1547516291</t>
  </si>
  <si>
    <t>Tabula Haitong Asia ex-Japan High Yield Corporate USD Bond ESG UCITS ETF EUR Hedged Dist</t>
  </si>
  <si>
    <t>IE000Q6C8036</t>
  </si>
  <si>
    <t>BNP Paribas Easy S&amp;P 500 ESG UCITS ETF Hedged EUR Capitalisation</t>
  </si>
  <si>
    <t>XETRA, Euronext Paris</t>
  </si>
  <si>
    <t>IE000B5UZSG9</t>
  </si>
  <si>
    <t>Fidelity Sustainable Research Enhanced Japan Equity UCITS ETF INC-JPY</t>
  </si>
  <si>
    <t>BNP Paribas Easy Low Carbon 300 World PAB UCITS ETF Acc</t>
  </si>
  <si>
    <t>Vanguard LifeStrategy 80% Equity UCITS ETF Distributing</t>
  </si>
  <si>
    <t>LU1273642816</t>
  </si>
  <si>
    <t>UBS ETF (LU) MSCI EMU Socially Responsible UCITS ETF (hedged to CHF) A-acc</t>
  </si>
  <si>
    <t>Fidelity US Quality Income UCITS ETF Acc (EUR Hedged)</t>
  </si>
  <si>
    <t>Xtrackers MSCI AC World ESG Screened UCITS ETF 2C EUR Hedged</t>
  </si>
  <si>
    <t>DE000ETFL276</t>
  </si>
  <si>
    <t>Deka MSCI USA MC UCITS ETF</t>
  </si>
  <si>
    <t>IE000CFH1JX2</t>
  </si>
  <si>
    <t>iShares Global Water UCITS ETF USD (Acc)</t>
  </si>
  <si>
    <t>Invesco MSCI China Technology All Shares Stock Connect UCITS ETF Acc</t>
  </si>
  <si>
    <t>LU1589327680</t>
  </si>
  <si>
    <t>UBS ETF (LU) MSCI Europe UCITS ETF (hedged to CHF) A-acc</t>
  </si>
  <si>
    <t>Xtrackers S&amp;P 500 Swap UCITS ETF 5C EUR Hedged</t>
  </si>
  <si>
    <t>Invesco Nasdaq Next Generation 100 UCITS ETF Acc</t>
  </si>
  <si>
    <t>LU0659579063</t>
  </si>
  <si>
    <t>Xtrackers ATX UCITS ETF 1C</t>
  </si>
  <si>
    <t>IE00BYT5CW92</t>
  </si>
  <si>
    <t>UBS ETF (IE) CMCI ex-Agriculture SF UCITS ETF (hedged to CHF) A-acc</t>
  </si>
  <si>
    <t>SPDR Bloomberg 3-7 Year US Treasury Bond UCITS ETF</t>
  </si>
  <si>
    <t>CH0496484640</t>
  </si>
  <si>
    <t>21Shares Bitcoin Suisse Index ETP</t>
  </si>
  <si>
    <t>gettex, Stuttgart, SIX Swiss Exchange</t>
  </si>
  <si>
    <t>SPDR S&amp;P US Materials Select Sector UCITS ETF</t>
  </si>
  <si>
    <t>IE00BGQ0J979</t>
  </si>
  <si>
    <t>iShares J.P. Morgan USD EM Bond UCITS ETF CHF (Acc)</t>
  </si>
  <si>
    <t>LU1169822001</t>
  </si>
  <si>
    <t>UBS ETF (LU) MSCI Japan UCITS ETF (hedged to EUR) A-dis</t>
  </si>
  <si>
    <t>IE00BYTRRH56</t>
  </si>
  <si>
    <t>SPDR MSCI World Utilities UCITS ETF USD</t>
  </si>
  <si>
    <t>LU1852212965</t>
  </si>
  <si>
    <t>UBS ETF (LU) Sustainable Development Bank Bonds UCITS ETF (USD) A-dis</t>
  </si>
  <si>
    <t>UBS ETF (LU) Bloomberg MSCI US Liquid Corporates Sustainable UCITS ETF (USD) A-acc</t>
  </si>
  <si>
    <t>IE000UX5WPU4</t>
  </si>
  <si>
    <t>Xtrackers iBoxx EUR Corporate Bond Yield Plus UCITS ETF 1C</t>
  </si>
  <si>
    <t>IE000AQ7A2X6</t>
  </si>
  <si>
    <t>SPDR Bloomberg Global Aggregate Bond UCITS ETF EUR Hedged (Acc)</t>
  </si>
  <si>
    <t>UBS ETF (LU) Bloomberg MSCI Euro Area Liquid Corporates 1-5 Year Sustainable UCITS ETF (EUR) A-dis</t>
  </si>
  <si>
    <t>LU1215461754</t>
  </si>
  <si>
    <t>UBS ETF (LU) Bloomberg MSCI US Liquid Corporates Sustainable UCITS ETF (hedged to CHF) A-dis</t>
  </si>
  <si>
    <t>Xtrackers MSCI Japan ESG Screened UCITS ETF 3C EUR Hedged</t>
  </si>
  <si>
    <t>IE00BMDBMY19</t>
  </si>
  <si>
    <t>Invesco MSCI Emerging Markets ESG Universal Screened UCITS ETF Acc</t>
  </si>
  <si>
    <t>LU1273488475</t>
  </si>
  <si>
    <t>UBS ETF (LU) MSCI Japan Socially Responsible UCITS ETF (hedged to CHF) A-dis</t>
  </si>
  <si>
    <t>iShares USD Floating Rate Bond UCITS ETF EUR Hedged</t>
  </si>
  <si>
    <t>Invesco FTSE RAFI Emerging Markets UCITS ETF</t>
  </si>
  <si>
    <t>LU1230563022</t>
  </si>
  <si>
    <t>UBS ETF (LU) MSCI Japan Socially Responsible UCITS ETF (JPY) A-acc</t>
  </si>
  <si>
    <t>IE000929U2U9</t>
  </si>
  <si>
    <t>iShares USD Sukuk UCITS ETF USD (Dist)</t>
  </si>
  <si>
    <t>IE00B5WFQ436</t>
  </si>
  <si>
    <t>HSBC MSCI USA UCITS ETF USD</t>
  </si>
  <si>
    <t>IE00BD9MMC32</t>
  </si>
  <si>
    <t>JPMorgan BetaBuilders UK Gilt 1-5 UCITS ETF - GBP (Dist)</t>
  </si>
  <si>
    <t>IE00063FT9K6</t>
  </si>
  <si>
    <t>iShares Copper Miners UCITS ETF USD (Acc)</t>
  </si>
  <si>
    <t>XETRA, London, SIX Swiss Exchange, Euronext Amsterdam</t>
  </si>
  <si>
    <t>LU1484800955</t>
  </si>
  <si>
    <t>UBS ETF (LU) Bloomberg MSCI Euro Area Liquid Corporates Sustainable UCITS ETF (hedged to CHF) A-acc</t>
  </si>
  <si>
    <t>IE000W080FK3</t>
  </si>
  <si>
    <t>HSBC MSCI Emerging Markets Small Cap ESG UCITS ETF USD (Acc)</t>
  </si>
  <si>
    <t>IE00BWTNMB87</t>
  </si>
  <si>
    <t>First Trust US Large Cap Core AlphaDEX UCITS ETF Dist</t>
  </si>
  <si>
    <t>IE00BKT6BH25</t>
  </si>
  <si>
    <t>iShares EUR Corporate Bond ex-Financials 1-5yr ESG UCITS ETF EUR (Acc)</t>
  </si>
  <si>
    <t>IE0007BT2BH8</t>
  </si>
  <si>
    <t>Invesco EUR Government and Related Green Transition UCITS ETF Acc</t>
  </si>
  <si>
    <t>LU0292100806</t>
  </si>
  <si>
    <t>Xtrackers MSCI Europe Materials ESG Screened UCITS ETF 1C</t>
  </si>
  <si>
    <t>LU0592216393</t>
  </si>
  <si>
    <t>Xtrackers Spanish Equity UCITS ETF 1C</t>
  </si>
  <si>
    <t>IE00BYQ00Y50</t>
  </si>
  <si>
    <t>UBS ETF (IE) MSCI USA UCITS ETF (hedged to GBP) A-acc</t>
  </si>
  <si>
    <t>WisdomTree Energy</t>
  </si>
  <si>
    <t>JPMorgan Climate Change Solutions UCITS ETF USD (Acc)</t>
  </si>
  <si>
    <t>IE00053HJRU7</t>
  </si>
  <si>
    <t>AXA IM Euro Credit PAB UCITS ETF EUR Dist</t>
  </si>
  <si>
    <t>LU1681043169</t>
  </si>
  <si>
    <t>Amundi MSCI India UCITS ETF USD</t>
  </si>
  <si>
    <t>IE00BG88WH84</t>
  </si>
  <si>
    <t>WisdomTree Enhanced Commodity UCITS ETF GBP Hedged Acc</t>
  </si>
  <si>
    <t>JE00BQRFDY49</t>
  </si>
  <si>
    <t>WisdomTree Core Physical Silver</t>
  </si>
  <si>
    <t>WisdomTree Eurozone Quality Dividend Growth UCITS ETF EUR Acc</t>
  </si>
  <si>
    <t>IE00BN7J5Z03</t>
  </si>
  <si>
    <t>Invesco FTSE All Share ESG Climate UCITS ETF Dist</t>
  </si>
  <si>
    <t>UBS ETF (IE) Factor MSCI USA Low Volatility UCITS ETF (USD) A-dis</t>
  </si>
  <si>
    <t>LU1437025296</t>
  </si>
  <si>
    <t>Amundi MSCI UK IMI SRI PAB UCITS ETF DR GBP (C)</t>
  </si>
  <si>
    <t>Amundi FTSE EPRA Europe Real Estate UCITS ETF EUR (C)</t>
  </si>
  <si>
    <t>gettex, Euronext Paris, Stuttgart, Borsa Italiana</t>
  </si>
  <si>
    <t>JE00BN7KB557</t>
  </si>
  <si>
    <t>WisdomTree Coffee</t>
  </si>
  <si>
    <t>IE000G6GSP88</t>
  </si>
  <si>
    <t>HSBC FTSE EPRA NAREIT Developed UCITS ETF USD (Acc)</t>
  </si>
  <si>
    <t>JPMorgan AC Asia Pacific ex Japan Research Enhanced Index Equity (ESG) UCITS ETF USD (acc)</t>
  </si>
  <si>
    <t>IE000GEHNQU9</t>
  </si>
  <si>
    <t>Amundi S&amp;P Global Information Technology ESG UCITS ETF DR EUR (D)</t>
  </si>
  <si>
    <t>BNP Paribas Easy MSCI Japan SRI S-Series PAB 5% Capped UCITS ETF EUR Dis</t>
  </si>
  <si>
    <t>Ossiam ESG Low Carbon Shiller Barclays CAPEÂ® US Sector UCITS ETF 1A (EUR)</t>
  </si>
  <si>
    <t>LU1920015440</t>
  </si>
  <si>
    <t>Xtrackers II USD Emerging Markets Bond UCITS ETF 2C</t>
  </si>
  <si>
    <t>Invesco EUR Corporate Bond ESG Short Duration Multi-Factor UCITS ETF Acc</t>
  </si>
  <si>
    <t>IE00BYXVWC37</t>
  </si>
  <si>
    <t>PIMCO US Short-Term High Yield Corporate Bond Index UCITS ETF GBP Hedged Dist</t>
  </si>
  <si>
    <t>LU0641007421</t>
  </si>
  <si>
    <t>Xtrackers II Global Inflation-Linked Bond UCITS ETF 4D - CHF Hedged</t>
  </si>
  <si>
    <t>BNP Paribas Easy MSCI Emerging SRI S-Series PAB 5% Capped UCITS ETF EUR Dis</t>
  </si>
  <si>
    <t>DE000ETFL052</t>
  </si>
  <si>
    <t>Deka STOXX Europe Strong Style Composite 40 UCITS ETF</t>
  </si>
  <si>
    <t>IE00BG13YH41</t>
  </si>
  <si>
    <t>iShares Edge MSCI Europe Value Factor UCITS ETF EUR (Dist)</t>
  </si>
  <si>
    <t>LU1437025023</t>
  </si>
  <si>
    <t>Amundi MSCI UK IMI SRI PAB UCITS ETF DR EUR (C)</t>
  </si>
  <si>
    <t>IE00BF92LR56</t>
  </si>
  <si>
    <t>Ossiam ESG Low Carbon Shiller Barclays CAPEÂ® US Sector UCITS ETF 1A (USD)</t>
  </si>
  <si>
    <t>LU0292104469</t>
  </si>
  <si>
    <t>Xtrackers MSCI Europe Information Technology ESG Screened UCITS ETF 1C</t>
  </si>
  <si>
    <t xml:space="preserve">Invesco Bloomberg Commodity Carbon Tilted UCITS ETF </t>
  </si>
  <si>
    <t>IE000K54GGV6</t>
  </si>
  <si>
    <t>JPMorgan US Research Enhanced Index Equity (ESG) UCITS ETF CHF Hedged (acc)</t>
  </si>
  <si>
    <t>L&amp;G Quality Equity Dividends ESG Exclusions Europe ex-UK UCITS ETF</t>
  </si>
  <si>
    <t>Global X Cybersecurity UCITS ETF USD Accumulating</t>
  </si>
  <si>
    <t>LU2082997359</t>
  </si>
  <si>
    <t>Amundi STOXX Europe 600 Consumer Staples UCITS ETF Dist</t>
  </si>
  <si>
    <t>IE00BH4GR342</t>
  </si>
  <si>
    <t>SPDR Dow Jones Global Real Estate UCITS ETF Accumulating</t>
  </si>
  <si>
    <t>JPMorgan BetaBuilders China Aggregate Bond UCITS ETF EUR Hedged (acc)</t>
  </si>
  <si>
    <t>LU1130155432</t>
  </si>
  <si>
    <t>UBS ETF (LU) MSCI Canada UCITS ETF (hedged to CHF) A-acc</t>
  </si>
  <si>
    <t>IE00BG47KF31</t>
  </si>
  <si>
    <t>Vanguard Global Aggregate Bond UCITS ETF CHF Hedged Accumulating</t>
  </si>
  <si>
    <t>LU2439874319</t>
  </si>
  <si>
    <t>Frankfurter UCITS ETF Modern Value</t>
  </si>
  <si>
    <t>LU1974694637</t>
  </si>
  <si>
    <t>UBS ETF (LU) J.P. Morgan Global Government ESG Liquid Bond UCITS ETF (hedged to GBP) A-dis</t>
  </si>
  <si>
    <t>Amundi Index Equity Global Multi Smart Allocation Scientific Beta UCITS ETF DR EUR (C)</t>
  </si>
  <si>
    <t>IE000ONQ3X90</t>
  </si>
  <si>
    <t>Xtrackers MSCI World UCITS ETF 2C - EUR Hedged</t>
  </si>
  <si>
    <t>Xtrackers MSCI Next Generation Internet Innovation UCITS ETF 1C</t>
  </si>
  <si>
    <t>IE00BMDBMH44</t>
  </si>
  <si>
    <t>iShares MSCI UK IMI ESG Leaders UCITS ETF GBP (Dist)</t>
  </si>
  <si>
    <t>Xtrackers Emerging Markets Net Zero Pathway Paris Aligned UCITS ETF</t>
  </si>
  <si>
    <t>VanEck Multi-Asset Balanced Allocation UCITS ETF</t>
  </si>
  <si>
    <t>gettex, Borsa Italiana, Euronext Amsterdam, Euronext Brussels</t>
  </si>
  <si>
    <t>WisdomTree Copper - EUR Daily Hedged</t>
  </si>
  <si>
    <t>Invesco Bloomberg Commodity UCITS ETF EUR hedged Acc</t>
  </si>
  <si>
    <t>LU0950674928</t>
  </si>
  <si>
    <t>UBS ETF (LU) MSCI Pacific Socially Responsible UCITS ETF (USD) A-acc</t>
  </si>
  <si>
    <t>Invesco Quantitative Strategies ESG Global Equity Multi-Factor UCITS ETF EUR PfHdg Dist</t>
  </si>
  <si>
    <t>LU0292097317</t>
  </si>
  <si>
    <t>Xtrackers FTSE 250 UCITS ETF 1D</t>
  </si>
  <si>
    <t>IE000MJIXFE0</t>
  </si>
  <si>
    <t>Amundi MSCI North America ESG Climate Net Zero Ambition CTB UCITS ETF UCITS ETF Dist</t>
  </si>
  <si>
    <t>IE000P1WR081</t>
  </si>
  <si>
    <t>HSBC Asia Pacific ex Japan Sustainable Equity UCITS ETF USD (Dist)</t>
  </si>
  <si>
    <t>First Trust US Equity Income UCITS ETF Acc</t>
  </si>
  <si>
    <t>IE00BG0SSC32</t>
  </si>
  <si>
    <t>First Trust Dow Jones Internet UCITS ETF Acc</t>
  </si>
  <si>
    <t>Amundi USD Corporate Bond PAB Net Zero Ambition UCITS ETF EUR Hedged Dist</t>
  </si>
  <si>
    <t>Global X S&amp;P 500Â® Covered Call UCITS ETF D</t>
  </si>
  <si>
    <t>Amundi STOXX Europe 600 Industrials UCITS ETF Acc</t>
  </si>
  <si>
    <t>Amundi FTSE EPRA Europe Real Estate UCITS ETF (D)</t>
  </si>
  <si>
    <t>IE000WHL2ZK1</t>
  </si>
  <si>
    <t>iShares U.S. Equity High Income UCITS ETF USD (Dist)</t>
  </si>
  <si>
    <t>BNP Paribas Easy ESG Value Europe UCITS ETF</t>
  </si>
  <si>
    <t>WisdomTree Industrial Metals - EUR Daily Hedged</t>
  </si>
  <si>
    <t>IE00BMTX2B82</t>
  </si>
  <si>
    <t>iShares AEX UCITS ETF EUR (Acc)</t>
  </si>
  <si>
    <t>Global X Lithium &amp; Battery Tech UCITS ETF USD Accumulating</t>
  </si>
  <si>
    <t>IE0003B4BV34</t>
  </si>
  <si>
    <t>UBS ETF (IE) MSCI USA Tech 125 ESG Universal UCITS ETF (USA) A-acc</t>
  </si>
  <si>
    <t>UBS ETF (IE) MSCI USA Select Factor Mix UCITS ETF (USD) A-dis</t>
  </si>
  <si>
    <t>IE000004V778</t>
  </si>
  <si>
    <t>Amundi MSCI World SRI Climate Net Zero Ambition PAB UCITS ETF UCITS ETF Dist</t>
  </si>
  <si>
    <t>LU1910940425</t>
  </si>
  <si>
    <t>Amundi Global Government Inflation-Linked Bond 1-10Y UCITS ETF GBP Hedged Dist</t>
  </si>
  <si>
    <t>IE00BDZVHG35</t>
  </si>
  <si>
    <t>iShares Nasdaq US Biotechnology UCITS ETF USD (Dist)</t>
  </si>
  <si>
    <t>LU1407888483</t>
  </si>
  <si>
    <t>Amundi US Treasury Bond 7-10Y UCITS ETF GBP Hedged Dist</t>
  </si>
  <si>
    <t>IE00BKTLJB70</t>
  </si>
  <si>
    <t>iShares Smart City Infrastructure UCITS ETF USD (Dist)</t>
  </si>
  <si>
    <t>IE0009JOT9U1</t>
  </si>
  <si>
    <t>iShares Physical Gold EUR Hedged ETC</t>
  </si>
  <si>
    <t>DE000ETFL623</t>
  </si>
  <si>
    <t xml:space="preserve">Deka Nasdaq-100Â® UCITS ETF </t>
  </si>
  <si>
    <t>IE00BLDGHT92</t>
  </si>
  <si>
    <t>UBS ETF (IE) Euro Equity Defensive Put Write SF UCITS ETF (EUR) A-acc</t>
  </si>
  <si>
    <t>GB00BLD4ZN31</t>
  </si>
  <si>
    <t>CoinShares Physical XRP</t>
  </si>
  <si>
    <t>IE000U6US1Q0</t>
  </si>
  <si>
    <t>iShares Global Aggregate Bond ESG UCITS ETF USD (Dist)</t>
  </si>
  <si>
    <t>IE000S9T0WR9</t>
  </si>
  <si>
    <t>UBS ETF (IE) Factor MSCI USA Quality ESG UCITS ETF (hedged to CHF) A-acc</t>
  </si>
  <si>
    <t>IE000P0FL8E3</t>
  </si>
  <si>
    <t>First Trust Vest U.S. Equity Moderate Buffer UCITS ETF - May Class A Accumulation</t>
  </si>
  <si>
    <t>Amundi Global BioEnergy ESG Screened UCITS ETF EUR Acc</t>
  </si>
  <si>
    <t>IE0006K7DEL9</t>
  </si>
  <si>
    <t>Franklin Sustainable Euro Green Corporate 1-5 Year UCITS ETF (Acc)</t>
  </si>
  <si>
    <t>IE00023EZQ82</t>
  </si>
  <si>
    <t>iShares Digital Entertainment and Education UCITS ETF USD (Acc)</t>
  </si>
  <si>
    <t>IE00BX7RS555</t>
  </si>
  <si>
    <t>UBS ETF (IE) MSCI Australia UCITS ETF (hedged to USD) A-acc</t>
  </si>
  <si>
    <t>IE00BGJWX091</t>
  </si>
  <si>
    <t>Xtrackers S&amp;P 500 UCITS ETF 1D EUR Hedged</t>
  </si>
  <si>
    <t>IE0009XKZC98</t>
  </si>
  <si>
    <t>iShares EUR Corporate Bond 1-5yr UCITS ETF USD Hedged (Acc)</t>
  </si>
  <si>
    <t>LU1681039050</t>
  </si>
  <si>
    <t>Amundi JPX Nikkei 400 UCITS ETF JPY</t>
  </si>
  <si>
    <t>IE000CY30YV9</t>
  </si>
  <si>
    <t>First Trust US Momentum UCITS ETF Class A Accumulation</t>
  </si>
  <si>
    <t>LU1650489898</t>
  </si>
  <si>
    <t>Amundi Euro Government Bond 10-15Y UCITS ETF Dist</t>
  </si>
  <si>
    <t>LU1750178011</t>
  </si>
  <si>
    <t>Market Access STOXX China A Minimum Variance UCITS ETF</t>
  </si>
  <si>
    <t>IE00BNDS1W07</t>
  </si>
  <si>
    <t>Vanguard ESG Global Corporate Bond UCITS ETF USD Hedged Accumulating</t>
  </si>
  <si>
    <t>Invesco US Consumer Staples Sector UCITS ETF</t>
  </si>
  <si>
    <t>Xtrackers II J.P. Morgan EM Local Government Bond UCITS ETF 1D</t>
  </si>
  <si>
    <t>LU2611732806</t>
  </si>
  <si>
    <t>Amundi US Aggregate SRI UCITS ETF Dist</t>
  </si>
  <si>
    <t>LU1484799926</t>
  </si>
  <si>
    <t>UBS ETF (LU) Bloomberg MSCI Euro Area Liquid Corporates Sustainable UCITS ETF (hedged to USD) A-dis</t>
  </si>
  <si>
    <t>LU2823896811</t>
  </si>
  <si>
    <t>BNP Paribas Easy Sustainable EUR Corporate Bond December 2029 UCITS ETF Acc</t>
  </si>
  <si>
    <t>Xtrackers IE Physical Silver EUR Hedged ETC Securities</t>
  </si>
  <si>
    <t>IE00BKPX3K41</t>
  </si>
  <si>
    <t>iShares MSCI AC Far East ex-Japan UCITS ETF USD (Acc)</t>
  </si>
  <si>
    <t>Amundi Pan Africa UCITS ETF Acc</t>
  </si>
  <si>
    <t>Africa</t>
  </si>
  <si>
    <t>IE000JKS50V3</t>
  </si>
  <si>
    <t>Amundi S&amp;P Global Health Care ESG UCITS ETF DR EUR (D)</t>
  </si>
  <si>
    <t>Xtrackers ESG EUR High Yield Corporate Bond UCITS ETF 1C</t>
  </si>
  <si>
    <t>WisdomTree Emerging Markets SmallCap Dividend UCITS ETF</t>
  </si>
  <si>
    <t>LU2742532828</t>
  </si>
  <si>
    <t>BNP Paribas Easy EUR Corporate Bond SRI Fossil Free 7-10Y UCITS ETF Acc</t>
  </si>
  <si>
    <t>JPMorgan Global Research Enhanced Index Equity SRI Paris Aligned UCITS ETF USD (acc)</t>
  </si>
  <si>
    <t>GB00B68FL050</t>
  </si>
  <si>
    <t>Xtrackers Physical Gold GBP Hedged ETC</t>
  </si>
  <si>
    <t>Fidelity Global Quality Income UCITS ETF (EUR Hedged)</t>
  </si>
  <si>
    <t>LU0592215403</t>
  </si>
  <si>
    <t>Xtrackers MSCI Philippines UCITS ETF 1C</t>
  </si>
  <si>
    <t>BNP Paribas Easy FTSE EPRA Nareit Global Developed Green CTB UCITS ETF</t>
  </si>
  <si>
    <t>IE00BKWD3859</t>
  </si>
  <si>
    <t>Invesco US Treasury Bond 10+ Year UCITS ETF GBP Hedged Dist</t>
  </si>
  <si>
    <t>LU0292104899</t>
  </si>
  <si>
    <t>Xtrackers MSCI Europe Utilities ESG Screened UCITS ETF 1C</t>
  </si>
  <si>
    <t>IE0003RA2ZR3</t>
  </si>
  <si>
    <t>Invesco FTSE All Share ESG Climate UCITS ETF Acc</t>
  </si>
  <si>
    <t>IE000BLN64M9</t>
  </si>
  <si>
    <t>L&amp;G Energy Transition Commodities UCITS ETF USD Accumulating ETF</t>
  </si>
  <si>
    <t>LU2355200523</t>
  </si>
  <si>
    <t>Amundi Global Aggregate Bond UCITS ETF DR - GBP Hedged (D)</t>
  </si>
  <si>
    <t>IE0004HBJKG0</t>
  </si>
  <si>
    <t>BNP Paribas Easy MSCI ACWI SRI S-Series PAB 5% Capped UCITS ETF EUR C</t>
  </si>
  <si>
    <t>IE00BDVPNS35</t>
  </si>
  <si>
    <t>WisdomTree Enhanced Commodity ex-Agriculture UCITS ETF USD Acc</t>
  </si>
  <si>
    <t>LU2823895847</t>
  </si>
  <si>
    <t>BNP Paribas Easy Sustainable EUR Corporate Bond December 2032 UCITS ETF Acc</t>
  </si>
  <si>
    <t>LU2823898353</t>
  </si>
  <si>
    <t>BNP Paribas Easy Sustainable EUR Corporate Bond December 2027 UCITS ETF Acc</t>
  </si>
  <si>
    <t>IE00BJBLDJ48</t>
  </si>
  <si>
    <t>Ossiam US ESG Low Carbon Equity Factors UCITS ETF 1A (USD)</t>
  </si>
  <si>
    <t>IE00BYVDRD78</t>
  </si>
  <si>
    <t>UBS ETF (IE) MSCI ACWI SF UCITS ETF (hedged to EUR) A-UKdis</t>
  </si>
  <si>
    <t>IE00BF2GFJ42</t>
  </si>
  <si>
    <t>Invesco US Treasury Bond UCITS ETF Acc</t>
  </si>
  <si>
    <t>Invesco MSCI Europe UCITS ETF</t>
  </si>
  <si>
    <t>IE00BXDZNK39</t>
  </si>
  <si>
    <t>UBS ETF (IE) Factor MSCI USA Quality ESG UCITS ETF (hedged to GBP) A-dis</t>
  </si>
  <si>
    <t>FR0012399731</t>
  </si>
  <si>
    <t>Amundi EURO STOXX 50 II UCITS ETF CHF Hedged Acc</t>
  </si>
  <si>
    <t>UBS ETF (LU) Bloomberg MSCI Global Liquid Corporates Sustainable UCITS ETF (USD) A-acc</t>
  </si>
  <si>
    <t>DE000A3G3ZD0</t>
  </si>
  <si>
    <t>DDA Crypto Select 10 ETP</t>
  </si>
  <si>
    <t>IE000CK5G8J7</t>
  </si>
  <si>
    <t>iShares Global Infrastructure UCITS ETF USD (Acc)</t>
  </si>
  <si>
    <t>LU2300295123</t>
  </si>
  <si>
    <t>Amundi Prime Emerging Markets UCITS ETF DR (C)</t>
  </si>
  <si>
    <t>IE00BX7RS779</t>
  </si>
  <si>
    <t>UBS ETF (IE) MSCI Australia UCITS ETF (hedged to CHF) A-acc</t>
  </si>
  <si>
    <t>DE000ETFL045</t>
  </si>
  <si>
    <t>Deka STOXX Europe Strong Value 20 UCITS ETF</t>
  </si>
  <si>
    <t>IE000F9IDGB5</t>
  </si>
  <si>
    <t>iShares MSCI World Swap UCITS ETF USD (Acc)</t>
  </si>
  <si>
    <t>IE000A8N67F3</t>
  </si>
  <si>
    <t>Invesco MSCI USA ESG Universal Screened UCITS ETF Dist</t>
  </si>
  <si>
    <t>IE00BJSBC011</t>
  </si>
  <si>
    <t>Goldman Sachs Access China Government Bond UCITS ETF USD (Acc)</t>
  </si>
  <si>
    <t>LU2082996112</t>
  </si>
  <si>
    <t>Amundi STOXX Europe 600 Banks UCITS ETF Dist</t>
  </si>
  <si>
    <t>DE000ETFL128</t>
  </si>
  <si>
    <t>Deka iBoxx EUR Liquid Sovereign Diversified 1-3 UCITS ETF</t>
  </si>
  <si>
    <t>IE000G4PH2B1</t>
  </si>
  <si>
    <t>iShares S&amp;P 500 Paris-Aligned Climate UCITS ETF USD (Dist)</t>
  </si>
  <si>
    <t>IE000D8FCSD8</t>
  </si>
  <si>
    <t>iShares Listed Private Equity UCITS ETF USD (Acc)</t>
  </si>
  <si>
    <t>IE00091SR7N7</t>
  </si>
  <si>
    <t>iShares Global High Yield Corporate Bond UCITS ETF EUR Hedged (Acc)</t>
  </si>
  <si>
    <t>IE00BKPSPT20</t>
  </si>
  <si>
    <t>First Trust Global Capital Strength ESG Leaders UCITS ETF Class A Accumulation</t>
  </si>
  <si>
    <t>LU1681042435</t>
  </si>
  <si>
    <t>Amundi MSCI Europe Growth UCITS ETF - EUR (C)</t>
  </si>
  <si>
    <t>LU1974696095</t>
  </si>
  <si>
    <t>UBS ETF (LU) J.P. Morgan USD EM IG ESG Diversified Bond UCITS ETF</t>
  </si>
  <si>
    <t>LU0592217524</t>
  </si>
  <si>
    <t>Xtrackers MSCI EFM Africa Top 50 Capped Swap UCITS ETF 1C</t>
  </si>
  <si>
    <t>SPDR ICE BofA 0-5 Year EM USD Government Bond UCITS ETF</t>
  </si>
  <si>
    <t>IE00B60SWT88</t>
  </si>
  <si>
    <t>Invesco FTSE 100 UCITS ETF</t>
  </si>
  <si>
    <t>IE00BYQCZP72</t>
  </si>
  <si>
    <t>WisdomTree Europe Equity UCITS ETF USD Hedged Acc</t>
  </si>
  <si>
    <t>IE00B8KMSQ34</t>
  </si>
  <si>
    <t>Xtrackers S&amp;P 500 UCITS ETF 3C CHF hedged</t>
  </si>
  <si>
    <t>SPDR Bloomberg 3-5 Year Euro Government Bond UCITS ETF</t>
  </si>
  <si>
    <t>IE00B51B7Z02</t>
  </si>
  <si>
    <t>HSBC MSCI Canada UCITS ETF USD</t>
  </si>
  <si>
    <t>LU2090062949</t>
  </si>
  <si>
    <t>Amundi Euro Government Bond 7-10Y UCITS ETF Dist</t>
  </si>
  <si>
    <t>Vanguard ESG Developed Asia Pacific All Cap UCITS ETF (USD) Accumulating</t>
  </si>
  <si>
    <t>WisdomTree Silver - EUR Daily Hedged</t>
  </si>
  <si>
    <t>LU2679277744</t>
  </si>
  <si>
    <t>UmweltBank UCITS ETF - Global SDG Focus</t>
  </si>
  <si>
    <t>IE000GLIXPP3</t>
  </si>
  <si>
    <t>AXA IM MSCI Emerging Markets Equity PAB UCITS ETF USD Acc</t>
  </si>
  <si>
    <t>LU1737653714</t>
  </si>
  <si>
    <t>Amundi Euro Government Bond UCITS ETF Dist</t>
  </si>
  <si>
    <t>WisdomTree Industrial Metals Enhanced</t>
  </si>
  <si>
    <t>Amundi STOXX Europe 600 Telecommunications UCITS ETF Acc</t>
  </si>
  <si>
    <t>LU1291091228</t>
  </si>
  <si>
    <t>BNP Paribas Easy FTSE EPRA/NAREIT Developed Europe UCITS ETF QD</t>
  </si>
  <si>
    <t>LU1215452092</t>
  </si>
  <si>
    <t>UBS ETF (LU) Factor MSCI EMU Quality ESG UCITS ETF (hedged to CHF) A-acc</t>
  </si>
  <si>
    <t>IE00018U4PN8</t>
  </si>
  <si>
    <t>AXA IM Emerging Markets Credit PAB UCITS ETF USD Acc</t>
  </si>
  <si>
    <t>Vanguard FTSE Japan UCITS ETF EUR Hedged Accumulating</t>
  </si>
  <si>
    <t>IE00BMDBMT65</t>
  </si>
  <si>
    <t>Invesco MSCI Pacific Ex Japan ESG Universal Screened UCITS ETF Acc</t>
  </si>
  <si>
    <t>IE00BDR55D61</t>
  </si>
  <si>
    <t>UBS ETF (IE) MSCI ACWI Socially Responsible UCITS ETF (hedged to CHF) A-dis</t>
  </si>
  <si>
    <t>IE000GSIFIB0</t>
  </si>
  <si>
    <t>Global X 1-3 Month T-Bill UCITS ETF USD Accumulating</t>
  </si>
  <si>
    <t>VanEck iBoxx EUR Sovereign Diversified 1-10 UCITS ETF</t>
  </si>
  <si>
    <t>Franklin FTSE Asia ex China ex Japan UCITS ETF</t>
  </si>
  <si>
    <t>LU0514694370</t>
  </si>
  <si>
    <t>Xtrackers MSCI Malaysia UCITS ETF 1C</t>
  </si>
  <si>
    <t>LU0468897110</t>
  </si>
  <si>
    <t>Xtrackers II Germany Government Bond 1-3 UCITS ETF 1D</t>
  </si>
  <si>
    <t>IE00080CTQA4</t>
  </si>
  <si>
    <t>Ossiam ESG Shiller Barclays CAPE Europe Sector UCITS ETF 1D (EUR)</t>
  </si>
  <si>
    <t>JPMorgan BetaBuilders US Treasury Bond UCITS ETF USD (Acc)</t>
  </si>
  <si>
    <t>VanEck Emerging Markets High Yield Bond UCITS ETF</t>
  </si>
  <si>
    <t>IE000P4AYI47</t>
  </si>
  <si>
    <t>Xtrackers MSCI World Climate Transition UCITS ETF</t>
  </si>
  <si>
    <t>IE00BDT6FT30</t>
  </si>
  <si>
    <t>SPDR Refinitiv Global Convertible Bond GBP Hedged UCITS ETF</t>
  </si>
  <si>
    <t>VanEck Multi-Asset Growth Allocation UCITS ETF</t>
  </si>
  <si>
    <t>Invesco EURO STOXX High Dividend Low Volatility UCITS ETF</t>
  </si>
  <si>
    <t>IE0001QF56M0</t>
  </si>
  <si>
    <t>KraneShares ICBCCS China S&amp;P 500 UCITS ETF</t>
  </si>
  <si>
    <t>Xtrackers World Net Zero Pathway Paris Aligned UCITS ETF 1C</t>
  </si>
  <si>
    <t>IE0006MM8VN6</t>
  </si>
  <si>
    <t>JPMorgan Active Global Aggregate Bond UCITS ETF USD (acc)</t>
  </si>
  <si>
    <t>UBS ETF (LU) Bloomberg TIPS 10+ UCITS ETF (hedged to EUR) A-acc</t>
  </si>
  <si>
    <t>LU1602145036</t>
  </si>
  <si>
    <t>Amundi Index MSCI Pacific ex Japan SRI PAB UCITS ETF DR USD (C)</t>
  </si>
  <si>
    <t>Invesco MSCI USA UCITS ETF Dist</t>
  </si>
  <si>
    <t>IE00BG13YG34</t>
  </si>
  <si>
    <t>iShares Edge MSCI Europe Quality Factor UCITS ETF EUR (Dist)</t>
  </si>
  <si>
    <t>Amundi Corporate Green Bond UCITS ETF Acc</t>
  </si>
  <si>
    <t>WisdomTree Europe SmallCap Dividend UCITS ETF</t>
  </si>
  <si>
    <t>WisdomTree WTI Crude Oil - EUR Daily Hedged</t>
  </si>
  <si>
    <t>LU0614173895</t>
  </si>
  <si>
    <t>Xtrackers II Eurozone Government Bond 3-5 UCITS ETF 1D</t>
  </si>
  <si>
    <t>IE000HH3SU50</t>
  </si>
  <si>
    <t>iShares MSCI Europe Paris-Aligned Climate UCITS ETF EUR (Dist)</t>
  </si>
  <si>
    <t>IE00B5MTWY73</t>
  </si>
  <si>
    <t>Invesco European Basic Resources Sector UCITS ETF</t>
  </si>
  <si>
    <t>LU1169820138</t>
  </si>
  <si>
    <t>UBS ETF (LU) MSCI EMU UCITS ETF (hedged to GBP) A-acc</t>
  </si>
  <si>
    <t>LU2082998837</t>
  </si>
  <si>
    <t>Amundi STOXX Europe 600 Technology UCITS ETF Dist</t>
  </si>
  <si>
    <t>IE00BZ171348</t>
  </si>
  <si>
    <t>iShares Global AAA-AA Government Bond UCITS USD (Acc)</t>
  </si>
  <si>
    <t>SPDR S&amp;P US Dividend Aristocrats ESG UCITS ETF (Dist)</t>
  </si>
  <si>
    <t>IE00B4556L06</t>
  </si>
  <si>
    <t>iShares Physical Palladium ETC</t>
  </si>
  <si>
    <t>CH1209763130</t>
  </si>
  <si>
    <t>21Shares Ethereum Core ETP</t>
  </si>
  <si>
    <t>BNP Paribas Easy EUR Aggregate Bond SRI Fossil Free UCITS ETF Distribution</t>
  </si>
  <si>
    <t>JPMorgan China A Research Enhanced Index Equity (ESG) UCITS ETF USD (acc)</t>
  </si>
  <si>
    <t>LU2365458731</t>
  </si>
  <si>
    <t>BNP Paribas Easy JPM ESG Green Social &amp; Sustainability IG EUR Bond UCITS ETF Dist</t>
  </si>
  <si>
    <t>Invesco MSCI Europe ESG Leaders Catholic Principles UCITS ETF A</t>
  </si>
  <si>
    <t>Amundi USD Corporate Bond UCITS ETF Dist</t>
  </si>
  <si>
    <t>LU1169827224</t>
  </si>
  <si>
    <t>UBS ETF (LU) MSCI Hong Kong UCITS ETF (HKD) A-dis</t>
  </si>
  <si>
    <t>CH0568452707</t>
  </si>
  <si>
    <t>AMINA Crypto Asset Select Index ETP</t>
  </si>
  <si>
    <t>Vanguard ESG North America All Cap UCITS ETF (USD) Distributing</t>
  </si>
  <si>
    <t>LU2555926372</t>
  </si>
  <si>
    <t>Ossiam Shiller Barclays CAPEÂ® Global Sector Value UCITS ETF 1C (USD)</t>
  </si>
  <si>
    <t>LU0292106084</t>
  </si>
  <si>
    <t>Xtrackers MSCI Europe Industrials ESG Screened UCITS ETF 1C</t>
  </si>
  <si>
    <t>IE000Q2P3ZQ3</t>
  </si>
  <si>
    <t>iShares Physical Gold GBP Hedged ETC</t>
  </si>
  <si>
    <t>IE00BKWD3D06</t>
  </si>
  <si>
    <t>Invesco US Treasury Bond 0-1 Year UCITS ETF Acc</t>
  </si>
  <si>
    <t>Vanguard ESG USD Corporate Bond UCITS ETF (USD) Accumulating</t>
  </si>
  <si>
    <t>IE000VSFIC94</t>
  </si>
  <si>
    <t>iShares Broad USD High Yield Corporate Bond UCITS ETF EUR Hedged (Acc)</t>
  </si>
  <si>
    <t>IE00B58ZM503</t>
  </si>
  <si>
    <t>UBS ETF (IE) Bloomberg Commodity Index SF UCITS ETF (EUR) A-acc</t>
  </si>
  <si>
    <t>LU1407889457</t>
  </si>
  <si>
    <t>Amundi US Treasury Bond 3-7Y UCITS ETF GBP Hedged Dist</t>
  </si>
  <si>
    <t>DE000A2QP331</t>
  </si>
  <si>
    <t>iShares Core DAXÂ® UCITS ETF (DE) EUR (Dist)</t>
  </si>
  <si>
    <t>IE000XYBMEH0</t>
  </si>
  <si>
    <t>HSBC Emerging Market Sustainable Equity UCITS ETF USD (Dist)</t>
  </si>
  <si>
    <t>Global X Blockchain UCITS ETF USD Accumulating</t>
  </si>
  <si>
    <t>LU1650487926</t>
  </si>
  <si>
    <t>Amundi Euro Government Bond 1-3Y UCITS ETF Dist</t>
  </si>
  <si>
    <t>HSBC MSCI USA Climate Paris Aligned UCITS ETF USD Acc</t>
  </si>
  <si>
    <t>IE00B2NPL135</t>
  </si>
  <si>
    <t>iShares Emerging Market Infrastructure UCITS ETF</t>
  </si>
  <si>
    <t>DE000ETF7029</t>
  </si>
  <si>
    <t>Amundi Multi-Asset Portfolio Defensive UCITS ETF Dist</t>
  </si>
  <si>
    <t>IE000UDV9YG1</t>
  </si>
  <si>
    <t>iShares MSCI Europe Energy Sector UCITS ETF EUR (Dist)</t>
  </si>
  <si>
    <t>IE00BL977C92</t>
  </si>
  <si>
    <t>iShares MSCI China UCITS ETF USD (Dist)</t>
  </si>
  <si>
    <t>Invesco US Materials Sector UCITS ETF</t>
  </si>
  <si>
    <t>IE00BMX0B524</t>
  </si>
  <si>
    <t>Vanguard U.K. Gilt UCITS ETF EUR Hedged Accumulating</t>
  </si>
  <si>
    <t>IE00BDGV0C91</t>
  </si>
  <si>
    <t>UBS ETF (IE) MSCI USA Select Factor Mix UCITS ETF (hedged to CHF) A-acc</t>
  </si>
  <si>
    <t>WisdomTree Europe SmallCap Dividend UCITS ETF Acc</t>
  </si>
  <si>
    <t>JPMorgan Green Social Sustainable Bond UCITS ETF USD (acc)</t>
  </si>
  <si>
    <t>iShares MSCI World Materials Sector ESG UCITS ETF USD (Dist)</t>
  </si>
  <si>
    <t>Vanguard LifeStrategy 40% Equity UCITS ETF Distributing</t>
  </si>
  <si>
    <t>IE000Y247W99</t>
  </si>
  <si>
    <t>iShares iBonds Dec 2029 Term USD Corporate UCITS ETF USD (Dist)</t>
  </si>
  <si>
    <t>IE000LXEN6X4</t>
  </si>
  <si>
    <t>iShares EURO STOXX 50 ESG UCITS ETF EUR (Acc)</t>
  </si>
  <si>
    <t>SPDR MSCI Japan EUR Hedged UCITS ETF</t>
  </si>
  <si>
    <t>IE00BD842Y21</t>
  </si>
  <si>
    <t>First Trust Global Equity Income UCITS ETF Dist</t>
  </si>
  <si>
    <t>Xtrackers II Harvest China Government Bond UCITS ETF 1D</t>
  </si>
  <si>
    <t>Ossiam US Minimum Variance ESG UCITS ETF 1A (EUR)</t>
  </si>
  <si>
    <t>LU2314312922</t>
  </si>
  <si>
    <t>BNP Paribas Easy MSCI China Select SRI S-Series 10% Capped UCITS ETF USD Acc</t>
  </si>
  <si>
    <t>IE00BMG8GR03</t>
  </si>
  <si>
    <t>Fidelity Global Quality Income UCITS ETF (CHF Hedged)</t>
  </si>
  <si>
    <t>LU0950677863</t>
  </si>
  <si>
    <t>UBS ETF (LU) SBI Foreign AAA-BBB 5-10 ESG UCITS ETF (CHF) A-acc</t>
  </si>
  <si>
    <t>LU1686830065</t>
  </si>
  <si>
    <t>Amundi Euro Corporate 0-1Y ESG UCITS ETF DR (D)</t>
  </si>
  <si>
    <t>LU0321463506</t>
  </si>
  <si>
    <t>Xtrackers iBoxx Germany Covered Swap UCITS ETF 1C</t>
  </si>
  <si>
    <t>Xtrackers MSCI EM Europe Middle East and Africa ESG Swap UCITS ETF 1C</t>
  </si>
  <si>
    <t>IE000J6CHW80</t>
  </si>
  <si>
    <t>VanEck US Fallen Angel High Yield Bond UCITS ETF A</t>
  </si>
  <si>
    <t>IE00BLLZQS08</t>
  </si>
  <si>
    <t>iShares Moderate Portfolio UCITS ETF EUR (Acc)</t>
  </si>
  <si>
    <t>LU1681037948</t>
  </si>
  <si>
    <t>Amundi Japan Topix UCITS ETF Daily Hedged USD</t>
  </si>
  <si>
    <t>UBS ETF (IE) MSCI Australia UCITS ETF (hedged to EUR) A-acc</t>
  </si>
  <si>
    <t>IE00BQXKVQ19</t>
  </si>
  <si>
    <t>Xtrackers MSCI GCC Select Swap UCITS ETF 1C</t>
  </si>
  <si>
    <t>Amundi Global Government Inflation-Linked Bond 1-10Y UCITS ETF Dist</t>
  </si>
  <si>
    <t>IE00BL58LL31</t>
  </si>
  <si>
    <t>Xtrackers USD Corporate Bond SRI PAB UCITS ETF 2C - EUR Hedged</t>
  </si>
  <si>
    <t>UBS ETF (IE) Global Gender Equality UCITS ETF (hedged to EUR) A-acc</t>
  </si>
  <si>
    <t>IE00066L6LB9</t>
  </si>
  <si>
    <t>AXA IM Emerging Markets Credit PAB UCITS ETF USD Dis</t>
  </si>
  <si>
    <t>L&amp;G Quality Equity Dividends ESG Exclusions Asia Pacific ex-Japan UCITS ETF</t>
  </si>
  <si>
    <t>UBS ETF (LU) J.P. Morgan EMU Government ESG Liquid Bond UCITS ETF (EUR) A-acc</t>
  </si>
  <si>
    <t>IE00B4TXPP71</t>
  </si>
  <si>
    <t>Invesco Commodity Composite UCITS ETF Acc</t>
  </si>
  <si>
    <t>JE00BN7KB441</t>
  </si>
  <si>
    <t>WisdomTree Corn</t>
  </si>
  <si>
    <t>IE00BNDS1S60</t>
  </si>
  <si>
    <t>Vanguard ESG Global Corporate Bond UCITS ETF CHF Hedged Distributing</t>
  </si>
  <si>
    <t>IE00BDVPTJ63</t>
  </si>
  <si>
    <t>Xtrackers MSCI USA Banks UCITS ETF 1D</t>
  </si>
  <si>
    <t>CH1135202088</t>
  </si>
  <si>
    <t>21Shares Avalanche Staking ETP</t>
  </si>
  <si>
    <t>IE00BL6K8C82</t>
  </si>
  <si>
    <t>iShares MSCI Europe Paris-Aligned Climate UCITS ETF EUR (Acc)</t>
  </si>
  <si>
    <t>LU1127516455</t>
  </si>
  <si>
    <t>Xtrackers MSCI EMU UCITS ETF 2C GBP hedged</t>
  </si>
  <si>
    <t>HANetf The Travel UCITS ETF</t>
  </si>
  <si>
    <t>IE00BJFN5P63</t>
  </si>
  <si>
    <t>WisdomTree USD Floating Rate Treasury Bond UCITS ETF USD</t>
  </si>
  <si>
    <t>VanEck Oil Services UCITS ETF A</t>
  </si>
  <si>
    <t>UBS ETF (LU) Solactive China Technology UCITS ETF (USD) A-acc</t>
  </si>
  <si>
    <t>CH1315732250</t>
  </si>
  <si>
    <t>Xtrackers Galaxy Physical Bitcoin ETC Securities</t>
  </si>
  <si>
    <t>IE000IZO7033</t>
  </si>
  <si>
    <t>iShares EUR Green Bond UCITS ETF EUR (Acc)</t>
  </si>
  <si>
    <t>IE00BFMKQ930</t>
  </si>
  <si>
    <t>Xtrackers USD Corporate Bond Short Duration SRI PAB UCITS ETF 2C - EUR Hedged</t>
  </si>
  <si>
    <t>JPMorgan BetaBuilders EUR Government Bond 1-3 UCITS ETF EUR (Acc)</t>
  </si>
  <si>
    <t>IE00013A2XD6</t>
  </si>
  <si>
    <t>iShares MSCI ACWI SRI UCITS ETF USD (Dist)</t>
  </si>
  <si>
    <t>WisdomTree Europe Equity UCITS ETF USD Hedged</t>
  </si>
  <si>
    <t>Ossiam Food for Biodiversity UCITS ETF 1A (EUR)</t>
  </si>
  <si>
    <t>Invesco European Banks Sector UCITS ETF</t>
  </si>
  <si>
    <t>IE00BSPLC306</t>
  </si>
  <si>
    <t>SPDR MSCI Europe Value UCITS ETF</t>
  </si>
  <si>
    <t>Invesco EUR Corporate Bond ESG Multi-Factor UCITS ETF Dist</t>
  </si>
  <si>
    <t>DE000A3GVKZ1</t>
  </si>
  <si>
    <t>ETC Group Physical Solana</t>
  </si>
  <si>
    <t>LU1645386308</t>
  </si>
  <si>
    <t>UBS ETF (LU) J.P. Morgan USD EM Diversified Bond 1-5 UCITS ETF (hedged to EUR) A-dis</t>
  </si>
  <si>
    <t>UBS ETF (LU) Bloomberg US 10+ Year Treasury Bond UCITS ETF (hedged to EUR) A-dis</t>
  </si>
  <si>
    <t>IE000WQ5O293</t>
  </si>
  <si>
    <t>BNP Paribas Easy MSCI ACWI SRI S-Series PAB 5% Capped UCITS ETF USD C</t>
  </si>
  <si>
    <t>DE000A3GK2N1</t>
  </si>
  <si>
    <t>DDA Physical Bitcoin ETP</t>
  </si>
  <si>
    <t>CH0593331561</t>
  </si>
  <si>
    <t>21Shares Polkadot ETP</t>
  </si>
  <si>
    <t>iShares Edge MSCI Europe Size Factor UCITS ETF</t>
  </si>
  <si>
    <t>DE000ETF7037</t>
  </si>
  <si>
    <t>Amundi Multi-Asset Portfolio Offensive UCITS ETF Dist</t>
  </si>
  <si>
    <t>Xtrackers II ESG Eurozone Government Bond UCITS ETF 1C</t>
  </si>
  <si>
    <t>IE00BYYLVJ24</t>
  </si>
  <si>
    <t>UBS ETFs (IE) Bloomberg Commodity CMCI SF UCITS ETF (hedged to EUR) A-acc</t>
  </si>
  <si>
    <t>Invesco EUR Corporate Bond ESG Short Duration Multi-Factor UCITS ETF Dist</t>
  </si>
  <si>
    <t>DE000ETFL433</t>
  </si>
  <si>
    <t>Deka DAX ex Financials 30 UCITS ETF</t>
  </si>
  <si>
    <t>LU1169825954</t>
  </si>
  <si>
    <t>UBS ETF (LU) MSCI Singapore UCITS ETF (SGD) A-dis</t>
  </si>
  <si>
    <t>IE00BK6M1392</t>
  </si>
  <si>
    <t>iShares USD High Yield Corporate Bond UCITS ETF CHF Hedged (Acc)</t>
  </si>
  <si>
    <t>LU1273642907</t>
  </si>
  <si>
    <t>UBS ETF (LU) MSCI EMU Socially Responsible UCITS ETF (hedged to CHF) A-dis</t>
  </si>
  <si>
    <t>LU0478205965</t>
  </si>
  <si>
    <t>Xtrackers II EUR Corporate Bond UCITS ETF 1D</t>
  </si>
  <si>
    <t>HSBC MSCI Europe Climate Paris Aligned UCITS ETF EUR Acc</t>
  </si>
  <si>
    <t>JPMorgan BetaBuilders US Equity UCITS ETF (Acc)</t>
  </si>
  <si>
    <t>IE0007WMHDE3</t>
  </si>
  <si>
    <t>HANetf European Green Deal UCITS ETF Acc</t>
  </si>
  <si>
    <t>UBS ETF (LU) Bloomberg US 1-3 Year Treasury Bond UCITS ETF (USD) A-dis</t>
  </si>
  <si>
    <t>Amundi DAX 50 ESG UCITS ETF DR (C)</t>
  </si>
  <si>
    <t>UBS ETF (IE) MSCI Japan Climate Paris Aligned UCITS ETF (hedged to EUR) A-acc</t>
  </si>
  <si>
    <t>Vanguard ESG Developed Europe All Cap UCITS ETF (EUR) Distributing</t>
  </si>
  <si>
    <t>DE000ETFL607</t>
  </si>
  <si>
    <t>Deka Future Energy ESG UCITS ETF</t>
  </si>
  <si>
    <t>LU1646359882</t>
  </si>
  <si>
    <t>Amundi Index MSCI Japan SRI PAB UCITS ETF DR Hedged USD (C)</t>
  </si>
  <si>
    <t>IE00BMYDMC42</t>
  </si>
  <si>
    <t>L&amp;G Quality Equity Dividends ESG Exclusions Emerging Markets UCITS ETF</t>
  </si>
  <si>
    <t>Fidelity Sustainable Global Corporate Bond Paris-Aligned Multifactor UCITS ETF INC-USD</t>
  </si>
  <si>
    <t>HSBC MSCI Emerging Markets Climate Paris Aligned UCITS ETF</t>
  </si>
  <si>
    <t>IE00BMQ5Y557</t>
  </si>
  <si>
    <t>Tabula Global IG Credit Curve Steepener UCITS ETF (EUR) Acc</t>
  </si>
  <si>
    <t>Amundi MSCI EMU ESG CTB Net Zero Ambition UCITS ETF Dist</t>
  </si>
  <si>
    <t>LU2082998167</t>
  </si>
  <si>
    <t>Amundi STOXX Europe 600 Energy ESG Screened UCITS ETF Dist</t>
  </si>
  <si>
    <t>LU2050966394</t>
  </si>
  <si>
    <t>UBS ETF (LU) MSCI Emerging Markets ex China UCITS ETF (USD) A-acc</t>
  </si>
  <si>
    <t>VanEck Multi-Asset Conservative Allocation UCITS ETF</t>
  </si>
  <si>
    <t>LU0959210278</t>
  </si>
  <si>
    <t>Amundi S&amp;P Eurozone Dividend Aristocrat ESG UCITS ETF Dist</t>
  </si>
  <si>
    <t>DE000A3GV1T7</t>
  </si>
  <si>
    <t>VanEck Avalanche ETN</t>
  </si>
  <si>
    <t>NL0009272756</t>
  </si>
  <si>
    <t>VanEck AMX UCITS ETF</t>
  </si>
  <si>
    <t>IE000ROSD5J6</t>
  </si>
  <si>
    <t>iShares Essential Metals Producers UCITS ETF USD (Acc)</t>
  </si>
  <si>
    <t>Fidelity Europe Quality Income UCITS ETF</t>
  </si>
  <si>
    <t>Invesco Preferred Shares UCITS ETF EUR Hedged Dist</t>
  </si>
  <si>
    <t>WisdomTree Enhanced Commodity UCITS ETF EUR Hedged Acc</t>
  </si>
  <si>
    <t>Guinness Sustainable Energy UCITS ETF Accumulating</t>
  </si>
  <si>
    <t>IE00BYQCZF74</t>
  </si>
  <si>
    <t>WisdomTree Japan Equity UCITS ETF GBP Hedged</t>
  </si>
  <si>
    <t>IE000SB9GY21</t>
  </si>
  <si>
    <t>JPMorgan Global High Yield Corporate Bond Multi-Factor UCITS ETF USD (dist)</t>
  </si>
  <si>
    <t>GB00BNRRF659</t>
  </si>
  <si>
    <t>CoinShares Physical Staked Cardano</t>
  </si>
  <si>
    <t>Amundi Index Smart Factory UCITS ETF EUR (C)</t>
  </si>
  <si>
    <t>IE00BDR5HN05</t>
  </si>
  <si>
    <t>Xtrackers USD High Yield Corporate Bond UCITS ETF 1C</t>
  </si>
  <si>
    <t>CH1135202179</t>
  </si>
  <si>
    <t>21Shares Crypto Basket 10 ETP</t>
  </si>
  <si>
    <t>HANetf AuAg ESG Gold Mining UCITS ETF</t>
  </si>
  <si>
    <t>WisdomTree Emerging Markets Equity Income UCITS ETF Acc</t>
  </si>
  <si>
    <t>IE00BPVLQF37</t>
  </si>
  <si>
    <t>Xtrackers MSCI Japan ESG Screened UCITS ETF 2D GBP Hedged</t>
  </si>
  <si>
    <t>IE00022GJEG1</t>
  </si>
  <si>
    <t>L&amp;G Multi-Strategy Enhanced Commodities UCITS ETF EUR Hedged Acc</t>
  </si>
  <si>
    <t>DE000ETFL292</t>
  </si>
  <si>
    <t>Deka MSCI Europe MC UCITS ETF</t>
  </si>
  <si>
    <t>WisdomTree Zinc</t>
  </si>
  <si>
    <t>DE000PB6GAS5</t>
  </si>
  <si>
    <t>BNPP Henry Hub Erdgas (TR) ETC</t>
  </si>
  <si>
    <t>Ossiam Europe ESG Machine Learning UCITS ETF 1C (EUR)</t>
  </si>
  <si>
    <t>IE000WMRNBB0</t>
  </si>
  <si>
    <t>HSBC MSCI World UCITS ETF CHF hedged</t>
  </si>
  <si>
    <t>JPMorgan Japan Research Enhanced Index Equity (ESG) UCITS ETF EUR Hedged (acc)</t>
  </si>
  <si>
    <t>IE000J8Z5N74</t>
  </si>
  <si>
    <t>iShares Broad Global Government Bond UCITS ETF USD (Dist)</t>
  </si>
  <si>
    <t>IE00BKVL7885</t>
  </si>
  <si>
    <t>iShares Edge MSCI EM Minimum Volatility ESG UCITS ETF USD (Acc)</t>
  </si>
  <si>
    <t>IE00B5MJYC95</t>
  </si>
  <si>
    <t>Invesco European Travel Sector UCITS ETF</t>
  </si>
  <si>
    <t>IE0008YN0OY8</t>
  </si>
  <si>
    <t>Xtrackers MSCI World Minimum Volatility ESG UCITS ETF 1C</t>
  </si>
  <si>
    <t>Vanguard ESG Emerging Markets All Cap UCITS ETF (USD) Accumulating</t>
  </si>
  <si>
    <t>JPMorgan BetaBuilders EUR Government Bond UCITS ETF EUR (Acc)</t>
  </si>
  <si>
    <t>IE000DNSAS54</t>
  </si>
  <si>
    <t>Xtrackers MSCI Emerging Markets Climate Transition UCITS ETF 1C</t>
  </si>
  <si>
    <t>IE00BP8FKB21</t>
  </si>
  <si>
    <t>Xtrackers FTSE Developed Europe Ex UK Property UCITS ETF 1C</t>
  </si>
  <si>
    <t>VanEck Space Innovators UCITS ETF</t>
  </si>
  <si>
    <t>UBS ETF (LU) Bloomberg Euro Inflation Linked 10+ UCITS ETF (EUR) A-dis</t>
  </si>
  <si>
    <t>IE00BLCHJ641</t>
  </si>
  <si>
    <t>Global X U.S. Infrastructure Development UCITS ETF USD Distributing</t>
  </si>
  <si>
    <t>LU1981859819</t>
  </si>
  <si>
    <t>Amundi Global Aggregate Green Bond 1-10Y UCITS ETF Acc</t>
  </si>
  <si>
    <t>IE0007EH5UK6</t>
  </si>
  <si>
    <t>L&amp;G ESG Emerging Markets Corporate Bond (USD) UCITS ETF CHF Hedged Acc</t>
  </si>
  <si>
    <t>Fidelity Sustainable USD EM Bond UCITS ETF</t>
  </si>
  <si>
    <t>LU0940748279</t>
  </si>
  <si>
    <t>UBS ETF (LU) MSCI Pacific (ex Japan) UCITS ETF (USD) A-acc</t>
  </si>
  <si>
    <t>DE000A0H08L5</t>
  </si>
  <si>
    <t>iShares STOXX Europe 600 Media UCITS ETF (DE)</t>
  </si>
  <si>
    <t>SPDR EURO STOXX Low Volatility UCITS ETF</t>
  </si>
  <si>
    <t>IE000OJ31JQ4</t>
  </si>
  <si>
    <t>First Trust Vest U.S. Equity Moderate Buffer UCITS ETF - November Class A Accumulation</t>
  </si>
  <si>
    <t>IE00B40QP990</t>
  </si>
  <si>
    <t>Invesco Physical Platinum</t>
  </si>
  <si>
    <t>WisdomTree Gold - EUR Daily Hedged</t>
  </si>
  <si>
    <t>BNP Paribas Easy ECPI Global ESG Hydrogen Economy UCITS ETF EUR</t>
  </si>
  <si>
    <t>HSBC MSCI AC Asia Pacific ex Japan Climate Paris Aligned UCITS ETF</t>
  </si>
  <si>
    <t>IE000KF370H3</t>
  </si>
  <si>
    <t>WisdomTree US Efficient Core UCITS ETF USD Unhedged Acc</t>
  </si>
  <si>
    <t>IE00BFF5RZ82</t>
  </si>
  <si>
    <t>iShares Edge MSCI USA Momentum Factor UCITS ETF USD (Dist)</t>
  </si>
  <si>
    <t>LU2082997946</t>
  </si>
  <si>
    <t>Amundi STOXX Europe 600 Insurance UCITS ETF Dist</t>
  </si>
  <si>
    <t>Global Balanced Fund UCITS ETF Accumulating</t>
  </si>
  <si>
    <t>Xtrackers USD Corporate Green Bond UCITS ETF 2C Acc USD</t>
  </si>
  <si>
    <t>IE00005YSIA4</t>
  </si>
  <si>
    <t>JPMorgan Japan Research Enhanced Index Equity (ESG) UCITS ETF USD (dist)</t>
  </si>
  <si>
    <t>WisdomTree Brent Crude Oil - EUR Daily Hedged</t>
  </si>
  <si>
    <t>JPMorgan USD Corporate Bond Research Enhanced Index (ESG) UCITS ETF</t>
  </si>
  <si>
    <t>IE00BYTH5S21</t>
  </si>
  <si>
    <t>SPDR S&amp;P Global Dividend Aristocrats ESG UCITS ETF (Dist)</t>
  </si>
  <si>
    <t>IE000PY7F8J9</t>
  </si>
  <si>
    <t>Rize USA Environmental Impact UCITS ETF USD Acc</t>
  </si>
  <si>
    <t>Invesco USD Corporate Bond UCITS ETF Dist</t>
  </si>
  <si>
    <t>LU1615090864</t>
  </si>
  <si>
    <t>BNP Paribas Easy ESG Dividend Europe UCITS ETF</t>
  </si>
  <si>
    <t>IE00BMC7BF44</t>
  </si>
  <si>
    <t>iShares China CNY Government Bond UCITS ETF USD (Dist)</t>
  </si>
  <si>
    <t>UBS ETF (IE) S&amp;P Dividend Aristocrats ESG UCITS ETF (hedged to EUR) A-dis</t>
  </si>
  <si>
    <t>WisdomTree Grains</t>
  </si>
  <si>
    <t>GB00BMTP1519</t>
  </si>
  <si>
    <t>WisdomTree Physical Crypto Altcoins</t>
  </si>
  <si>
    <t>Invesco S&amp;P China A 300 Swap UCITS ETF Acc</t>
  </si>
  <si>
    <t>LU1377382442</t>
  </si>
  <si>
    <t>BNP Paribas Easy Low Carbon 100 Europe PAB UCITS ETF Dist</t>
  </si>
  <si>
    <t>LU2082996385</t>
  </si>
  <si>
    <t>Amundi STOXX Europe 600 Basic Resources UCITS ETF Dist</t>
  </si>
  <si>
    <t>LU1220245556</t>
  </si>
  <si>
    <t>Amundi MSCI Pacific Ex Japan UCITS ETF Dist</t>
  </si>
  <si>
    <t>LU0659579147</t>
  </si>
  <si>
    <t>Xtrackers MSCI Pakistan Swap UCITS ETF 1C</t>
  </si>
  <si>
    <t>IE00B5MTY077</t>
  </si>
  <si>
    <t>Invesco European Chemicals Sector UCITS ETF</t>
  </si>
  <si>
    <t>L&amp;G Pharma Breakthrough UCITS ETF</t>
  </si>
  <si>
    <t>LU1169821375</t>
  </si>
  <si>
    <t>UBS ETF (LU) MSCI United Kingdom UCITS ETF (hedged to USD) A-dis</t>
  </si>
  <si>
    <t>Amundi USD Corporate Bond PAB Net Zero Ambition UCITS ETF Acc</t>
  </si>
  <si>
    <t>IE000ZUAJ6B7</t>
  </si>
  <si>
    <t>Invesco BulletShares 2026 USD Corporate Bond UCITS ETF Acc</t>
  </si>
  <si>
    <t>LU1273641503</t>
  </si>
  <si>
    <t>UBS ETF (LU) MSCI USA Socially Responsible UCITS ETF (hedged to CHF) A-acc</t>
  </si>
  <si>
    <t>L&amp;G E Fund MSCI China A UCITS ETF</t>
  </si>
  <si>
    <t>LU2082999132</t>
  </si>
  <si>
    <t>Amundi STOXX Europe 600 Consumer Discretionary UCITS ETF Dist</t>
  </si>
  <si>
    <t>Xtrackers USA Net Zero Pathway Paris Aligned UCITS ETF 1C</t>
  </si>
  <si>
    <t>IE0005E8N9I1</t>
  </si>
  <si>
    <t>Fidelity Sustainable Global Corporate Bond Paris-Aligned Multifactor UCITS ETF INC-USD (hedged)</t>
  </si>
  <si>
    <t>Franklin USD Investment Grade Corporate Bond UCITS ETF</t>
  </si>
  <si>
    <t>Global X Data Center REITs &amp; Digital Infrastructure UCITS ETF USD Accumulating</t>
  </si>
  <si>
    <t>IE000B4EDHL6</t>
  </si>
  <si>
    <t>Invesco BulletShares 2029 USD Corporate Bond UCITS ETF Acc</t>
  </si>
  <si>
    <t>LU1681047400</t>
  </si>
  <si>
    <t>Amundi EURO STOXX 50 UCITS ETF DR USD (C)</t>
  </si>
  <si>
    <t>IE00BWT3KL42</t>
  </si>
  <si>
    <t>UBS ETF (IE) Factor MSCI USA Prime Value ESG UCITS ETF (hedged to EUR) A-acc</t>
  </si>
  <si>
    <t>IE00BMW13836</t>
  </si>
  <si>
    <t>KraneShares CSI China Internet UCITS ETF GBP</t>
  </si>
  <si>
    <t>LU1169819718</t>
  </si>
  <si>
    <t>UBS ETF (LU) MSCI EMU UCITS ETF (hedged to USD) A-dis</t>
  </si>
  <si>
    <t>DE000PS701L2</t>
  </si>
  <si>
    <t>BNPP ICE Brent Ã–L ETC</t>
  </si>
  <si>
    <t>IE000Y4K4833</t>
  </si>
  <si>
    <t>JPMorgan Global Emerging Markets Research Enhanced Index Equity (ESG) UCITS ETF USD (dist)</t>
  </si>
  <si>
    <t>IE000N5JOGS2</t>
  </si>
  <si>
    <t>HSBC China Government Local Bond UCITS ETF C</t>
  </si>
  <si>
    <t>LU1720938924</t>
  </si>
  <si>
    <t>UBS ETF (LU) J.P. Morgan EM Multi-Factor Enhanced Local Currency Bond UCITS ETF (USD) A-acc</t>
  </si>
  <si>
    <t>IE000L1I4R94</t>
  </si>
  <si>
    <t>Tabula GCC Sovereign USD Bonds UCITS ETF (USD) Acc</t>
  </si>
  <si>
    <t>IE00BLDGHF56</t>
  </si>
  <si>
    <t>UBS ETF (IE) US Equity Defensive Put Write SF UCITS ETF (USD) A-acc</t>
  </si>
  <si>
    <t>IE000CR424L6</t>
  </si>
  <si>
    <t>iShares MSCI Europe SRI UCITS ETF EUR Hedged (Dist)</t>
  </si>
  <si>
    <t>BNP Paribas Easy Low Carbon 100 Eurozone PAB UCITS ETF Cap EUR</t>
  </si>
  <si>
    <t>WisdomTree Blockchain UCITS ETF USD Acc</t>
  </si>
  <si>
    <t>IE0004LCA3I5</t>
  </si>
  <si>
    <t>iShares Spain Government Bond UCITS ETF EUR (Acc)</t>
  </si>
  <si>
    <t>IE00BF2FL590</t>
  </si>
  <si>
    <t>First Trust Eurozone AlphaDEX UCITS ETF B Dist</t>
  </si>
  <si>
    <t>IE0000PJLVN3</t>
  </si>
  <si>
    <t>iShares Japan Government Bond UCITS ETF JPY (Acc)</t>
  </si>
  <si>
    <t>CH1100083471</t>
  </si>
  <si>
    <t>21Shares Chainlink ETP</t>
  </si>
  <si>
    <t>IE00BLP53M98</t>
  </si>
  <si>
    <t>iShares Conservative Portfolio UCITS ETF EUR (Acc)</t>
  </si>
  <si>
    <t>IE000E0V65D8</t>
  </si>
  <si>
    <t>Xtrackers World Biodiversity Focus SRI UCITS ETF 1C</t>
  </si>
  <si>
    <t>Harbor Health Care UCITS ETF Accumulating</t>
  </si>
  <si>
    <t>IE00BF4NC698</t>
  </si>
  <si>
    <t>UBS ETF (IE) MSCI ACWI Socially Responsible UCITS ETF (hedged to JPY) A-acc</t>
  </si>
  <si>
    <t>IE000U5MJOZ6</t>
  </si>
  <si>
    <t>JPMorgan US Equity Premium Income Active UCITS ETF USD (dist)</t>
  </si>
  <si>
    <t>IE000Y2BJVK9</t>
  </si>
  <si>
    <t>iShares iBonds Dec 2030 Term EUR Corporate UCITS ETF EUR (Acc)</t>
  </si>
  <si>
    <t>IE000D8XC064</t>
  </si>
  <si>
    <t>iShares World Equity Enhanced Active UCITS ETF USD (Acc)</t>
  </si>
  <si>
    <t>XETRA, London, Borsa Italiana, Euronext Amsterdam</t>
  </si>
  <si>
    <t>IE0003UH9270</t>
  </si>
  <si>
    <t>WisdomTree UK Quality Dividend Growth UCITS ETF GBP</t>
  </si>
  <si>
    <t>LU2469335371</t>
  </si>
  <si>
    <t>Amundi Index MSCI Emerging Markets SRI PAB UCITS ETF DR GBP (D)</t>
  </si>
  <si>
    <t>IE000FYTRRJ6</t>
  </si>
  <si>
    <t>JPMorgan Global Research Enhanced Index Equity SRI Paris Aligned UCITS ETF USD (dist)</t>
  </si>
  <si>
    <t>Xtrackers II Eurozone Government Green Bond UCITS ETF 1D</t>
  </si>
  <si>
    <t>Amundi USD High Yield Corporate Bond ESG UCITS ETF Acc</t>
  </si>
  <si>
    <t>UBS ETF (LU) Global Green Bond ESG 1-10 UCITS ETF (USD) A-acc</t>
  </si>
  <si>
    <t>Xtrackers Japan Net Zero Pathway Paris Aligned UCITS ETF 1C</t>
  </si>
  <si>
    <t>Xtrackers Australia Government Bond UCITS ETF 1C</t>
  </si>
  <si>
    <t>DE000A2QP349</t>
  </si>
  <si>
    <t>iShares MDAXÂ® UCITS ETF (DE) EUR (Dist)</t>
  </si>
  <si>
    <t>LU2182388665</t>
  </si>
  <si>
    <t>Amundi US Treasury Bond 0-1Y UCITS ETF Acc</t>
  </si>
  <si>
    <t>UBS ETF (IE) MSCI Japan ESG Universal Low Carbon Select UCITS ETF (JPY) A-acc</t>
  </si>
  <si>
    <t>Global X Clean Water UCITS ETF</t>
  </si>
  <si>
    <t>DE000A2T0VT7</t>
  </si>
  <si>
    <t>Xtrackers IE Physical Platinum ETC Securities</t>
  </si>
  <si>
    <t>CH1146882308</t>
  </si>
  <si>
    <t>21Shares Bytetree BOLD ETP</t>
  </si>
  <si>
    <t>IE00BLSN7X94</t>
  </si>
  <si>
    <t>UBS ETF (IE) S&amp;P 500 ESG Elite UCITS ETF (hedged to GBP) A-dis</t>
  </si>
  <si>
    <t>Invesco MSCI World ESG Climate Paris Aligned UCITS ETF Acc</t>
  </si>
  <si>
    <t>UBS ETF (IE) UBS Climate Aware Global Developed Equity CTB UCITS ETF (USD) A-acc</t>
  </si>
  <si>
    <t>UBS ETF (IE) MSCI World Small Cap Socially Responsible UCITS ETF (hedged to EUR) A-acc</t>
  </si>
  <si>
    <t>DE000PS7WT17</t>
  </si>
  <si>
    <t>BNPP WTI Ã–l (TR) ETC</t>
  </si>
  <si>
    <t>DE000A4AER62</t>
  </si>
  <si>
    <t>ETC Group Core Bitcoin ETP</t>
  </si>
  <si>
    <t>IE0003A512E4</t>
  </si>
  <si>
    <t>ARK Artificial Intelligence &amp; Robotics UCITS ETF USD Accumulating</t>
  </si>
  <si>
    <t>IE000H0TSO96</t>
  </si>
  <si>
    <t>Franklin Euro IG Corporate UCITS ETF (Dis)</t>
  </si>
  <si>
    <t>Global X S&amp;P 500 Quarterly Tail Hedge UCITS ETF USD Accumulating</t>
  </si>
  <si>
    <t>IE00BMCZLJ20</t>
  </si>
  <si>
    <t>iShares Edge MSCI World Minimum Volatility UCITS ETF USD (Dist)</t>
  </si>
  <si>
    <t>DE000ETFL490</t>
  </si>
  <si>
    <t>Deka Eurozone Rendite Plus 1-10 UCITS ETF</t>
  </si>
  <si>
    <t>IE00BKY53D40</t>
  </si>
  <si>
    <t>HSBC UK Sustainable Equity UCITS ETF GBP</t>
  </si>
  <si>
    <t>HANetf ETC Group Web 3.0 UCITS ETF Acc</t>
  </si>
  <si>
    <t>UBS ETF (LU) Bloomberg US 7-10 Year Treasury Bond UCITS ETF (USD) A-dis</t>
  </si>
  <si>
    <t>LU1589350310</t>
  </si>
  <si>
    <t>Amundi Global Infrastructure UCITS ETF</t>
  </si>
  <si>
    <t>HANetf Saturna Al-Kawthar Global Focused Equity UCITS ETF Acc</t>
  </si>
  <si>
    <t>GB00BMTP1733</t>
  </si>
  <si>
    <t>WisdomTree Physical Crypto Mega Cap Equal Weight</t>
  </si>
  <si>
    <t>IE000GA3D489</t>
  </si>
  <si>
    <t>ARK Innovation UCITS ETF USD Accumulating</t>
  </si>
  <si>
    <t>Invesco Euro Government Bond 7-10 Year UCITS ETF Dist</t>
  </si>
  <si>
    <t>IE000ANYHV73</t>
  </si>
  <si>
    <t>Amundi S&amp;P Global Communication Services ESG UCITS ETF DR EUR (D)</t>
  </si>
  <si>
    <t>IE000V2GJJQ3</t>
  </si>
  <si>
    <t>JPMorgan BetaBuilders China Aggregate Bond UCITS ETF USD Hedged (dist)</t>
  </si>
  <si>
    <t>LU2089238971</t>
  </si>
  <si>
    <t>Amundi Prime Global Government Bond UCITS ETF Acc</t>
  </si>
  <si>
    <t>IE0009SJ3GE3</t>
  </si>
  <si>
    <t>Amundi S&amp;P Global Energy Carbon Reduced UCITS ETF DR EUR (D)</t>
  </si>
  <si>
    <t>IE00B50XJX92</t>
  </si>
  <si>
    <t>UBS ETF (IE) CMCI Composite SF UCITS ETF (hedged to GBP) A-acc</t>
  </si>
  <si>
    <t>IE00BG13YK79</t>
  </si>
  <si>
    <t>iShares Edge MSCI Europe Minimum Volatility UCITS ETF EUR (Dist)</t>
  </si>
  <si>
    <t>IE000J3F4J90</t>
  </si>
  <si>
    <t>HSBC Japan Sustainable Equity UCITS ETF USD (Dist)</t>
  </si>
  <si>
    <t>Amundi Global Aggregate SRI UCITS ETF DR (C)</t>
  </si>
  <si>
    <t>DE000ETFL151</t>
  </si>
  <si>
    <t>Deka iBoxx EUR Liquid Sovereign Diversified 7-10 UCITS ETF</t>
  </si>
  <si>
    <t>IE00BYQCZL35</t>
  </si>
  <si>
    <t>WisdomTree Japan Equity UCITS ETF CHF Hedged Acc</t>
  </si>
  <si>
    <t>IE00B5MJYY16</t>
  </si>
  <si>
    <t>Invesco European Health Care Sector UCITS ETF</t>
  </si>
  <si>
    <t>DE000A0H08P6</t>
  </si>
  <si>
    <t>iShares STOXX Europe 600 Retail UCITS ETF (DE)</t>
  </si>
  <si>
    <t>UBS ETF (LU) Bloomberg MSCI US Liquid Corporates 1-5 Year Sustainable UCITS ETF (USD) A-acc</t>
  </si>
  <si>
    <t>IE000D5R9C23</t>
  </si>
  <si>
    <t>iShares Asia ex Japan Equity Enhanced Active UCITS ETF USD (Acc)</t>
  </si>
  <si>
    <t>UBS ETF (LU) Bloomberg US 1-3 Year Treasury Bond UCITS ETF (hedged to EUR) A-dis</t>
  </si>
  <si>
    <t>Goldman Sachs ActiveBeta Emerging Markets Equity UCITS ETF CLASS USD (Acc.)</t>
  </si>
  <si>
    <t>IE00BLCGR455</t>
  </si>
  <si>
    <t>L&amp;G ESG Emerging Markets Corporate Bond UCITS ETF Acc</t>
  </si>
  <si>
    <t>LU1646359619</t>
  </si>
  <si>
    <t>Amundi Index MSCI Japan SRI PAB UCITS ETF DR Hedged GBP (C)</t>
  </si>
  <si>
    <t>IE000TGSG3Y5</t>
  </si>
  <si>
    <t>First Trust Vest U.S. Equity Moderate Buffer UCITS ETF - August Class A Accumulation</t>
  </si>
  <si>
    <t>UBS ETF (IE) MSCI ACWI Climate Paris Aligned UCITS ETF (USD) A-acc</t>
  </si>
  <si>
    <t>IE000FI414K7</t>
  </si>
  <si>
    <t>iShares UK Property UCITS ETF EUR Hedged (Acc)</t>
  </si>
  <si>
    <t xml:space="preserve">Franklin FTSE Taiwan UCITS ETF </t>
  </si>
  <si>
    <t>WisdomTree Emerging Markets ex-State-Owned Enterprises UCITS ETF</t>
  </si>
  <si>
    <t>LU2090062865</t>
  </si>
  <si>
    <t>Amundi Euro Government Bond 5-7Y UCITS ETF Dist</t>
  </si>
  <si>
    <t>IE00BZ0RTB90</t>
  </si>
  <si>
    <t>UBS ETF (IE) MSCI UK IMI Socially Responsible UCITS ETF (hedged to CHF) A-dis</t>
  </si>
  <si>
    <t>Vanguard ESG Developed Asia Pacific All Cap UCITS ETF (USD) Distributing</t>
  </si>
  <si>
    <t>LU2082997789</t>
  </si>
  <si>
    <t>Amundi STOXX Europe 600 Industrials UCITS ETF Dist</t>
  </si>
  <si>
    <t>IE000H22E3N8</t>
  </si>
  <si>
    <t>iShares Core GBP Corporate Bond UCITS ETF EUR Hedged (Acc)</t>
  </si>
  <si>
    <t>IE00B8X9NX34</t>
  </si>
  <si>
    <t>First Trust Emerging Markets AlphaDEX UCITS ETF Acc</t>
  </si>
  <si>
    <t>IE00B4LJS984</t>
  </si>
  <si>
    <t>Invesco Physical Palladium</t>
  </si>
  <si>
    <t>IE000TB15RC6</t>
  </si>
  <si>
    <t>UBS ETF (IE) MSCI World UCITS ETF (hedged to EUR) A-acc</t>
  </si>
  <si>
    <t>CH0475552201</t>
  </si>
  <si>
    <t>21Shares Bitcoin Cash ETP</t>
  </si>
  <si>
    <t>Amundi Index US Government Inflation-linked Bond UCITS ETF DR USD (C)</t>
  </si>
  <si>
    <t>DE000ETFL169</t>
  </si>
  <si>
    <t>Deka iBoxx EUR Liquid Sovereign Diversified 10+ UCITS ETF</t>
  </si>
  <si>
    <t>IE00BJ5JP212</t>
  </si>
  <si>
    <t>iShares MSCI World Consumer Discretionary Sector ESG UCITS ETF USD (Dist)</t>
  </si>
  <si>
    <t>IE000WXLHR76</t>
  </si>
  <si>
    <t>Tabula EUR Ultrashort IG Bond Paris-aligned Climate UCITS ETF EUR Acc</t>
  </si>
  <si>
    <t>IE00BG13YJ64</t>
  </si>
  <si>
    <t>iShares Edge MSCI Europe Momentum Factor UCITS ETF EUR (Dist)</t>
  </si>
  <si>
    <t>IE0005NYD352</t>
  </si>
  <si>
    <t>Amundi S&amp;P Global Consumer Staples ESG UCITS ETF UCITS ETF EUR (D)</t>
  </si>
  <si>
    <t>Invesco Variable Rate Preferred Shares UCITS ETF</t>
  </si>
  <si>
    <t>IE0009VWHAE6</t>
  </si>
  <si>
    <t>iShares US Equity Enhanced Active UCITS ETF USD (Acc)</t>
  </si>
  <si>
    <t>LU0484969463</t>
  </si>
  <si>
    <t>Xtrackers iBoxx Sovereigns Eurozone AAA Swap UCITS ETF 1C</t>
  </si>
  <si>
    <t>HSBC MSCI Europe UCITS ETF EUR (Acc)</t>
  </si>
  <si>
    <t>GB00BMTP1626</t>
  </si>
  <si>
    <t>WisdomTree Physical Crypto Market</t>
  </si>
  <si>
    <t>BNP Paribas Easy ESG Low Volatility US UCITS ETF</t>
  </si>
  <si>
    <t>IE000NS5HRY9</t>
  </si>
  <si>
    <t>Xtrackers MSCI World High Dividend Yield ESG UCITS ETF 1D</t>
  </si>
  <si>
    <t>LU1215827756</t>
  </si>
  <si>
    <t>Xtrackers MSCI Japan UCITS ETF 7C - CHF Hedged</t>
  </si>
  <si>
    <t>LU2780871401</t>
  </si>
  <si>
    <t>Amundi Fixed Maturity 2028 Euro Government Bond Broad UCITS ETF Dist</t>
  </si>
  <si>
    <t>IE00BFM6T814</t>
  </si>
  <si>
    <t>iShares Emerging Asia Local Government Bond UCITS ETF USD (Acc)</t>
  </si>
  <si>
    <t>IE00BDT6FR16</t>
  </si>
  <si>
    <t>SPDR Refinitiv Global Convertible Bond USD Hedged UCITS ETF</t>
  </si>
  <si>
    <t>LU2809864296</t>
  </si>
  <si>
    <t>Xtrackers II Target Maturity Sept 2030 EUR Corporate Bond UCITS ETF 1D</t>
  </si>
  <si>
    <t>WisdomTree Soybeans</t>
  </si>
  <si>
    <t>Amundi STOXX Europe 600 Basic Materials UCITS ETF Acc</t>
  </si>
  <si>
    <t>IE00034XRBU1</t>
  </si>
  <si>
    <t>Invesco BulletShares 2030 USD Corporate Bond UCITS ETF Acc</t>
  </si>
  <si>
    <t>IE0004IR5U82</t>
  </si>
  <si>
    <t>Goldman Sachs Global Green Bond UCITS ETF GBP Hedged (Dist)</t>
  </si>
  <si>
    <t>LU0942970285</t>
  </si>
  <si>
    <t>Xtrackers II ESG Global Aggregate Bond UCITS ETF 2C - USD Hedged</t>
  </si>
  <si>
    <t>Xtrackers MSCI Global SDG 7 Affordable and Clean Energy UCITS ETF 1C</t>
  </si>
  <si>
    <t>IE000GGQK173</t>
  </si>
  <si>
    <t>abrdn Future Real Estate UCITS ETF USD Accumulating ETF</t>
  </si>
  <si>
    <t>IE00022VXYM7</t>
  </si>
  <si>
    <t>HSBC MSCI AC Far East ex Japan UCITS ETF USD (Dist)</t>
  </si>
  <si>
    <t>IE00BFNNN459</t>
  </si>
  <si>
    <t>WisdomTree AT1 CoCo Bond UCITS ETF GBP Hedged</t>
  </si>
  <si>
    <t>IE00BYXPXK00</t>
  </si>
  <si>
    <t>iShares Edge MSCI World Multifactor UCITS ETF EUR Hedged (Acc)</t>
  </si>
  <si>
    <t>UBS ETF (LU) MSCI EMU Select Factor Mix UCITS ETF (EUR) A-acc</t>
  </si>
  <si>
    <t>IE000YGEAK03</t>
  </si>
  <si>
    <t>WisdomTree US Quality Growth UCITS ETF USD Unhedged Acc</t>
  </si>
  <si>
    <t>IE00BJ06C481</t>
  </si>
  <si>
    <t>Invesco USD IG Corporate Bond ESG UCITS ETF GBP Hedged Dist</t>
  </si>
  <si>
    <t>LU2810185665</t>
  </si>
  <si>
    <t>Xtrackers II Target Maturity Sept 2028 EUR Corporate Bond UCITS ETF 1D</t>
  </si>
  <si>
    <t>IE000GMRDSZ7</t>
  </si>
  <si>
    <t>Invesco BulletShares 2028 USD Corporate Bond UCITS ETF Acc</t>
  </si>
  <si>
    <t>IE000N9MLVT1</t>
  </si>
  <si>
    <t>Xtrackers MSCI Europe Climate Transition UCITS ETF 1C</t>
  </si>
  <si>
    <t>IE00BK63RN45</t>
  </si>
  <si>
    <t>Invesco MSCI Kuwait UCITS ETF Acc</t>
  </si>
  <si>
    <t>Xtrackers MSCI Global SDG 6 Clean Water &amp; Sanitation UCITS ETF 1C</t>
  </si>
  <si>
    <t>LU1686832277</t>
  </si>
  <si>
    <t>Amundi Euro Government Bond 25+Y UCITS ETF Dist</t>
  </si>
  <si>
    <t>IE000X44UYY8</t>
  </si>
  <si>
    <t>Ossiam ESG Shiller Barclays CAPEÂ® Global Sector UCITS ETF 1A (USD)</t>
  </si>
  <si>
    <t>IE0005QL4147</t>
  </si>
  <si>
    <t>iShares USD Ultrashort Bond ESG UCITS ETF USD (Acc)</t>
  </si>
  <si>
    <t>IE000OVF8Q66</t>
  </si>
  <si>
    <t>iShares Emerging Markets Equity Enhanced Active UCITS ETF USD (Acc)</t>
  </si>
  <si>
    <t>LU2082996542</t>
  </si>
  <si>
    <t>Amundi STOXX Europe 600 Basic Materials UCITS ETF Dist</t>
  </si>
  <si>
    <t>HSBC MSCI Japan Climate Paris Aligned UCITS ETF</t>
  </si>
  <si>
    <t>LU1324516720</t>
  </si>
  <si>
    <t>UBS ETF (LU) Bloomberg USD Emerging Markets Sovereign UCITS ETF (hedged to CHF) A-acc</t>
  </si>
  <si>
    <t>Vanguard ESG Emerging Markets All Cap UCITS ETF (USD) Distributing</t>
  </si>
  <si>
    <t>IE000AWT6D61</t>
  </si>
  <si>
    <t>iShares USD Short Duration Corporate Bond UCITS ETF EUR Hedged (Acc)</t>
  </si>
  <si>
    <t>IE000JCGTOP1</t>
  </si>
  <si>
    <t>Ossiam Bloomberg USA PAB UCITS ETF 1A (EUR Hedged)</t>
  </si>
  <si>
    <t>Amundi Prime US Treasury UCITS ETF DR (D)</t>
  </si>
  <si>
    <t>LU2339917168</t>
  </si>
  <si>
    <t>Amundi Index US Government Inflation-Linked Bond UCITS ETF DR Hedged EUR (C)</t>
  </si>
  <si>
    <t>IE00BDBRT036</t>
  </si>
  <si>
    <t>First Trust Nasdaq Clean Edge Green Energy UCITS ETF Acc</t>
  </si>
  <si>
    <t>IE000DD75KQ5</t>
  </si>
  <si>
    <t>SPDR MSCI ACWI IMI UCITS ETF USD Unhedged (Dist)</t>
  </si>
  <si>
    <t>LU1310477036</t>
  </si>
  <si>
    <t>Xtrackers Harvest FTSE China A-H 50 UCITS ETF 1D</t>
  </si>
  <si>
    <t>IE00000EF730</t>
  </si>
  <si>
    <t>iShares Europe Equity Enhanced Active UCITS ETF EUR (Acc)</t>
  </si>
  <si>
    <t>IE00BHXMHR72</t>
  </si>
  <si>
    <t>UBS ETF (IE) S&amp;P 500 ESG UCITS ETF (hedged to GBP) A-dis</t>
  </si>
  <si>
    <t>IE000PL3UFC3</t>
  </si>
  <si>
    <t>iShares Global Real Estate Environmental Tilt UCITS ETF USD (Dist)</t>
  </si>
  <si>
    <t>LU1681038169</t>
  </si>
  <si>
    <t>Amundi Japan Topix UCITS ETF Daily Hedged CHF</t>
  </si>
  <si>
    <t>IE00BK6NC514</t>
  </si>
  <si>
    <t>iShares EUR High Yield Corporate Bond UCITS ETF CHF Hedged (Acc)</t>
  </si>
  <si>
    <t>IE00B5MTXK03</t>
  </si>
  <si>
    <t>Invesco European Utilities Sector UCITS ETF</t>
  </si>
  <si>
    <t>DE000ETFL136</t>
  </si>
  <si>
    <t>Deka iBoxx EUR Liquid Sovereign Diversified 3-5 UCITS ETF</t>
  </si>
  <si>
    <t>LU2408468887</t>
  </si>
  <si>
    <t>UBS ETF (LU) Bloomberg MSCI US Liquid Corporates 1-5 Year Sustainable UCITS ETF (hedged to CHF) A-acc</t>
  </si>
  <si>
    <t>IE00B5MTWZ80</t>
  </si>
  <si>
    <t>Invesco European Technology Sector UCITS ETF</t>
  </si>
  <si>
    <t>LU1221102491</t>
  </si>
  <si>
    <t>Xtrackers DAX ESG Screened UCITS ETF 4C CHF Hedged</t>
  </si>
  <si>
    <t>Xtrackers MSCI Fintech Innovation UCITS ETF 1C</t>
  </si>
  <si>
    <t>LU1280300770</t>
  </si>
  <si>
    <t>UBS ETF (LU) MSCI EMU Socially Responsible UCITS ETF (hedged to USD) A-acc</t>
  </si>
  <si>
    <t>IE000SBU19F7</t>
  </si>
  <si>
    <t>VanEck Morningstar US SMID Moat UCITS ETF A</t>
  </si>
  <si>
    <t>IE00BMDBMW94</t>
  </si>
  <si>
    <t>Invesco MSCI Europe Ex UK ESG Universal Screened UCITS ETF Acc</t>
  </si>
  <si>
    <t>CH0587418630</t>
  </si>
  <si>
    <t>AMINA Ethereum ETP</t>
  </si>
  <si>
    <t>IE00BKSCBW67</t>
  </si>
  <si>
    <t>UBS ETF (IE) MSCI World Small Cap Socially Responsible UCITS ETF (USD) A-dis</t>
  </si>
  <si>
    <t>IE00BHNGHW42</t>
  </si>
  <si>
    <t>Ossiam US Minimum Variance ESG NR UCITS ETF 1A (USD)</t>
  </si>
  <si>
    <t>LU1169830525</t>
  </si>
  <si>
    <t>UBS ETF (LU) MSCI Switzerland 20/35 UCITS ETF (hedged to GBP) A-acc</t>
  </si>
  <si>
    <t>GB00BNRRF105</t>
  </si>
  <si>
    <t>CoinShares Physical Staked Algorand</t>
  </si>
  <si>
    <t>IE00075IVKF9</t>
  </si>
  <si>
    <t>HANetf Sprott Junior Uranium Miners UCITS ETF USD Accumulating</t>
  </si>
  <si>
    <t>IE000GBYNAU4</t>
  </si>
  <si>
    <t>AXA IM ICE US Treasury +25Y UCITS ETF USD Acc</t>
  </si>
  <si>
    <t>IE000YARBD10</t>
  </si>
  <si>
    <t>BNP Paribas Easy Sustainable Japan UCITS ETF EUR Acc</t>
  </si>
  <si>
    <t>Vanguard ESG EUR Corporate Bond UCITS ETF (EUR) Distributing</t>
  </si>
  <si>
    <t>L&amp;G Digital Payments UCITS ETF</t>
  </si>
  <si>
    <t>IE000SNLFDR7</t>
  </si>
  <si>
    <t>iShares iBonds Dec 2029 Term EUR Corporate UCITS ETF EUR (Acc)</t>
  </si>
  <si>
    <t>LU2099991882</t>
  </si>
  <si>
    <t>UBS ETF (LU) Bloomberg MSCI Global Liquid Corporates Sustainable UCITS ETF (hedged to USD) A-acc</t>
  </si>
  <si>
    <t>IE00BYXYX745</t>
  </si>
  <si>
    <t>iShares MSCI Europe Mid Cap UCITS ETF</t>
  </si>
  <si>
    <t>FR0010655704</t>
  </si>
  <si>
    <t>Amundi ETF MSCI France UCITS ETF</t>
  </si>
  <si>
    <t>IE000LOSV2D0</t>
  </si>
  <si>
    <t>Xtrackers USA Biodiversity Focus SRI UCITS ETF 1C</t>
  </si>
  <si>
    <t>IE000X8M8M80</t>
  </si>
  <si>
    <t>First Trust Vest U.S. Equity Moderate Buffer UCITS ETF - February Class A Accumulation</t>
  </si>
  <si>
    <t>GB00BMWB4910</t>
  </si>
  <si>
    <t>CoinShares Physical Chainlink</t>
  </si>
  <si>
    <t>IE00052T92P8</t>
  </si>
  <si>
    <t>Amundi S&amp;P Global Utilities ESG UCITS ETF DR EUR (D)</t>
  </si>
  <si>
    <t>IE00BLCHJC08</t>
  </si>
  <si>
    <t>Global X Robotics &amp; Artificial Intelligence UCITS ETF USD Distributing</t>
  </si>
  <si>
    <t>Invesco USD High Yield Corporate Bond ESG UCITS ETF Dist</t>
  </si>
  <si>
    <t>L&amp;G Emerging Cyber Security ESG Exclusions UCITS ETF USD Accumulating</t>
  </si>
  <si>
    <t>IE00BGYWSW13</t>
  </si>
  <si>
    <t>Vanguard USD Corporate 1-3 Year Bond UCITS ETF (EUR) Hedged Accumulating</t>
  </si>
  <si>
    <t>CH1135202161</t>
  </si>
  <si>
    <t>21Shares Crypto Basket Equal Weight ETP</t>
  </si>
  <si>
    <t>GB00BNRRFW10</t>
  </si>
  <si>
    <t>CoinShares Physical Staked Polkadot</t>
  </si>
  <si>
    <t>LU1681048556</t>
  </si>
  <si>
    <t>Amundi ETF S&amp;P 500 Buyback UCITS ETF USD</t>
  </si>
  <si>
    <t>IE00BKS2X317</t>
  </si>
  <si>
    <t>First Trust Low Duration Global Government Bond UCITS ETF EUR Hedged dist</t>
  </si>
  <si>
    <t>IE00BFMM8Y81</t>
  </si>
  <si>
    <t>iShares Spain Government Bond UCITS ETF USD Hedged (Acc)</t>
  </si>
  <si>
    <t>LU1169830285</t>
  </si>
  <si>
    <t>UBS ETF (LU) MSCI Switzerland 20/35 UCITS ETF (hedged to USD) A-dis</t>
  </si>
  <si>
    <t>IE00B5MTWH09</t>
  </si>
  <si>
    <t>Invesco European Oil &amp; Gas Sector UCITS ETF</t>
  </si>
  <si>
    <t>DE000A2QP398</t>
  </si>
  <si>
    <t>iShares STOXX Europe 600 Technology UCITS ETF (DE) EUR (Acc)</t>
  </si>
  <si>
    <t>LU2090062352</t>
  </si>
  <si>
    <t>Amundi Fed Funds US Dollar Cash UCITS ETF Dist</t>
  </si>
  <si>
    <t>Invesco EUR Government and Related Green Transition UCITS ETF Dist</t>
  </si>
  <si>
    <t>IE000WDG5795</t>
  </si>
  <si>
    <t>iShares Lithium &amp; Battery Producers UCITS ETF USD (Acc)</t>
  </si>
  <si>
    <t>IE00BL0L0D23</t>
  </si>
  <si>
    <t>First Trust Capital Strength UCITS ETF Acc</t>
  </si>
  <si>
    <t>Vanguard LifeStrategy 20% Equity UCITS ETF Distributing</t>
  </si>
  <si>
    <t>IE000WQ16XQ4</t>
  </si>
  <si>
    <t>Xtrackers MSCI Europe High Dividend Yield ESG UCITS ETF 1D</t>
  </si>
  <si>
    <t>IE00BWC52F58</t>
  </si>
  <si>
    <t>PIMCO US Low Duration Corporate Bond UCITS ETF CHF Hedged Acc</t>
  </si>
  <si>
    <t>Invesco Euro Government Bond 5-7 Year UCITS ETF Dist</t>
  </si>
  <si>
    <t>IE000061JZE2</t>
  </si>
  <si>
    <t>Tabula FTSE Indian Government Bond Short Duration UCITS ETF USD Acc</t>
  </si>
  <si>
    <t>IE00BVGC6645</t>
  </si>
  <si>
    <t>Invesco JPX-Nikkei 400 EUR Hedged UCITS ETF</t>
  </si>
  <si>
    <t>DE000A3G3ZL3</t>
  </si>
  <si>
    <t>ETC Group MSCI Digital Assets Select 20 ETP</t>
  </si>
  <si>
    <t>L&amp;G Metaverse ESG Exclusions UCITS ETF USD Accumulating</t>
  </si>
  <si>
    <t>UBS ETF (IE) MSCI USA ESG Universal Low Carbon Select UCITS ETF (USD) A-acc</t>
  </si>
  <si>
    <t>IE000W6L2AI3</t>
  </si>
  <si>
    <t>Xtrackers MSCI EMU Climate Transition UCITS ETF 1C</t>
  </si>
  <si>
    <t>LU0429790743</t>
  </si>
  <si>
    <t>Xtrackers Bloomberg Commodity Swap UCITS ETF 2C EUR Hedged</t>
  </si>
  <si>
    <t>IE00BNC0MH93</t>
  </si>
  <si>
    <t>UBS ETF (IE) MSCI Emerging Markets ex China Socially Responsible UCITS ETF (USD) A-acc</t>
  </si>
  <si>
    <t>WisdomTree Sugar</t>
  </si>
  <si>
    <t>CH1129538448</t>
  </si>
  <si>
    <t>21Shares Polygon ETP</t>
  </si>
  <si>
    <t>LU2082999215</t>
  </si>
  <si>
    <t>Amundi STOXX Europe 600 Utilities UCITS ETF Dist</t>
  </si>
  <si>
    <t>BNP Paribas Easy ECPI Global ESG Med Tech UCITS ETF EUR</t>
  </si>
  <si>
    <t>SPDR Bloomberg 7-10 Year US Treasury Bond UCITS ETF</t>
  </si>
  <si>
    <t>IE00BKVKW020</t>
  </si>
  <si>
    <t>First Trust Value LineÂ® Dividend Index UCITS ETF Acc</t>
  </si>
  <si>
    <t>Xtrackers MSCI Innovation UCITS ETF 1C</t>
  </si>
  <si>
    <t>LU1645386647</t>
  </si>
  <si>
    <t>UBS ETF (LU) J.P. Morgan USD EM Diversified Bond 1-5 UCITS ETF (hedged to GBP) A-dis</t>
  </si>
  <si>
    <t>Global X Autonomous &amp; Electric Vehicles UCITS ETF USD Accumulating</t>
  </si>
  <si>
    <t>IE00BYT5CV85</t>
  </si>
  <si>
    <t>UBS ETF (IE) CMCI ex-Agriculture SF UCITS ETF (hedged to EUR) A-acc</t>
  </si>
  <si>
    <t>LU2809864452</t>
  </si>
  <si>
    <t>Xtrackers II Target Maturity Sept 2032 EUR Corporate Bond UCITS ETF 1D</t>
  </si>
  <si>
    <t>IE0002SCQ8X0</t>
  </si>
  <si>
    <t>iShares MSCI Japan ESG Enhanced UCITS ETF EUR Hedged (Acc)</t>
  </si>
  <si>
    <t>IE000DS9ZCL4</t>
  </si>
  <si>
    <t>JPMorgan China A Research Enhanced Index Equity (ESG) UCITS ETF USD (dist)</t>
  </si>
  <si>
    <t>IE00B5NLX835</t>
  </si>
  <si>
    <t>Invesco European Autos Sector UCITS ETF</t>
  </si>
  <si>
    <t>IE000W8RYVC0</t>
  </si>
  <si>
    <t>iShares MSCI EM ex-China UCITS ETF USD (Dist)</t>
  </si>
  <si>
    <t>BNP Paribas Easy JPM ESG EMU Government Bond IG 1-3Y UCITS ETF Distribution</t>
  </si>
  <si>
    <t>First Trust NYSE Arca Biotechnology UCITS ETF Acc</t>
  </si>
  <si>
    <t>IE0000BH4WF5</t>
  </si>
  <si>
    <t>iShares EUR Corporate Bond ex-Financials UCITS ETF EUR (Acc)</t>
  </si>
  <si>
    <t>IE00089J8KM1</t>
  </si>
  <si>
    <t>iShares Broad EUR High Yield Corporate Bond UCITS ETF USD Hedged (Acc)</t>
  </si>
  <si>
    <t>UBS ETF (IE) MSCI World Climate Paris Aligned UCITS ETF (USD) A-acc</t>
  </si>
  <si>
    <t>WisdomTree Natural Gas - EUR Daily Hedged</t>
  </si>
  <si>
    <t>IE00B5MTY309</t>
  </si>
  <si>
    <t>Invesco European Construction Sector UCITS ETF</t>
  </si>
  <si>
    <t>IE00B8X9NZ57</t>
  </si>
  <si>
    <t>First Trust United Kingdom AlphaDEX UCITS ETF Acc</t>
  </si>
  <si>
    <t>London, Stuttgart</t>
  </si>
  <si>
    <t>IE000LAUZQT6</t>
  </si>
  <si>
    <t>Xtrackers MSCI World Value ESG UCITS ETF 1C</t>
  </si>
  <si>
    <t>Vanguard ESG USD Corporate Bond UCITS ETF (USD) Distributing</t>
  </si>
  <si>
    <t>IE000RJNOUX7</t>
  </si>
  <si>
    <t>JPMorgan BetaBuilders China Aggregate Bond UCITS ETF USD (dist)</t>
  </si>
  <si>
    <t>IE00BJ5JPJ87</t>
  </si>
  <si>
    <t>iShares MSCI Saudi Arabia Capped UCITS ETF USD (Dist)</t>
  </si>
  <si>
    <t>IE000GYDNJS5</t>
  </si>
  <si>
    <t>Xtrackers MSCI USA Climate Transition UCITS ETF 1D</t>
  </si>
  <si>
    <t>LU1772333404</t>
  </si>
  <si>
    <t>Xtrackers Stoxx Europe 600 UCITS ETF 2C - EUR Hedged</t>
  </si>
  <si>
    <t>UBS ETF (IE) MSCI USA Select Factor Mix UCITS ETF (hedged to EUR) A-acc</t>
  </si>
  <si>
    <t>IE000LSFKN16</t>
  </si>
  <si>
    <t>Tabula Global High Yield Fallen Angels Paris-aligned Climate UCITS ETF GBP Hedged Dist</t>
  </si>
  <si>
    <t>Franklin AI Metaverse and Blockchain UCITS ETF</t>
  </si>
  <si>
    <t>IE000CVOSY02</t>
  </si>
  <si>
    <t>Franklin FTSE Developed World UCITS ETF USD Capitalisation</t>
  </si>
  <si>
    <t>Invesco US High Yield Fallen Angels UCITS ETF EUR Hedged Acc</t>
  </si>
  <si>
    <t>Global X Genomics &amp; Biotechnology UCITS ETF</t>
  </si>
  <si>
    <t>GB00BS2BDN04</t>
  </si>
  <si>
    <t>1Valour Internet Computer Physical Staking</t>
  </si>
  <si>
    <t>XETRA, Stuttgart</t>
  </si>
  <si>
    <t>IE000MW6GT38</t>
  </si>
  <si>
    <t>iShares MSCI Japan Climate Transition Aware UCITS ETF USD (Acc)</t>
  </si>
  <si>
    <t>IE00026BEVM6</t>
  </si>
  <si>
    <t>Amundi S&amp;P Global Industrials ESG UCITS ETF UCITS ETF EUR (D)</t>
  </si>
  <si>
    <t>IE000VMAR5O6</t>
  </si>
  <si>
    <t>Xtrackers Europe Biodiversity Focus SRI UCITS ETF 1C</t>
  </si>
  <si>
    <t>IE00BVGC6751</t>
  </si>
  <si>
    <t>Invesco JPX-Nikkei 400 USD Hedged UCITS ETF</t>
  </si>
  <si>
    <t>LU2780871666</t>
  </si>
  <si>
    <t>Amundi Fixed Maturity 2028 Euro Government Bond Yield + UCITS ETF Dist</t>
  </si>
  <si>
    <t>IE00BJP26C72</t>
  </si>
  <si>
    <t>iShares USD Ultrashort Bond ESG UCITS ETF (Dist)</t>
  </si>
  <si>
    <t>GB00BLD4ZP54</t>
  </si>
  <si>
    <t>CoinShares Physical Litecoin</t>
  </si>
  <si>
    <t>Xtrackers IE Physical Platinum EUR Hedged ETC Securities</t>
  </si>
  <si>
    <t>DE000PB8C0P8</t>
  </si>
  <si>
    <t>BNPP Kupfer (TR) ETC</t>
  </si>
  <si>
    <t>IE0003VC1PW8</t>
  </si>
  <si>
    <t>UBS (IE) MSCI AC Asia (ex Japan) ESG Leaders Low Carbon Select UCITS ETF (USD) A-acc</t>
  </si>
  <si>
    <t>LU2278080713</t>
  </si>
  <si>
    <t>Xtrackers Bloomberg Commodity Swap UCITS ETF 1C</t>
  </si>
  <si>
    <t>IE0001XIQ4D9</t>
  </si>
  <si>
    <t>Invesco BulletShares 2027 USD Corporate Bond UCITS ETF Acc</t>
  </si>
  <si>
    <t>LU2470620761</t>
  </si>
  <si>
    <t>Amundi Global Aggregate SRI 1-5 UCITS ETF DR USD (C)</t>
  </si>
  <si>
    <t>IE000LHP8TA1</t>
  </si>
  <si>
    <t>JPMorgan Active Global Aggregate Bond UCITS ETF USD (dist)</t>
  </si>
  <si>
    <t>WisdomTree Cotton</t>
  </si>
  <si>
    <t>IE00BFNNN012</t>
  </si>
  <si>
    <t>WisdomTree AT1 CoCo Bond UCITS ETF USD Hedged</t>
  </si>
  <si>
    <t>JPMorgan Carbon Transition China Equity (CTB) UCITS ETF</t>
  </si>
  <si>
    <t>IE0004KLW911</t>
  </si>
  <si>
    <t>Xtrackers ESG USD Emerging Markets Bond Quality Weighted UCITS ETF 1C</t>
  </si>
  <si>
    <t>IE000D0T0BO1</t>
  </si>
  <si>
    <t>Franklin FTSE Japan UCITS ETF (Acc)</t>
  </si>
  <si>
    <t>IE00BZ0XVG69</t>
  </si>
  <si>
    <t>WisdomTree AT1 CoCo Bond UCITS ETF USD Acc</t>
  </si>
  <si>
    <t>IE000IQQEL77</t>
  </si>
  <si>
    <t>HANetf Sprott Copper Miners ESG Screened UCITS ETF USD Acc</t>
  </si>
  <si>
    <t>IE0005CH3U28</t>
  </si>
  <si>
    <t>JPMorgan Active US Growth UCITS ETF USD (acc)</t>
  </si>
  <si>
    <t>LU2446383338</t>
  </si>
  <si>
    <t>Xtrackers EMU Net Zero Pathway Paris Aligned UCITS ETF 1C</t>
  </si>
  <si>
    <t>IE00BXDZNH00</t>
  </si>
  <si>
    <t>UBS ETF (IE) Factor MSCI USA Prime Value ESG UCITS ETF (hedged to GBP) A-dis</t>
  </si>
  <si>
    <t>Xtrackers MSCI USA ESG Screened UCITS ETF 2C EUR Hedged</t>
  </si>
  <si>
    <t>IE00061J0RC6</t>
  </si>
  <si>
    <t>Amundi S&amp;P Global Consumer Discretionary ESG UCITS ETF DR EUR (D)</t>
  </si>
  <si>
    <t>LU2469335884</t>
  </si>
  <si>
    <t>Amundi Index Euro Corporate SRI UCITS ETF DR Hedged USD (C)</t>
  </si>
  <si>
    <t>IE00BYV03C98</t>
  </si>
  <si>
    <t>Fidelity US Quality Income UCITS ETF Acc (GBP Hedged)</t>
  </si>
  <si>
    <t>UBS ETF (IE) S&amp;P 500 ESG ELITE UCITS ETF (hedged to EUR) A-acc</t>
  </si>
  <si>
    <t>IE00BZ56SY76</t>
  </si>
  <si>
    <t>WisdomTree Eurozone Quality Dividend Growth UCITS ETF EUR</t>
  </si>
  <si>
    <t>IE00BWC52G65</t>
  </si>
  <si>
    <t>PIMCO US Short-Term High Yield Corporate Bond Index UCITS ETF CHF Hedged Acc</t>
  </si>
  <si>
    <t>IE000HPBRE54</t>
  </si>
  <si>
    <t>Goldman Sachs Paris-Aligned Climate World Equity UCITS ETF USD (Acc)</t>
  </si>
  <si>
    <t>LU1407887675</t>
  </si>
  <si>
    <t>Amundi US Treasury Bond 1-3Y UCITS ETF GBP Hedged Dist</t>
  </si>
  <si>
    <t>IE000KLSD4Y8</t>
  </si>
  <si>
    <t>UBS ETF (IE) MSCI World UCITS ETF (hedged to GBP) A-dis</t>
  </si>
  <si>
    <t>LU1324517454</t>
  </si>
  <si>
    <t>UBS ETF (LU) Bloomberg USD Emerging Markets Sovereign UCITS ETF (USD) A-acc</t>
  </si>
  <si>
    <t>IE00BWTNM966</t>
  </si>
  <si>
    <t>First Trust Germany AlphaDEX UCITS ETF Dist</t>
  </si>
  <si>
    <t>IE00BYTH6238</t>
  </si>
  <si>
    <t>First Trust US IPO Index UCITS ETF Acc</t>
  </si>
  <si>
    <t>gettex, London, Euronext Paris, Stuttgart</t>
  </si>
  <si>
    <t>LU2780871823</t>
  </si>
  <si>
    <t>Amundi Fixed Maturity 2027 German Bund Government Bond UCITS ETF Dist</t>
  </si>
  <si>
    <t>Invesco Global High Yield Corporate Bond ESG UCITS ETF Dist</t>
  </si>
  <si>
    <t>IE0001YGXFO5</t>
  </si>
  <si>
    <t>iShares MSCI World Climate Transition Aware UCITS ETF USD (Acc)</t>
  </si>
  <si>
    <t>IE00BNKF6C99</t>
  </si>
  <si>
    <t>Xtrackers MSCI Europe Consumer Discretionary ESG Screened UCITS ETF 1C</t>
  </si>
  <si>
    <t>IE00BMDBMV87</t>
  </si>
  <si>
    <t>Invesco MSCI Japan ESG Universal Screened UCITS ETF Acc</t>
  </si>
  <si>
    <t>Amundi Global Emerging Bond Markit iBoxx UCITS ETF EUR Hedged Dist</t>
  </si>
  <si>
    <t>IE0007O06KL9</t>
  </si>
  <si>
    <t>iShares Russell 2000 Swap UCITS ETF USD (ACC)</t>
  </si>
  <si>
    <t>CH1135202096</t>
  </si>
  <si>
    <t>21Shares Uniswap ETP</t>
  </si>
  <si>
    <t>IE00BYTH5T38</t>
  </si>
  <si>
    <t>SPDR S&amp;P Euro Dividend Aristocrats ESG UCITS ETF (Dist)</t>
  </si>
  <si>
    <t>Amundi Global High Yield Corporate Bond ESG UCITS ETF USD Acc</t>
  </si>
  <si>
    <t>IE0003KQ8JX1</t>
  </si>
  <si>
    <t>JPMorgan Active US Growth UCITS ETF USD (dist)</t>
  </si>
  <si>
    <t>LU2621112452</t>
  </si>
  <si>
    <t>Amundi USD Corporate Bond UCITS ETF GBP Hedged Dist</t>
  </si>
  <si>
    <t>IE00079EUF59</t>
  </si>
  <si>
    <t>Invesco BulletShares 2028 EUR Corporate Bond UCITS ETF EUR Acc</t>
  </si>
  <si>
    <t xml:space="preserve">Franklin MSCI China Paris Aligned Climate UCITS ETF </t>
  </si>
  <si>
    <t>IE000130VPV5</t>
  </si>
  <si>
    <t>BNP Paribas Easy Sustainable US UCITS ETF USD Acc</t>
  </si>
  <si>
    <t>LU2780872128</t>
  </si>
  <si>
    <t>Amundi Fixed Maturity 2027 Italy BTP Government Bond UCITS ETF Dist</t>
  </si>
  <si>
    <t>LU1645386217</t>
  </si>
  <si>
    <t>UBS ETF (LU) J.P. Morgan USD EM Diversified Bond 1-5 UCITS ETF (hedged to CHF) A-acc</t>
  </si>
  <si>
    <t>LU2809864619</t>
  </si>
  <si>
    <t>Xtrackers II Target Maturity Sept 2034 EUR Corporate Bond UCITS ETF 1D</t>
  </si>
  <si>
    <t>LU1681047665</t>
  </si>
  <si>
    <t>Amundi ETF JPX Nikkei 400 UCITS ETF Daily Hedged CHF</t>
  </si>
  <si>
    <t>IE00BDR5H305</t>
  </si>
  <si>
    <t>UBS ETF (IE) Global Gender Equality UCITS ETF (hedged to CHF) A-dis</t>
  </si>
  <si>
    <t>LU1681038086</t>
  </si>
  <si>
    <t>Amundi Japan Topix UCITS ETF Daily Hedged GBP</t>
  </si>
  <si>
    <t>IE0004QWOTD5</t>
  </si>
  <si>
    <t>Invesco BulletShares 2026 EUR Corporate Bond UCITS ETF Acc</t>
  </si>
  <si>
    <t>IE000ZPUEP93</t>
  </si>
  <si>
    <t>iShares S&amp;P U.S. Banks UCITS ETF USD (Dist)</t>
  </si>
  <si>
    <t>LU1481201025</t>
  </si>
  <si>
    <t>IE00055OM853</t>
  </si>
  <si>
    <t>iShares iBonds Dec 2029 Term USD Treasury UCITS ETF USD (Acc)</t>
  </si>
  <si>
    <t>IE000RSCXLM4</t>
  </si>
  <si>
    <t>JPMorgan Active US Equity UCITS ETF USD (acc)</t>
  </si>
  <si>
    <t>IE00B5MTZ595</t>
  </si>
  <si>
    <t>Invesco European Household Sector UCITS ETF</t>
  </si>
  <si>
    <t>Amundi MSCI Brazil UCITS ETF USD (C)</t>
  </si>
  <si>
    <t>XETRA, London, Euronext Paris, SIX Swiss Exchange, Borsa Italiana</t>
  </si>
  <si>
    <t>LU1650488817</t>
  </si>
  <si>
    <t>Amundi Euro Government Bond 3-5Y UCITS ETF Dist</t>
  </si>
  <si>
    <t>LU1737654019</t>
  </si>
  <si>
    <t>Amundi Global Aggregate Bond UCITS ETF DR (D)</t>
  </si>
  <si>
    <t>IE000LGHLQ71</t>
  </si>
  <si>
    <t>Invesco BulletShares 2027 EUR Corporate Bond UCITS ETF EUR Acc</t>
  </si>
  <si>
    <t>IE000LJG9WK1</t>
  </si>
  <si>
    <t>Tabula GCC Sovereign USD Bonds UCITS ETF (USD) GBP Hedged Dist</t>
  </si>
  <si>
    <t>IE000U3XZQN5</t>
  </si>
  <si>
    <t>iShares MSCI Europe Climate Transition Aware UCITS ETF EUR (Acc)</t>
  </si>
  <si>
    <t>Ossiam US ESG Low Carbon Equity Factors UCITS ETF 1A (EUR)</t>
  </si>
  <si>
    <t>LU1221100792</t>
  </si>
  <si>
    <t>Xtrackers DAX ESG Screened UCITS ETF 2C USD Hedged</t>
  </si>
  <si>
    <t>DE000A2QP323</t>
  </si>
  <si>
    <t>iShares TecDAXÂ® UCITS ETF (DE) EUR (Dist)</t>
  </si>
  <si>
    <t>IE00BF2FN752</t>
  </si>
  <si>
    <t>Invesco US Treasury Bond 7-10 Year UCITS ETF Acc</t>
  </si>
  <si>
    <t>IE0006FDYJF8</t>
  </si>
  <si>
    <t>Xtrackers MSCI Japan Climate Transition UCITS ETF 1D</t>
  </si>
  <si>
    <t>IE000TD3TI26</t>
  </si>
  <si>
    <t>JPMorgan Active US Value UCITS ETF USD (acc)</t>
  </si>
  <si>
    <t>LU0292104030</t>
  </si>
  <si>
    <t>Xtrackers MSCI Europe Communication Services ESG Screened UCITS ETF 1C</t>
  </si>
  <si>
    <t>LU1407891602</t>
  </si>
  <si>
    <t>Lyxor iBoxx GBP Liquid Corporates Long Dated UCITS ETF - Dist</t>
  </si>
  <si>
    <t>IE00BLDGHX39</t>
  </si>
  <si>
    <t>UBS ETF (IE) US Equity Defensive Covered Call SF UCITS ETF (USD) A-acc</t>
  </si>
  <si>
    <t>IE000DTA2ZH9</t>
  </si>
  <si>
    <t>JPMorgan Active US Value UCITS ETF USD (dist)</t>
  </si>
  <si>
    <t>Xtrackers Europe Net Zero Pathway Paris Aligned UCITS ETF 1C</t>
  </si>
  <si>
    <t>IE0004OYBZA6</t>
  </si>
  <si>
    <t>iShares iBonds Dec 2027 Term USD Treasury UCITS ETF USD (Acc)</t>
  </si>
  <si>
    <t>LU0460391906</t>
  </si>
  <si>
    <t>Xtrackers Bloomberg Commodity ex-Agriculture &amp; Livestock Swap UCITS ETF 3C GBP Hedged</t>
  </si>
  <si>
    <t>IE00B5MTYK77</t>
  </si>
  <si>
    <t>Invesco European Financials Sector UCITS ETF</t>
  </si>
  <si>
    <t>IE000V04SL39</t>
  </si>
  <si>
    <t>Xtrackers MSCI USA High Dividend Yield ESG UCITS ETF 1D</t>
  </si>
  <si>
    <t>DE000A3GN5J9</t>
  </si>
  <si>
    <t>ETC Group Physical Litecoin</t>
  </si>
  <si>
    <t xml:space="preserve">Franklin MSCI Emerging Markets Paris Aligned Climate UCITS ETF </t>
  </si>
  <si>
    <t>IE00B5MJYX09</t>
  </si>
  <si>
    <t>Invesco European Industrials Sector UCITS ETF Acc</t>
  </si>
  <si>
    <t>IE000REVDBO3</t>
  </si>
  <si>
    <t>Goldman Sachs Global Green Bond UCITS ETF USD Hedged (Dist)</t>
  </si>
  <si>
    <t>IE000E9W0ID3</t>
  </si>
  <si>
    <t>iShares MSCI Global Telecommunication Services UCITS ETF USD (Acc)</t>
  </si>
  <si>
    <t>KraneShares Electric Vehicles &amp; Future Mobility ESG Screened UCITS ETF USD</t>
  </si>
  <si>
    <t>IE000QOU09J7</t>
  </si>
  <si>
    <t>iShares China Large Cap UCITS ETF USD (Acc)</t>
  </si>
  <si>
    <t>DE000A3GSUC5</t>
  </si>
  <si>
    <t>VanEck Polkadot ETN</t>
  </si>
  <si>
    <t>Vanguard ESG USD Corporate Bond UCITS ETF EUR Hedged Accumulating</t>
  </si>
  <si>
    <t>JPMorgan Global High Yield Corporate Bond Multi-Factor UCITS ETF EUR Hedged (dist)</t>
  </si>
  <si>
    <t>VanEck New China ESG UCITS ETF A</t>
  </si>
  <si>
    <t>IE000LZ7BZW8</t>
  </si>
  <si>
    <t>iShares iBonds Dec 2026 Term EUR Italy Government Bond UCITS ETF EUR (Dist)</t>
  </si>
  <si>
    <t>UBS ETF (IE) MSCI Pacific (ex Japan) IMI Socially Responsible UCITS ETF (USD) A-acc</t>
  </si>
  <si>
    <t>Rize Digital Payments Economy UCITS ETF</t>
  </si>
  <si>
    <t>IE00BG88WL21</t>
  </si>
  <si>
    <t>WisdomTree Enhanced Commodity UCITS ETF CHF Hedged Acc</t>
  </si>
  <si>
    <t>IE00BLCH1X54</t>
  </si>
  <si>
    <t>Invesco US Treasury Bond 0-1 Year UCITS ETF EUR Hedged Acc</t>
  </si>
  <si>
    <t>HSBC World ESG Biodiversity Screened Equity UCITS ETF USD (Acc)</t>
  </si>
  <si>
    <t>IE000WP7CVZ7</t>
  </si>
  <si>
    <t>Amundi S&amp;P Global Materials ESG UCITS ETF DR EUR (D)</t>
  </si>
  <si>
    <t>LU1737653631</t>
  </si>
  <si>
    <t>Amundi Index J.P. Morgan GBI Global Govies UCITS ETF DR EUR (D)</t>
  </si>
  <si>
    <t>IE00BF2FNL98</t>
  </si>
  <si>
    <t>Invesco US Treasury Bond 1-3 Year UCITS ETF GBP Hedged Dist</t>
  </si>
  <si>
    <t>CH1109575535</t>
  </si>
  <si>
    <t>21Shares Stellar ETP</t>
  </si>
  <si>
    <t>LU1169821029</t>
  </si>
  <si>
    <t>UBS ETF (LU) MSCI United Kingdom UCITS ETF (hedged to EUR) A-dis</t>
  </si>
  <si>
    <t>SPDR MSCI World Climate Paris Aligned UCITS ETF USD Unhedged (Acc)</t>
  </si>
  <si>
    <t>DE000A3GXNV0</t>
  </si>
  <si>
    <t>VanEck Chainlink ETN</t>
  </si>
  <si>
    <t>IE0002PA3YE5</t>
  </si>
  <si>
    <t>iShares MSCI USA Momentum Factor ESG UCITS ETF USD (Acc)</t>
  </si>
  <si>
    <t>IE000P5IB8I8</t>
  </si>
  <si>
    <t>Invesco BulletShares 2029 EUR Corporate Bond UCITS ETF EUR Acc</t>
  </si>
  <si>
    <t>IE0000EAPBT6</t>
  </si>
  <si>
    <t>JPMorgan US Equity Premium Income Active UCITS ETF USD (acc)</t>
  </si>
  <si>
    <t>IE000MY0C911</t>
  </si>
  <si>
    <t>HSBC Global Corporate Bond UCITS ETF C EUR Hedged</t>
  </si>
  <si>
    <t>IE00BG04LT92</t>
  </si>
  <si>
    <t>Xtrackers USD High Yield Corporate Bond UCITS ETF 2C EUR Hedged</t>
  </si>
  <si>
    <t>IE000N6I8IU2</t>
  </si>
  <si>
    <t>JPMorgan Nasdaq Equity Premium Income Active UCITS ETF USD (acc)</t>
  </si>
  <si>
    <t>UBS ETF (IE) MSCI Europe Climate Paris Aligned UCITS ETF (EUR) A-acc</t>
  </si>
  <si>
    <t>IE000HARJEE2</t>
  </si>
  <si>
    <t>iShares Core FTSE 100 UCITS ETF EUR Hedged (Acc)</t>
  </si>
  <si>
    <t>LU2090063160</t>
  </si>
  <si>
    <t>Amundi MSCI Eastern Europe Ex Russia UCITS ETF Dist</t>
  </si>
  <si>
    <t>First Trust Dow Jones International Internet UCITS ETF Acc</t>
  </si>
  <si>
    <t>UBS ETF (LU) Solactive China Technology UCITS ETF (hedged to EUR) A-acc</t>
  </si>
  <si>
    <t>GB00BNRRB013</t>
  </si>
  <si>
    <t>CoinShares Physical Staked Matic</t>
  </si>
  <si>
    <t>VanEck Genomics and Healthcare Innovators UCITS ETF A</t>
  </si>
  <si>
    <t>GB00BLBDZV05</t>
  </si>
  <si>
    <t>Global X Bitcoin ETP</t>
  </si>
  <si>
    <t>VanEck Sustainable Future of Food UCITS ETF</t>
  </si>
  <si>
    <t>SPDR MSCI ACWI Climate Paris Aligned UCITS ETF Acc USD</t>
  </si>
  <si>
    <t>Global X Disruptive Materials UCITS ETF USD Accumulating</t>
  </si>
  <si>
    <t>VanEck Bionic Engineering UCITS ETF A</t>
  </si>
  <si>
    <t>WisdomTree Global Quality Dividend Growth UCITS ETF EUR Hedged Acc</t>
  </si>
  <si>
    <t>IE00B5MTYL84</t>
  </si>
  <si>
    <t>Invesco European Food &amp; Bev Sector UCITS ETF</t>
  </si>
  <si>
    <t>VanEck Circular Economy UCITS ETF A</t>
  </si>
  <si>
    <t>LU1681039308</t>
  </si>
  <si>
    <t>Amundi JPX Nikkei 400 UCITS ETF Daily Hedged GBP</t>
  </si>
  <si>
    <t>IE000MGAVJV3</t>
  </si>
  <si>
    <t>iShares MSCI USA Climate Transition Aware UCITS ETF USD (Acc)</t>
  </si>
  <si>
    <t>LU2564007743</t>
  </si>
  <si>
    <t>CASE Invest Sustainable Future UCITS ETF (Acc)</t>
  </si>
  <si>
    <t>IE00BDR5GY45</t>
  </si>
  <si>
    <t>UBS ETF (IE) Global Gender Equality UCITS ETF (hedged to USD) A-acc</t>
  </si>
  <si>
    <t>LU1981860668</t>
  </si>
  <si>
    <t>Amundi Global Aggregate Green Bond 1-10Y UCITS ETF CHF Hedged Acc</t>
  </si>
  <si>
    <t>UBS ETF (IE) Factor MSCI USA Low Volatility UCITS ETF (hedged to EUR) A-acc</t>
  </si>
  <si>
    <t>LU2641054122</t>
  </si>
  <si>
    <t>Xtrackers II Eurozone Government Bond 0-1 UCITS ETF 1C</t>
  </si>
  <si>
    <t>IE000UCFZI88</t>
  </si>
  <si>
    <t>iShares Core GBP Corporate Bond UCITS ETF USD Hedged (Acc)</t>
  </si>
  <si>
    <t>DE000PB6R1B1</t>
  </si>
  <si>
    <t>BNPP RICI Enhanced Brent Ã–l (TR) ETC</t>
  </si>
  <si>
    <t>Tabula US Enhanced Inflation UCITS ETF EUR Hedged Acc</t>
  </si>
  <si>
    <t>IE00BG13YL86</t>
  </si>
  <si>
    <t>iShares Edge MSCI Europe Multifactor UCITS ETF EUR (Dist)</t>
  </si>
  <si>
    <t>LU1681044050</t>
  </si>
  <si>
    <t>Amundi MSCI China Tech ESG Screened UCITS ETF USD Acc</t>
  </si>
  <si>
    <t>Xtrackers II ESG Global Government Bond UCITS ETF 1D</t>
  </si>
  <si>
    <t>IE000P334X90</t>
  </si>
  <si>
    <t>JPMorgan AC Asia Pacific ex Japan Research Enhanced Index Equity (ESG) UCITS ETF USD (dist)</t>
  </si>
  <si>
    <t>IE0001ZFMLN7</t>
  </si>
  <si>
    <t>iShares NASDAQ 100 Swap UCITS ETF USD (Acc)</t>
  </si>
  <si>
    <t>Amundi Global Aggregate Green Bond 1-10Y UCITS ETF EUR Hedged Acc</t>
  </si>
  <si>
    <t>IE00BTGD1B38</t>
  </si>
  <si>
    <t>Xtrackers MSCI Japan ESG Screened UCITS ETF 4C USD Hedged</t>
  </si>
  <si>
    <t>LU2662649412</t>
  </si>
  <si>
    <t>Xtrackers II US Treasuries 10+ UCITS ETF 1D</t>
  </si>
  <si>
    <t>LU0942970368</t>
  </si>
  <si>
    <t>Xtrackers II ESG Global Aggregate Bond UCITS ETF 3D - GBP Hedged</t>
  </si>
  <si>
    <t>Global X Hydrogen UCITS ETF USD Accumulating</t>
  </si>
  <si>
    <t>CH1315732268</t>
  </si>
  <si>
    <t>Xtrackers Galaxy Physical Ethereum ETC Securities</t>
  </si>
  <si>
    <t>UBS ETF (IE) MSCI EMU Climate Paris Aligned UCITS ETF (EUR) A-acc</t>
  </si>
  <si>
    <t>L&amp;G Global Thematic ESG Exclusions UCITS ETF USD Accumulating</t>
  </si>
  <si>
    <t>IE00BDB7J586</t>
  </si>
  <si>
    <t>Xtrackers MSCI USA Minimum Volatility UCITS ETF 1D</t>
  </si>
  <si>
    <t>CH1146882316</t>
  </si>
  <si>
    <t>21Shares Algorand ETP</t>
  </si>
  <si>
    <t>GB00BNRRG624</t>
  </si>
  <si>
    <t>CoinShares Physical Uniswap</t>
  </si>
  <si>
    <t>First Trust Indxx NextG UCITS ETF Acc</t>
  </si>
  <si>
    <t>London, Euronext Paris, Stuttgart, Borsa Italiana</t>
  </si>
  <si>
    <t>IE00BDR5H297</t>
  </si>
  <si>
    <t>UBS ETF (IE) Global Gender Equality UCITS ETF (hedged to GBP) A-acc</t>
  </si>
  <si>
    <t>HANetf Sprott Energy Transition Materials UCITS ETF</t>
  </si>
  <si>
    <t>SPDR MSCI Emerging Markets Climate Paris Aligned UCITS ETF USD Unhedged (Acc)</t>
  </si>
  <si>
    <t>LU2469335298</t>
  </si>
  <si>
    <t>Amundi Index MSCI Pacific ex Japan SRI PAB UCITS ETF DR GBP (D)</t>
  </si>
  <si>
    <t>IE0003ZXNJY5</t>
  </si>
  <si>
    <t>iShares Global Timber &amp; Forestry UCITS ETF USD (Acc)</t>
  </si>
  <si>
    <t>WisdomTree Gasoline</t>
  </si>
  <si>
    <t>Xtrackers MSCI Global SDG 12 Circular Economy UCITS ETF 1C</t>
  </si>
  <si>
    <t>LU2090062782</t>
  </si>
  <si>
    <t>Amundi Euro Government Bond 15+Y UCITS ETF Dist</t>
  </si>
  <si>
    <t>DE000A3GTML1</t>
  </si>
  <si>
    <t>DDA Physical Ethereum ETP</t>
  </si>
  <si>
    <t>IE000Q2EQ5K8</t>
  </si>
  <si>
    <t>iShares iBonds Dec 2028 Term EUR Italy Government Bond UCITS ETF EUR (Dist)</t>
  </si>
  <si>
    <t>Ossiam Shiller Barclays CAPE Global Sector Value UCITS ETF 1C (EUR)</t>
  </si>
  <si>
    <t>LU1273489440</t>
  </si>
  <si>
    <t>UBS ETF (LU) MSCI Japan Socially Responsible UCITS ETF (hedged to USD) A-acc</t>
  </si>
  <si>
    <t>IE000Z9UVQ99</t>
  </si>
  <si>
    <t>L&amp;G Asia Pacific ex Japan ESG Exclusions Paris Aligned UCITS ETF USD Accumulating ETF</t>
  </si>
  <si>
    <t>IE000WY37YU4</t>
  </si>
  <si>
    <t>iShares EUR Corporate Bond 1-5yr UCITS ETF GBP Hedged (Dist)</t>
  </si>
  <si>
    <t>Global X Solar UCITS ETF USD Accumulating</t>
  </si>
  <si>
    <t>IE00BJM0B415</t>
  </si>
  <si>
    <t>iShares MSCI EMU SRI UCITS ETF EUR (Dist)</t>
  </si>
  <si>
    <t>IE00076HZIP3</t>
  </si>
  <si>
    <t>iShares iBonds Dec 2029 Term USD Treasury UCITS ETF USD (Dist)</t>
  </si>
  <si>
    <t>WisdomTree Petroleum</t>
  </si>
  <si>
    <t>GB00B15KXY63</t>
  </si>
  <si>
    <t>WisdomTree Heating Oil</t>
  </si>
  <si>
    <t>JE00BN7KB771</t>
  </si>
  <si>
    <t>WisdomTree Lean Hogs</t>
  </si>
  <si>
    <t>Tabula EUR HY Bond Paris-aligned Climate UCITS ETF Acc</t>
  </si>
  <si>
    <t>IE00BL0BMG90</t>
  </si>
  <si>
    <t>iShares Global Government Bond Climate UCITS ETF USD (Dist)</t>
  </si>
  <si>
    <t>Invesco Quantitative Strategies Global Equity Low Volatility Low Carbon UCITS ETF Acc</t>
  </si>
  <si>
    <t>IE00BLDGHQ61</t>
  </si>
  <si>
    <t>UBS ETF (IE) Euro Equity Defensive Covered Call SF UCITS ETF (EUR) A-acc</t>
  </si>
  <si>
    <t>BG9000011163</t>
  </si>
  <si>
    <t>Expat Bulgaria SOFIX UCITS ETF</t>
  </si>
  <si>
    <t>Bulgaria</t>
  </si>
  <si>
    <t>BGN</t>
  </si>
  <si>
    <t>IE0000MOWF88</t>
  </si>
  <si>
    <t>Vanguard ESG USD Corporate Bond UCITS ETF GBP Hedged Accumulating</t>
  </si>
  <si>
    <t>Global X Video Games &amp; Esports UCITS ETF Acc USD</t>
  </si>
  <si>
    <t>IE00B8JDT196</t>
  </si>
  <si>
    <t>iShares J.P. Morgan ESG USD EM Investment Grade Bond UCITS ETF USD (Dist)</t>
  </si>
  <si>
    <t>IE000SSFEUS3</t>
  </si>
  <si>
    <t>iShares USD Treasury Bond 0-3 Month UCITS ETF USD (Acc)</t>
  </si>
  <si>
    <t>IE000I25S1V5</t>
  </si>
  <si>
    <t>Invesco BulletShares 2030 EUR Corporate Bond UCITS ETF EUR Acc</t>
  </si>
  <si>
    <t>LU1169830012</t>
  </si>
  <si>
    <t>UBS ETF (LU) MSCI Switzerland 20/35 UCITS ETF (hedged to EUR) A-dis</t>
  </si>
  <si>
    <t>Invesco EUR Corporate Bond ESG Multi-Factor UCITS ETF Acc</t>
  </si>
  <si>
    <t>JPMorgan Carbon Transition Global Equity UCITS ETF EUR Hedged (acc)</t>
  </si>
  <si>
    <t>IE000O5M6XO1</t>
  </si>
  <si>
    <t>ARK Genomic Revolution UCITS ETF USD Accumulating</t>
  </si>
  <si>
    <t>LU2523866379</t>
  </si>
  <si>
    <t>Xtrackers II Germany Government Bond UCITS ETF 2C - USD Hedged</t>
  </si>
  <si>
    <t>Global X Telemedicine &amp; Digital Health UCITS ETF Acc USD</t>
  </si>
  <si>
    <t>WisdomTree Wheat - EUR Daily Hedged</t>
  </si>
  <si>
    <t>IE000KHX9DX6</t>
  </si>
  <si>
    <t>WisdomTree Energy Transition Metals and Rare Earths Miners UCITS ETF USD Unhedged Acc</t>
  </si>
  <si>
    <t>IE00BQQPV184</t>
  </si>
  <si>
    <t>SPDR MSCI Japan Climate Paris Aligned UCITS ETF JPY Unhedged</t>
  </si>
  <si>
    <t>LU1481201611</t>
  </si>
  <si>
    <t>WisdomTree BioRevolution UCITS ETF USD Acc</t>
  </si>
  <si>
    <t>DE000A2QP4A8</t>
  </si>
  <si>
    <t>iShares STOXX Europe 600 Automobiles &amp; Parts UCITS ETF (DE) EUR (Acc)</t>
  </si>
  <si>
    <t>GB00BNGJ9J32</t>
  </si>
  <si>
    <t>WisdomTree Physical Cardano</t>
  </si>
  <si>
    <t>IE0006UGU3X3</t>
  </si>
  <si>
    <t>iShares iBonds Dec 2027 Term USD Treasury UCITS ETF USD (Dist)</t>
  </si>
  <si>
    <t>Global X FinTech UCITS ETF USD Accumulating</t>
  </si>
  <si>
    <t>Xtrackers MSCI Genomic Healthcare Innovation UCITS ETF 1C</t>
  </si>
  <si>
    <t>IE0002UMVXQ1</t>
  </si>
  <si>
    <t>JPMorgan US Research Enhanced Index Equity SRI Paris Aligned UCITS ETF USD (dist)</t>
  </si>
  <si>
    <t>IE000JL9SV51</t>
  </si>
  <si>
    <t>Tabula Global High Yield Fallen Angels Paris-aligned Climate UCITS ETF (USD) Acc</t>
  </si>
  <si>
    <t>BNP Paribas Easy EUR High Yield SRI Fossil Free UCITS ETF Dis</t>
  </si>
  <si>
    <t>JE00B6SV8B36</t>
  </si>
  <si>
    <t>WisdomTree Broad Commodities Ex-Agriculture and Livestock</t>
  </si>
  <si>
    <t>LU1602145200</t>
  </si>
  <si>
    <t>Amundi Index Equity Global Multi Smart Allocation Scientific Beta UCITS ETF DR USD</t>
  </si>
  <si>
    <t>DE000PZ9REB6</t>
  </si>
  <si>
    <t>BNPP RICI Enhanced Brent Crude Oil (ER) Index EUR Hedge ETC</t>
  </si>
  <si>
    <t>IE000IUNJSL2</t>
  </si>
  <si>
    <t>SPDR Bloomberg 0-3 Year Euro Corporate Bond UCITS ETF EUR Unhedged (Acc)</t>
  </si>
  <si>
    <t>LU2469335611</t>
  </si>
  <si>
    <t>Amundi Global Aggregate SRI UCITS ETF DR Hedged USD (C)</t>
  </si>
  <si>
    <t>Global X Cloud Computing UCITS ETF</t>
  </si>
  <si>
    <t>IE00BLB2GT26</t>
  </si>
  <si>
    <t>iShares Moderate Portfolio UCITS ETF USD Hedged (Acc)</t>
  </si>
  <si>
    <t>IE000W6YTDH7</t>
  </si>
  <si>
    <t>Invesco BulletShares 2030 EUR Corporate Bond UCITS ETF EUR Dis</t>
  </si>
  <si>
    <t>IE00BXDZNQ90</t>
  </si>
  <si>
    <t>UBS ETF (IE) MSCI Australia UCITS ETF (hedged to GBP) A-acc</t>
  </si>
  <si>
    <t>LU2662649503</t>
  </si>
  <si>
    <t>Xtrackers II US Treasuries 3-7 UCITS ETF 1D</t>
  </si>
  <si>
    <t>JPMorgan USD Corporate Bond Research Enhanced Index (ESG) UCITS ETF EUR Hedged</t>
  </si>
  <si>
    <t>JPMorgan US Research Enhanced Index Equity SRI Paris Aligned UCITS ETF EUR Hedged (acc)</t>
  </si>
  <si>
    <t>IE000HLUHPT1</t>
  </si>
  <si>
    <t>L&amp;G Japan ESG Exclusions Paris Aligned UCITS ETF USD Accumulating ETF</t>
  </si>
  <si>
    <t>DE000A3GYNB0</t>
  </si>
  <si>
    <t>ETC Group Physical XRP</t>
  </si>
  <si>
    <t>BGSLOBI02187</t>
  </si>
  <si>
    <t>Expat Slovenia SBI TOP UCITS ETF</t>
  </si>
  <si>
    <t>LU2697596828</t>
  </si>
  <si>
    <t>BNP Paribas Easy Sustainable EUR Corporate Bond UCITS ETF Distribution</t>
  </si>
  <si>
    <t>IE00BNDS1X14</t>
  </si>
  <si>
    <t>Vanguard ESG Global Corporate Bond UCITS ETF USD Hedged Distributing</t>
  </si>
  <si>
    <t>LU1681046188</t>
  </si>
  <si>
    <t>Amundi Global BioEnergy ESG Screened UCITS ETF USD Acc</t>
  </si>
  <si>
    <t>IE000RN036E0</t>
  </si>
  <si>
    <t>First Trust Alerian Disruptive Technology Real Estate UCITS ETF Acc</t>
  </si>
  <si>
    <t>BNP Paribas Easy ESG Momentum Europe UCITS ETF</t>
  </si>
  <si>
    <t>IE00B5MTZ488</t>
  </si>
  <si>
    <t>Invesco European Media Sector UCITS ETF</t>
  </si>
  <si>
    <t>LU2641053827</t>
  </si>
  <si>
    <t>Xtrackers II iBoxx Eurozone Government Bond Yield Plus 0-1 UCITS ETF 1C</t>
  </si>
  <si>
    <t>IE00BD9N0445</t>
  </si>
  <si>
    <t>First Trust United Kingdom AlphaDEX UCITS ETF Dist</t>
  </si>
  <si>
    <t>Global X Renewable Energy Producers UCITS ETF USD Accumulating</t>
  </si>
  <si>
    <t>LU1481201702</t>
  </si>
  <si>
    <t>LU2662649685</t>
  </si>
  <si>
    <t>Xtrackers II US Treasuries 7-10 UCITS ETF 1D</t>
  </si>
  <si>
    <t>WisdomTree US Equity Income UCITS ETF EUR Hedged Acc</t>
  </si>
  <si>
    <t>IE0004W4ZVJ5</t>
  </si>
  <si>
    <t>Amundi JP Morgan INR India Government Bond UCITS ETF UCITS ETF Acc</t>
  </si>
  <si>
    <t>LU1981860239</t>
  </si>
  <si>
    <t>Amundi Global Aggregate Green Bond 1-10Y UCITS ETF USD Hedged Acc</t>
  </si>
  <si>
    <t>WisdomTree Softs</t>
  </si>
  <si>
    <t>GB00BMWB4803</t>
  </si>
  <si>
    <t>CoinShares Physical Staked Tezos</t>
  </si>
  <si>
    <t>IE000GE4QIR1</t>
  </si>
  <si>
    <t>Invesco US Treasury Bond 10+ Year UCITS ETF Acc</t>
  </si>
  <si>
    <t>UBS ETF (LU) Global Green Bond ESG 1-10 UCITS ETF (hedged to EUR) A-acc</t>
  </si>
  <si>
    <t>Global X Wind Energy UCITS ETF USD Accumulating</t>
  </si>
  <si>
    <t>IE000L2IS494</t>
  </si>
  <si>
    <t>Xtrackers MSCI Global SDGs Social Fairness Contributors UCITS ETF 1C</t>
  </si>
  <si>
    <t>LU0820950128</t>
  </si>
  <si>
    <t>Xtrackers iBoxx EUR Liquid Covered Swap UCITS ETF 1C</t>
  </si>
  <si>
    <t>LU2606055775</t>
  </si>
  <si>
    <t>Amundi Global Aggregate SRI 1-5 UCITS ETF DR Hedged CHF (C)</t>
  </si>
  <si>
    <t>IE00BHJYDT11</t>
  </si>
  <si>
    <t>Invesco Variable Rate Preferred Shares UCITS ETF A</t>
  </si>
  <si>
    <t>JPMorgan BetaBuilders China Aggregate Bond UCITS ETF USD (acc)</t>
  </si>
  <si>
    <t>JE00B24DMC49</t>
  </si>
  <si>
    <t>WisdomTree Broad Commodities Longer Dated</t>
  </si>
  <si>
    <t>JE00BPRDNM93</t>
  </si>
  <si>
    <t>CoinShares Physical Smart Contract Platform ETP</t>
  </si>
  <si>
    <t>LU1650492504</t>
  </si>
  <si>
    <t>Amundi FTSE 100 UCITS ETF USD Hedged Acc</t>
  </si>
  <si>
    <t>IE000BZFW5H7</t>
  </si>
  <si>
    <t>JPMorgan Active US Equity UCITS ETF EUR Hedged (acc)</t>
  </si>
  <si>
    <t>IE000NA8E2W0</t>
  </si>
  <si>
    <t>L&amp;G ESG USD Corporate Bond UCITS ETF EUR Hedged Acc</t>
  </si>
  <si>
    <t>CH1210548892</t>
  </si>
  <si>
    <t>21Shares Staking Basket Index ETP</t>
  </si>
  <si>
    <t>IE000WYTQSF9</t>
  </si>
  <si>
    <t>HANetf INQQ India Internet UCITS ETF Acc</t>
  </si>
  <si>
    <t>WisdomTree Soybean Oil</t>
  </si>
  <si>
    <t>IE00BM8R0H36</t>
  </si>
  <si>
    <t>Global X Nasdaq 100 Covered Call UCITS ETF USD Accumulating</t>
  </si>
  <si>
    <t>Xtrackers II TIPS US Inflation-Linked Bond UCITS ETF 1C</t>
  </si>
  <si>
    <t>DE000A3GXNT4</t>
  </si>
  <si>
    <t>VanEck Smart Contract Leaders ETN</t>
  </si>
  <si>
    <t>L&amp;G Optical Technology &amp; Photonics ESG Exclusions UCITS ETF USD Accumulating</t>
  </si>
  <si>
    <t>WisdomTree US Quality Dividend Growth UCITS ETF - EUR Hedged Acc</t>
  </si>
  <si>
    <t>IndexIQ Factors Sustainable Sovereign Euro Bond UCITS ETF</t>
  </si>
  <si>
    <t>IE00BYTH6121</t>
  </si>
  <si>
    <t>First Trust Global Equity Income UCITS ETF Acc</t>
  </si>
  <si>
    <t>IE000AWRDWI7</t>
  </si>
  <si>
    <t>Invesco ChiNext 50 UCITS ETF Acc</t>
  </si>
  <si>
    <t>JPMorgan Green Social Sustainable Bond UCITS ETF EUR Hedged (acc)</t>
  </si>
  <si>
    <t>Invesco Global High Yield Corporate Bond ESG UCITS ETF EUR PfHdg Acc</t>
  </si>
  <si>
    <t>IE0001VDDL68</t>
  </si>
  <si>
    <t>Invesco Global High Yield Corporate Bond ESG UCITS ETF Acc</t>
  </si>
  <si>
    <t>IE000W336086</t>
  </si>
  <si>
    <t>iShares China CNY Bond UCITS ETF EUR Hedged (Dist)</t>
  </si>
  <si>
    <t>LU2462217071</t>
  </si>
  <si>
    <t>Xtrackers II ESG Global Government Bond UCITS ETF 1C</t>
  </si>
  <si>
    <t>IE0007ILCZU4</t>
  </si>
  <si>
    <t>JPMorgan Active US Equity UCITS ETF USD (dist)</t>
  </si>
  <si>
    <t xml:space="preserve">Franklin Future Of Health And Wellness UCITS ETF </t>
  </si>
  <si>
    <t>IE00BMDBM966</t>
  </si>
  <si>
    <t>iShares Edge MSCI Europe Minimum Volatility ESG UCITS ETF USD Hedged (Acc)</t>
  </si>
  <si>
    <t>UBS ETF (IE) S&amp;P USA Dividend Aristocrats ESG Elite UCITS ETF (USD) A-dis</t>
  </si>
  <si>
    <t>CH1263519394</t>
  </si>
  <si>
    <t>CF Crypto Momentum ETP</t>
  </si>
  <si>
    <t>IE00BD5HBS12</t>
  </si>
  <si>
    <t>First Trust FactorFX UCITS ETF EUR Hedged Acc</t>
  </si>
  <si>
    <t>gettex, Stuttgart, Euronext Amsterdam</t>
  </si>
  <si>
    <t>IE000UZZ5SU2</t>
  </si>
  <si>
    <t>JPMorgan Active US Growth UCITS ETF EUR Hedged (acc)</t>
  </si>
  <si>
    <t>WisdomTree New Economy Real Estate UCITS ETF USD Acc</t>
  </si>
  <si>
    <t>DE000A2QP380</t>
  </si>
  <si>
    <t>iShares EURO STOXX Select Dividend 30 UCITS ETF (DE) EUR (Acc)</t>
  </si>
  <si>
    <t>IE000ANOU8J3</t>
  </si>
  <si>
    <t>iShares India INR Government Bond UCITS ETF USD (Acc)</t>
  </si>
  <si>
    <t xml:space="preserve">Franklin Future Of Food UCITS ETF </t>
  </si>
  <si>
    <t>LU2082999058</t>
  </si>
  <si>
    <t>Amundi STOXX Europe 600 Telecommunications UCITS ETF Dist</t>
  </si>
  <si>
    <t>IE00085PWS28</t>
  </si>
  <si>
    <t>Amundi MSCI World Ex USA UCITS ETF UCITS ETF Acc</t>
  </si>
  <si>
    <t>JE00BPRDNL86</t>
  </si>
  <si>
    <t>CoinShares Physical Top10 Crypto Market ETP</t>
  </si>
  <si>
    <t>WisdomTree Recycling Decarbonisation UCITS ETF USD Acc</t>
  </si>
  <si>
    <t>IE000CH3OQ51</t>
  </si>
  <si>
    <t>Invesco MSCI USA UCITS ETF EUR Hedged Acc</t>
  </si>
  <si>
    <t>Global X Internet of Things UCITS ETF USD Accumulating</t>
  </si>
  <si>
    <t>IE0000LVTJ08</t>
  </si>
  <si>
    <t>BNP Paribas Easy Sustainable US UCITS ETF EUR Acc</t>
  </si>
  <si>
    <t>Invesco FTSE All-World UCITS ETF EUR PfHdg Acc</t>
  </si>
  <si>
    <t>IE00BYQCZT11</t>
  </si>
  <si>
    <t>WisdomTree Europe Equity UCITS ETF CHF Hedged Acc</t>
  </si>
  <si>
    <t>LU2361257269</t>
  </si>
  <si>
    <t>Xtrackers II USD Emerging Markets Bond UCITS ETF 1D EUR Hedged</t>
  </si>
  <si>
    <t>JE00B24DMK23</t>
  </si>
  <si>
    <t>WisdomTree Agriculture Longer Dated</t>
  </si>
  <si>
    <t>IE000ENYES77</t>
  </si>
  <si>
    <t>Amundi S&amp;P Global Financials ESG UCITS ETF DR EUR (D)</t>
  </si>
  <si>
    <t>IE00BF2FNH52</t>
  </si>
  <si>
    <t>Invesco US Treasury Bond 1-3 Year UCITS ETF Acc</t>
  </si>
  <si>
    <t>CH1218734544</t>
  </si>
  <si>
    <t>Hashdex Crypto Momentum Factor ETN</t>
  </si>
  <si>
    <t>IE00BYQCZQ89</t>
  </si>
  <si>
    <t>WisdomTree Europe Equity UCITS ETF GBP Hedged</t>
  </si>
  <si>
    <t>LU2490201840</t>
  </si>
  <si>
    <t>Amundi MSCI Japan ESG Climate Net Zero Ambition CTB UCITS ETF Hedged EUR (C)</t>
  </si>
  <si>
    <t>IE000OXJ91D7</t>
  </si>
  <si>
    <t>Ossiam Bloomberg World PAB UCITS ETF 1A (USD)</t>
  </si>
  <si>
    <t>IE000SHR0UX9</t>
  </si>
  <si>
    <t>Invesco FTSE All-World UCITS ETF CHF PfHdg Acc</t>
  </si>
  <si>
    <t>IE000RMSPY39</t>
  </si>
  <si>
    <t>Rize Circular Economy Enablers UCITS ETF USD Accumulating</t>
  </si>
  <si>
    <t>IE000CQQ22C8</t>
  </si>
  <si>
    <t>JPMorgan Active US Value UCITS ETF EUR Hedged (acc)</t>
  </si>
  <si>
    <t>LU2206597713</t>
  </si>
  <si>
    <t>UBS ETF (LU) MSCI Europe Socially Responsible UCITS ETF (EUR) A-dis</t>
  </si>
  <si>
    <t>IE00BFMM9235</t>
  </si>
  <si>
    <t>iShares Italy Government Bond UCITS ETF USD Hedged (Acc)</t>
  </si>
  <si>
    <t>IE00BK9YKZ79</t>
  </si>
  <si>
    <t>PIMCO US Dollar Short Maturity UCITS ETF GBP Hedged Acc</t>
  </si>
  <si>
    <t>IE00BKPJY434</t>
  </si>
  <si>
    <t xml:space="preserve">KraneShares ICBCCS SSE STAR Market 50 Index UCITS ETF </t>
  </si>
  <si>
    <t>LU2391437253</t>
  </si>
  <si>
    <t>Amundi S&amp;P 500 UCITS ETF USD (D)</t>
  </si>
  <si>
    <t>CH0491507486</t>
  </si>
  <si>
    <t>21Shares Tezos Staking ETP</t>
  </si>
  <si>
    <t>LU1981860585</t>
  </si>
  <si>
    <t>Amundi Global Aggregate Green Bond 1-10Y UCITS ETF GBP Hedged Dist</t>
  </si>
  <si>
    <t>LU2785470191</t>
  </si>
  <si>
    <t>Fair Oaks AAA CLO Fund UCITS ETF EUR Dist</t>
  </si>
  <si>
    <t>IE0008FB2WZ1</t>
  </si>
  <si>
    <t>BNP Paribas Easy MSCI World ESG Filtered Min TE UCITS ETF USD Acc</t>
  </si>
  <si>
    <t>BGROBET05176</t>
  </si>
  <si>
    <t>Expat Romania BET UCITS ETF</t>
  </si>
  <si>
    <t>Ossiam ESG Shiller Barclays CAPEÂ® Global Sector UCITS ETF 1A (EUR)</t>
  </si>
  <si>
    <t>LU2678230652</t>
  </si>
  <si>
    <t>Amundi Index MSCI Europe ESG Broad CTB UCITS ETF - EUR (D)</t>
  </si>
  <si>
    <t>DE000A3GVKY4</t>
  </si>
  <si>
    <t>ETC Group Physical Cardano</t>
  </si>
  <si>
    <t>LU2439119236</t>
  </si>
  <si>
    <t>Amundi MSCI AC Far East ex Japan ESG Leaders Select UCITS ETF DR (C)</t>
  </si>
  <si>
    <t>DE000PB8R1C7</t>
  </si>
  <si>
    <t>BNPP RICI Kupfer (TR) Enhanced ETC</t>
  </si>
  <si>
    <t>WisdomTree Battery Metals</t>
  </si>
  <si>
    <t>IE00B5MJYB88</t>
  </si>
  <si>
    <t>Invesco European Telecoms Sector UCITS ETF</t>
  </si>
  <si>
    <t>LU1981860742</t>
  </si>
  <si>
    <t>Amundi Global Aggregate Green Bond 1-10Y UCITS ETF CHF Hedged Dist</t>
  </si>
  <si>
    <t>IE000GTJ2I49</t>
  </si>
  <si>
    <t>iShares MSCI Japan Climate Transition Aware UCITS ETF USD (Dist)</t>
  </si>
  <si>
    <t>IE00BG13YZ23</t>
  </si>
  <si>
    <t>iShares Edge MSCI USA Multifactor UCITS ETF USD (Dist)</t>
  </si>
  <si>
    <t>Xtrackers MSCI Global SDG 9 Industry Innovation &amp; Infrastructure UCITS ETF 1C</t>
  </si>
  <si>
    <t>IE000UQLOH05</t>
  </si>
  <si>
    <t>Vanguard ESG EUR Corporate Bond UCITS ETF GBP Hedged Accumulating</t>
  </si>
  <si>
    <t>IE00B5MTZM66</t>
  </si>
  <si>
    <t>Invesco European Retail Sector UCITS ETF</t>
  </si>
  <si>
    <t>IE00BK72HN04</t>
  </si>
  <si>
    <t>UBS ETF (IE) MSCI World Socially Responsible UCITS ETF (hedged to GBP) A-dis</t>
  </si>
  <si>
    <t>LU2868143954</t>
  </si>
  <si>
    <t>BNP Paribas Easy JPM ESG EMBI Global Diversified Composite UCITS ETF CHF Hedged</t>
  </si>
  <si>
    <t>IE000WJCYGB4</t>
  </si>
  <si>
    <t>UBS ETF (IE) CMCI Commodity Transition SF UCITS ETF (USD) A-acc</t>
  </si>
  <si>
    <t>IE000ZC4C5Q1</t>
  </si>
  <si>
    <t>Invesco BulletShares 2029 EUR Corporate Bond UCITS ETF EUR Dis</t>
  </si>
  <si>
    <t>IE000JCW3DZ3</t>
  </si>
  <si>
    <t>Global X Defence Tech UCITS ETF USD Accumulating</t>
  </si>
  <si>
    <t>IE00B5993T22</t>
  </si>
  <si>
    <t>UBS ETF (IE) Bloomberg Commodity Index SF UCITS ETF (GBP) A-acc</t>
  </si>
  <si>
    <t>UBS ETF (LU) Bloomberg Japan Treasury 1-3 Year Bond UCITS ETF (hedged to EUR) A-acc</t>
  </si>
  <si>
    <t>WisdomTree Global Automotive Innovators UCITS ETF USD Acc</t>
  </si>
  <si>
    <t>DE000A3G9SE0</t>
  </si>
  <si>
    <t>DDA Bitcoin Macro ETP</t>
  </si>
  <si>
    <t>DE000PB6R1W7</t>
  </si>
  <si>
    <t>BNPP RICI Enhanced WTI Ã–l (TR) ETC</t>
  </si>
  <si>
    <t>IE0006PTRUI8</t>
  </si>
  <si>
    <t>iShares MSCI EMU Climate Transition Aware UCITS ETF EUR (Acc)</t>
  </si>
  <si>
    <t>LU1130156596</t>
  </si>
  <si>
    <t>UBS ETF (LU) MSCI Canada UCITS ETF (hedged to GBP) A-dis</t>
  </si>
  <si>
    <t>IndexIQ Factors Sustainable EMU Equity UCITS ETF</t>
  </si>
  <si>
    <t>IE0003CEOZG5</t>
  </si>
  <si>
    <t>JPMorgan Active Global Aggregate Bond UCITS ETF USD Hedged (acc)</t>
  </si>
  <si>
    <t>LU2099288503</t>
  </si>
  <si>
    <t>Amundi Global Government Bond II UCITS ETF Dist</t>
  </si>
  <si>
    <t>Global X CleanTech UCITS ETF USD Accumulating</t>
  </si>
  <si>
    <t>IE0006CHRED6</t>
  </si>
  <si>
    <t>HSBC Global Aggregate Bond UCITS ETF C EUR Hedged</t>
  </si>
  <si>
    <t>LU2439735890</t>
  </si>
  <si>
    <t>Amundi China CNY Bonds UCITS ETF DR (C)</t>
  </si>
  <si>
    <t>LU2469335025</t>
  </si>
  <si>
    <t>Amundi Index MSCI Japan SRI PAB UCITS ETF DR - GBP (D)</t>
  </si>
  <si>
    <t>IE0004YRJHW4</t>
  </si>
  <si>
    <t>UBS ETF (IE) MSCI Canada ESG Universal Low Carbon Select UCITS ETF (CAD) A-acc</t>
  </si>
  <si>
    <t>GB00B15KY096</t>
  </si>
  <si>
    <t>WisdomTree Live Cattle</t>
  </si>
  <si>
    <t>XS2284324667</t>
  </si>
  <si>
    <t>WisdomTree Energy Enhanced - EUR Daily Hedged</t>
  </si>
  <si>
    <t>DE000A3GV1U5</t>
  </si>
  <si>
    <t>VanEck Polygon ETN</t>
  </si>
  <si>
    <t>First Trust IPOX Europe Equity Opportunities UCITS ETF Acc</t>
  </si>
  <si>
    <t>IE00BGYWSZ44</t>
  </si>
  <si>
    <t>Vanguard USD Corporate 1-3 Year Bond UCITS ETF (GBP) Hedged Distributing</t>
  </si>
  <si>
    <t>IE000PECRUX8</t>
  </si>
  <si>
    <t>iShares USD Short Duration Corporate Bond UCITS ETF GBP Hedged (Dist)</t>
  </si>
  <si>
    <t>HANetf Grayscale Future of Finance UCITS ETF</t>
  </si>
  <si>
    <t>GB00BNRRF980</t>
  </si>
  <si>
    <t>CoinShares Physical Staked Cosmos</t>
  </si>
  <si>
    <t>LU2606231335</t>
  </si>
  <si>
    <t>Xtrackers II Eurozone Government Bond 3-5 UCITS ETF 2C - USD Hedged</t>
  </si>
  <si>
    <t>DE000PR5RMU7</t>
  </si>
  <si>
    <t>BNPP RICI Enhanced Industriemetalle (TR) ETC USD</t>
  </si>
  <si>
    <t>IE000IGMB3E1</t>
  </si>
  <si>
    <t>WisdomTree US Quality Dividend Growth UCITS ETF - GBP Hedged</t>
  </si>
  <si>
    <t>KraneShares ICBCCS SSE Star Market 50 Index UCITS ETF EUR</t>
  </si>
  <si>
    <t>Global X AgTech and Food Innovation UCITS ETF USD Accumulating</t>
  </si>
  <si>
    <t>WisdomTree Renewable Energy UCITS ETF USD Unhedged Acc</t>
  </si>
  <si>
    <t>Global X E-commerce UCITS ETF USD Accumulating</t>
  </si>
  <si>
    <t>CH1145930991</t>
  </si>
  <si>
    <t>21Shares Cosmos Staking ETP</t>
  </si>
  <si>
    <t>IE000S4A5WE2</t>
  </si>
  <si>
    <t>UBS ETF (IE) S&amp;P 500 Climate Transition ESG UCITS ETF (USD) A-acc</t>
  </si>
  <si>
    <t>IE0006RFB3X2</t>
  </si>
  <si>
    <t>HSBC MSCI Japan UCITS ETF USD (Acc)</t>
  </si>
  <si>
    <t>IE000LRRPK60</t>
  </si>
  <si>
    <t>WisdomTree Global Quality Dividend Growth UCITS ETF GBP Hedged Dist</t>
  </si>
  <si>
    <t>LU2533813296</t>
  </si>
  <si>
    <t>BNP Paribas Easy ECPI Global ESG Blue Economy UCITS ETF USD</t>
  </si>
  <si>
    <t>JE00B78NPY84</t>
  </si>
  <si>
    <t>WisdomTree Agriculture - EUR Daily Hedged</t>
  </si>
  <si>
    <t>GB00BLBDZW12</t>
  </si>
  <si>
    <t>Global X Ethereum ETP</t>
  </si>
  <si>
    <t>IE00BYSX4408</t>
  </si>
  <si>
    <t>DE000PB8R1M6</t>
  </si>
  <si>
    <t>BNPP RICI Enhanced Industriemetalle (TR) ETC</t>
  </si>
  <si>
    <t>Fidelity Sustainable Global High Yield Bond Paris-Aligned Multifactor UCITS ETF INC-Euro (hedged)</t>
  </si>
  <si>
    <t>LU1923163759</t>
  </si>
  <si>
    <t>Amundi Floating Rate Euro Corporate ESG UCITS ETF USD Hedged (C)</t>
  </si>
  <si>
    <t>IE000PBKBK34</t>
  </si>
  <si>
    <t>iShares USD Treasury Bond 0-3 Month UCITS ETF USD (Dist)</t>
  </si>
  <si>
    <t>SPDR MSCI USA Climate Paris Aligned UCITS ETF USD Unhedged (Acc)</t>
  </si>
  <si>
    <t>IE0009BM62P2</t>
  </si>
  <si>
    <t>Global X S&amp;P 500 Annual Buffer UCITS ETF USD Accumulating</t>
  </si>
  <si>
    <t>IE0000XTDDA8</t>
  </si>
  <si>
    <t>Global X Artificial Intelligence UCITS ETF USD Accumulating</t>
  </si>
  <si>
    <t>IE000BMDG046</t>
  </si>
  <si>
    <t>Invesco BulletShares 2027 USD Corporate Bond UCITS ETF Dist</t>
  </si>
  <si>
    <t>IE000YNE6S57</t>
  </si>
  <si>
    <t>iShares MSCI World Climate Transition Aware UCITS ETF USD (Dist)</t>
  </si>
  <si>
    <t>IE0000P0RPE6</t>
  </si>
  <si>
    <t>iShares World Equity High Income UCITS ETF USD (Acc)</t>
  </si>
  <si>
    <t>IE000HGH8PV2</t>
  </si>
  <si>
    <t>Global X S&amp;P 500 Annual Tail Hedge UCITS ETF USD Accumulating</t>
  </si>
  <si>
    <t>WisdomTree Energy Enhanced</t>
  </si>
  <si>
    <t>IE000A0RC215</t>
  </si>
  <si>
    <t>Invesco BulletShares 2028 USD Corporate Bond UCITS ETF Dist</t>
  </si>
  <si>
    <t>LU2368674631</t>
  </si>
  <si>
    <t>Amundi MSCI UK IMI SRI PAB UCITS ETF DR EUR (D)</t>
  </si>
  <si>
    <t>LU2697597719</t>
  </si>
  <si>
    <t>BNP Paribas Easy Sustainable EUR Government Bond UCITS ETF Distribution</t>
  </si>
  <si>
    <t>IE00BYT5CX00</t>
  </si>
  <si>
    <t>UBS ETF (IE) CMCI ex-Agriculture SF UCITS ETF (hedged to GBP) A-acc</t>
  </si>
  <si>
    <t>SPDR MSCI Europe Climate Paris Aligned UCITS ETF EUR Unhedged (Acc)</t>
  </si>
  <si>
    <t>IE000O36LOH8</t>
  </si>
  <si>
    <t>Invesco BulletShares 2026 USD Corporate Bond UCITS ETF Dist</t>
  </si>
  <si>
    <t>DE000PZ9REC4</t>
  </si>
  <si>
    <t>BNPP RICI Enhanced Kupfer (ER) EUR Hedge ETC</t>
  </si>
  <si>
    <t>IE000WARATZ3</t>
  </si>
  <si>
    <t>HSBC Europe Sustainable Equity UCITS ETF EUR (Dist)</t>
  </si>
  <si>
    <t>LU2533811910</t>
  </si>
  <si>
    <t>BNP Paribas Easy EUR Corporate Bond SRI Fossil Free Ultrashort Duration UCITS ETF Dist</t>
  </si>
  <si>
    <t>LU2868144093</t>
  </si>
  <si>
    <t>BNP Paribas Easy JPM ESG EMBI Global Diversified Composite UCITS ETF GBP Hedged</t>
  </si>
  <si>
    <t>IE000O0KDG23</t>
  </si>
  <si>
    <t>HSBC MSCI USA Climate Paris Aligned UCITS ETF USD (Dist)</t>
  </si>
  <si>
    <t>IE00BL2F2474</t>
  </si>
  <si>
    <t>JPMorgan USD Emerging Markets Sovereign Bond UCITS ETF CHF Hedged (acc)</t>
  </si>
  <si>
    <t>IE00BN4RDY28</t>
  </si>
  <si>
    <t>WisdomTree California Carbon</t>
  </si>
  <si>
    <t>UBS ETF (IE) MSCI Pacific (ex Japan) IMI Socially Responsible UCITS ETF (hedged to EUR) A-acc</t>
  </si>
  <si>
    <t>LU1655103643</t>
  </si>
  <si>
    <t>Ossiam Bloomberg Japan PAB NR UCITS ETF 1C (EUR)</t>
  </si>
  <si>
    <t>IE000GB2EQ90</t>
  </si>
  <si>
    <t>Invesco BulletShares 2030 USD Corporate Bond UCITS ETF Dist</t>
  </si>
  <si>
    <t>IE000PS0J481</t>
  </si>
  <si>
    <t>Global X European Infrastructure Development UCITS ETF EUR Accumulating</t>
  </si>
  <si>
    <t>IE000LH4DDC2</t>
  </si>
  <si>
    <t>Tabula Global High Yield Fallen Angels Paris-aligned Climate UCITS ETF EUR Hedged Acc</t>
  </si>
  <si>
    <t>IE00BLRB0028</t>
  </si>
  <si>
    <t>Invesco Global Clean Energy UCITS ETF Dist</t>
  </si>
  <si>
    <t>LU2533811084</t>
  </si>
  <si>
    <t>BNP Paribas Easy ECPI Global ESG Med Tech UCITS ETF USD</t>
  </si>
  <si>
    <t>IE000Y61WD48</t>
  </si>
  <si>
    <t>KraneShares MSCI China Clean Technology Index UCITS ETF</t>
  </si>
  <si>
    <t>IE00BJK9H860</t>
  </si>
  <si>
    <t>JPMorgan BetaBuilders US Equity UCITS ETF (Dist)</t>
  </si>
  <si>
    <t>LU1646360542</t>
  </si>
  <si>
    <t>Amundi Index MSCI Japan SRI PAB UCITS ETF DR Hedged EUR (D)</t>
  </si>
  <si>
    <t>DE000A3GWNE8</t>
  </si>
  <si>
    <t>VanEck Algorand ETN</t>
  </si>
  <si>
    <t>JE00B78NNS84</t>
  </si>
  <si>
    <t>WisdomTree Broad Commodities - EUR Daily Hedged</t>
  </si>
  <si>
    <t>IE000XOS4OJ6</t>
  </si>
  <si>
    <t>Invesco BulletShares 2027 EUR Corporate Bond UCITS ETF EUR Dis</t>
  </si>
  <si>
    <t>LU2533813023</t>
  </si>
  <si>
    <t>BNP Paribas Easy ECPI Global ESG Hydrogen Economy UCITS ETF USD</t>
  </si>
  <si>
    <t>IE000783LRG9</t>
  </si>
  <si>
    <t>JPMorgan Eurozone Research Enhanced Index Equity (ESG) UCITS ETF EUR (dist)</t>
  </si>
  <si>
    <t>GB00BPDX1969</t>
  </si>
  <si>
    <t>1Valour STOXX Bitcoin Suisse Digital Asset Blue Chip ETN</t>
  </si>
  <si>
    <t>HSBC Global Sustainable Government Bond UCITS ETF C EUR Hedged</t>
  </si>
  <si>
    <t>IE000LJ2O0V5</t>
  </si>
  <si>
    <t>iShares EUR Government Bond 0-3 Month UCITS ETF EUR (Dist)</t>
  </si>
  <si>
    <t>JE00B24DMJ18</t>
  </si>
  <si>
    <t>WisdomTree Industrial Metals Longer Dated</t>
  </si>
  <si>
    <t>GB00BNGJ9H18</t>
  </si>
  <si>
    <t>WisdomTree Physical Polkadot</t>
  </si>
  <si>
    <t>IE0003B6RHN4</t>
  </si>
  <si>
    <t>JPMorgan Japan Research Enhanced Index Equity (ESG) UCITS ETF CHF Hedged (acc)</t>
  </si>
  <si>
    <t>JE00B78NPQ01</t>
  </si>
  <si>
    <t>WisdomTree Precious Metals - EUR Daily Hedged</t>
  </si>
  <si>
    <t>IE000UDFKE13</t>
  </si>
  <si>
    <t>First Trust Indxx Future Economy Metals UCITS ETF Class A Accumulation</t>
  </si>
  <si>
    <t>IE000BW2B3J3</t>
  </si>
  <si>
    <t>First Trust Bloomberg Scarce Resources UCITS ETF Class A Accumulation</t>
  </si>
  <si>
    <t>LU2533810276</t>
  </si>
  <si>
    <t>BNP Paribas Easy ECPI Circular Economy Leaders UCITS ETF USD</t>
  </si>
  <si>
    <t>JE00B78CP782</t>
  </si>
  <si>
    <t>WisdomTree Brent Crude Oil Longer Dated</t>
  </si>
  <si>
    <t>IE000MO5BTJ4</t>
  </si>
  <si>
    <t>JPMorgan Global High Yield Corporate Bond Multi-Factor UCITS ETF CHF Hedged (acc)</t>
  </si>
  <si>
    <t>IE000MS9DTS9</t>
  </si>
  <si>
    <t>Global X Uranium UCITS ETF USD Distributing</t>
  </si>
  <si>
    <t>IE000YG82CF0</t>
  </si>
  <si>
    <t>iShares MSCI USA Climate Transition Aware UCITS ETF USD (Dist)</t>
  </si>
  <si>
    <t>IE000EEJLWG1</t>
  </si>
  <si>
    <t>iShares US Mortgage Backed Securities UCITS ETF EUR Hedged (Dist)</t>
  </si>
  <si>
    <t>IE000TY854T9</t>
  </si>
  <si>
    <t>iShares Japan Government Bond UCITS ETF EUR Hedged (Acc)</t>
  </si>
  <si>
    <t>JPMorgan Global Research Enhanced Index Equity SRI Paris Aligned UCITS ETF EUR Hedged (acc)</t>
  </si>
  <si>
    <t>LU1859445063</t>
  </si>
  <si>
    <t>BNP Paribas Easy FTSE EPRA/NAREIT Developed Europe UCITS ETF QD EUR Hedged</t>
  </si>
  <si>
    <t>IE00BD6RZZ53</t>
  </si>
  <si>
    <t>WisdomTree US Equity Income UCITS ETF GBP Hedged Acc</t>
  </si>
  <si>
    <t>LU1481201298</t>
  </si>
  <si>
    <t>DE000PZ9REM3</t>
  </si>
  <si>
    <t>BNPP RICI Enhanced Industriemetalle (ER) EUR Hedge ETC</t>
  </si>
  <si>
    <t>IE00BD5HBQ97</t>
  </si>
  <si>
    <t>First Trust FactorFX UCITS ETF Acc</t>
  </si>
  <si>
    <t>IE000T5R61X5</t>
  </si>
  <si>
    <t>Invesco MSCI USA ESG Universal Screened UCITS ETF GBP Hedged Acc</t>
  </si>
  <si>
    <t>LU1923163676</t>
  </si>
  <si>
    <t>Amundi Floating Rate Euro Corporate ESG UCITS ETF GBP Hedged (C)</t>
  </si>
  <si>
    <t>IE00BD5HBR05</t>
  </si>
  <si>
    <t>First Trust FactorFX UCITS ETF GBP Hedged Acc</t>
  </si>
  <si>
    <t>IE00049BN7O1</t>
  </si>
  <si>
    <t>UBS ETF (IE) S&amp;P 500 Climate Transition ESG UCITS ETF (hedged to GBP) A-dis</t>
  </si>
  <si>
    <t>LU2469335538</t>
  </si>
  <si>
    <t>Amundi Index J.P. Morgan GBI Global Govies UCITS ETF DR Hedged USD (C)</t>
  </si>
  <si>
    <t>IE000RC2UNU0</t>
  </si>
  <si>
    <t>JPMorgan Global Research Enhanced Index Equity SRI Paris Aligned UCITS ETF CHF Hedged (acc)</t>
  </si>
  <si>
    <t>IE000AYJ75E5</t>
  </si>
  <si>
    <t>Invesco BulletShares 2026 EUR Corporate Bond UCITS ETF Dist</t>
  </si>
  <si>
    <t>LU1481201538</t>
  </si>
  <si>
    <t>LU2673523051</t>
  </si>
  <si>
    <t>Xtrackers II Target Maturity Sept 2033 EUR Corporate Bond UCITS ETF 1C</t>
  </si>
  <si>
    <t>IE000F7TZ3H9</t>
  </si>
  <si>
    <t>JPMorgan US Research Enhanced Index Equity SRI Paris Aligned UCITS ETF CHF Hedged (acc)</t>
  </si>
  <si>
    <t>LU2673522830</t>
  </si>
  <si>
    <t>Xtrackers II Target Maturity Sept 2027 EUR Corporate Bond UCITS ETF 1C</t>
  </si>
  <si>
    <t>IE00BMH5YS76</t>
  </si>
  <si>
    <t>Global X Autonomous &amp; Electric Vehicles UCITS ETF USD Distributing</t>
  </si>
  <si>
    <t>LU2616776444</t>
  </si>
  <si>
    <t>BNP Paribas Easy USD Corporate Bond SRI Fossil Free UCITS ETF Dist</t>
  </si>
  <si>
    <t>GB00BQ991Q22</t>
  </si>
  <si>
    <t>1Valour Bitcoin Physical Carbon Neutral</t>
  </si>
  <si>
    <t>WisdomTree New Economy Real Estate UCITS ETF USD Dist</t>
  </si>
  <si>
    <t>Fidelity Global Government Bond Climate Aware UCITS ETF EUR Hedged Inc</t>
  </si>
  <si>
    <t>IE000C75IMX8</t>
  </si>
  <si>
    <t>First Trust Alerian Disruptive Technology Real Estate UCITS ETF Dist</t>
  </si>
  <si>
    <t>IE0006O3TTP9</t>
  </si>
  <si>
    <t>BNP Paribas Easy ECPI Global ESG Infrastructure UCITS ETF USD Capitalisation</t>
  </si>
  <si>
    <t>IE000SYQFJV2</t>
  </si>
  <si>
    <t>Goldman Sachs Global Green Bond UCITS ETF EUR (Dist)</t>
  </si>
  <si>
    <t>UBS ETF (IE) S&amp;P USA Dividend Aristocrats ESG Elite UCITS ETF (hedged to EUR) A-dis</t>
  </si>
  <si>
    <t>IE000LKGEZQ6</t>
  </si>
  <si>
    <t>Invesco BulletShares 2028 EUR Corporate Bond UCITS ETF EUR Dis</t>
  </si>
  <si>
    <t>JE00B24DMD55</t>
  </si>
  <si>
    <t>WisdomTree Energy Longer Dated</t>
  </si>
  <si>
    <t>IE0009WWNY77</t>
  </si>
  <si>
    <t>UBS ETF (IE) S&amp;P 500 Climate Transition ESG UCITS ETF (hedged to EUR) A-acc</t>
  </si>
  <si>
    <t>IE000WJWZK35</t>
  </si>
  <si>
    <t>iShares GBP Corporate Bond 0-5yr UCITS ETF EUR Hedged (Acc)</t>
  </si>
  <si>
    <t>IE00BLR6Q650</t>
  </si>
  <si>
    <t>Global X Video Games &amp; Esports UCITS ETF Dist GBP</t>
  </si>
  <si>
    <t>LU2742533552</t>
  </si>
  <si>
    <t>BNP Paribas Easy JPM ESG EMU Government Bond IG 10Y+ UCITS ETF Dist</t>
  </si>
  <si>
    <t>DE000PB6R1G0</t>
  </si>
  <si>
    <t>BNPP RICI Enhanced Erdgas (TR) ETC</t>
  </si>
  <si>
    <t>IE00BN0YSJ74</t>
  </si>
  <si>
    <t>Ossiam Food for Biodiversity UCITS ETF 1A (USD)</t>
  </si>
  <si>
    <t>IE000F472DU7</t>
  </si>
  <si>
    <t>L&amp;G China CNY Bond UCITS ETF EUR Dist</t>
  </si>
  <si>
    <t>LU1655103726</t>
  </si>
  <si>
    <t>Ossiam Bloomberg Japan PAB NR UCITS ETF H1C (EUR Hedged)</t>
  </si>
  <si>
    <t>IE00BLCHK052</t>
  </si>
  <si>
    <t>Global X FinTech UCITS ETF USD Distributing</t>
  </si>
  <si>
    <t>IE000PN9NSC6</t>
  </si>
  <si>
    <t>Fidelity Global Government Bond Climate Aware UCITS ETF USD Hedged Inc</t>
  </si>
  <si>
    <t>CH1263519386</t>
  </si>
  <si>
    <t>CF Crypto Web 3.0 ETP</t>
  </si>
  <si>
    <t>IE000YICM5P9</t>
  </si>
  <si>
    <t>Global X SuperDividendÂ® UCITS ETF USD Accumulating</t>
  </si>
  <si>
    <t>LU1481201371</t>
  </si>
  <si>
    <t>BNP Paribas Easy ESG Low Volatility US UCITS ETF USD</t>
  </si>
  <si>
    <t>LU2800573128</t>
  </si>
  <si>
    <t>BNP Paribas Easy MSCI Japan ESG Filtered Min TE UCITS ETF USD</t>
  </si>
  <si>
    <t>LU2673523135</t>
  </si>
  <si>
    <t>Xtrackers II Target Maturity Sept 2031 EUR Corporate Bond UCITS ETF 1C</t>
  </si>
  <si>
    <t>LU1971906984</t>
  </si>
  <si>
    <t>UBS ETF (LU) EURO STOXX 50 ESG UCITS ETF (EUR) A-acc</t>
  </si>
  <si>
    <t>IE0007FM00T9</t>
  </si>
  <si>
    <t>iShares U.S. Equity High Income UCITS ETF USD (Acc)</t>
  </si>
  <si>
    <t>IE000S0PSP47</t>
  </si>
  <si>
    <t>Vanguard USD Treasury Bond UCITS ETF GBP Hedged Distributing</t>
  </si>
  <si>
    <t>BGCZPX003174</t>
  </si>
  <si>
    <t>Expat Czech PX UCITS ETF</t>
  </si>
  <si>
    <t>IE000JHMFVN7</t>
  </si>
  <si>
    <t>iShares iBonds Dec 2028 Term EUR Italy Government Bond UCITS ETF EUR (Acc)</t>
  </si>
  <si>
    <t>LU2368674045</t>
  </si>
  <si>
    <t>Amundi Index Euro Aggregate SRI UCITS ETF DR Hedged GBP (C)</t>
  </si>
  <si>
    <t>IE000G6CY1T7</t>
  </si>
  <si>
    <t>iShares iBonds Dec 2026 Term EUR Italy Government Bond UCITS ETF EUR (Acc)</t>
  </si>
  <si>
    <t>IE00093SKUY4</t>
  </si>
  <si>
    <t>iShares US Aggregate Bond UCITS ETF EUR Hedged (Dist)</t>
  </si>
  <si>
    <t>IE000YUU9UG5</t>
  </si>
  <si>
    <t>HSBC China Government Local Bond UCITS ETF C EUR Hedged</t>
  </si>
  <si>
    <t>IE00BLR6QC17</t>
  </si>
  <si>
    <t>Global X Telemedicine &amp; Digital Health UCITS ETF Dist GBP</t>
  </si>
  <si>
    <t>IE000FVQW7E7</t>
  </si>
  <si>
    <t>Invesco Global Corporate Bond ESG UCITS ETF Dist</t>
  </si>
  <si>
    <t>CH1113516871</t>
  </si>
  <si>
    <t>AMINA Polkadot ETP</t>
  </si>
  <si>
    <t>IE00BKS2X200</t>
  </si>
  <si>
    <t>First Trust Low Duration Global Government Bond UCITS ETF GBP Hedged dist</t>
  </si>
  <si>
    <t>IE000WZU35H0</t>
  </si>
  <si>
    <t>AXA IM MSCI World Equity PAB UCITS ETF USD Dist</t>
  </si>
  <si>
    <t>DE000PZ9REG5</t>
  </si>
  <si>
    <t>BNPP RICI Enhanced Natural Gas (ER) EUR Hedge ETC</t>
  </si>
  <si>
    <t>IE000C5Q64P6</t>
  </si>
  <si>
    <t>Invesco BulletShares 2029 USD Corporate Bond UCITS ETF Dist</t>
  </si>
  <si>
    <t>LU2099992344</t>
  </si>
  <si>
    <t>UBS ETF (LU) Bloomberg MSCI Global Liquid Corporates Sustainable UCITS ETF (hedged to GBP) A-dis</t>
  </si>
  <si>
    <t>IE000XFCOS45</t>
  </si>
  <si>
    <t>iShares EUR Corporate Bond 1-5yr UCITS ETF USD Hedged (Dist)</t>
  </si>
  <si>
    <t>GB00BRBMZ190</t>
  </si>
  <si>
    <t>1Valour Ethereum Physical Staking</t>
  </si>
  <si>
    <t>IE000QXAXLT5</t>
  </si>
  <si>
    <t>Invesco USD High Yield Corporate Bond ESG UCITS ETF GBP Hedged Dist</t>
  </si>
  <si>
    <t>IE00BLB2GS19</t>
  </si>
  <si>
    <t>iShares Growth Portfolio UCITS ETF USD Hedged (Acc)</t>
  </si>
  <si>
    <t>IE00BLB2GQ94</t>
  </si>
  <si>
    <t>iShares Conservative Portfolio UCITS ETF USD Hedged (Acc)</t>
  </si>
  <si>
    <t>LU1645385912</t>
  </si>
  <si>
    <t>UBS ETF (LU) J.P. Morgan USD EM Diversified Bond 1-5 UCITS ETF (USD) A-acc</t>
  </si>
  <si>
    <t>LU2673522913</t>
  </si>
  <si>
    <t>Xtrackers II Target Maturity Sept 2029 EUR Corporate Bond UCITS ETF 1C</t>
  </si>
  <si>
    <t>IE000Q7NR6I3</t>
  </si>
  <si>
    <t>iShares GBP Corporate Bond 0-5yr UCITS ETF USD Hedged (Acc)</t>
  </si>
  <si>
    <t>IE0007L3IJF6</t>
  </si>
  <si>
    <t>Fidelity Sustainable USD EM Bond UCITS ETF INC-Euro (hedged)</t>
  </si>
  <si>
    <t>IE000544AJM3</t>
  </si>
  <si>
    <t>Global X Disruptive Materials UCITS ETF D</t>
  </si>
  <si>
    <t>IE000QVCP9S5</t>
  </si>
  <si>
    <t>Fidelity Global Government Bond Climate Aware UCITS ETF GBP Hedged Inc</t>
  </si>
  <si>
    <t>IE00BF2FNF39</t>
  </si>
  <si>
    <t>Invesco US Treasury Bond 7-10 Year UCITS ETF CHF Hedged Acc</t>
  </si>
  <si>
    <t>IE000QL3QEM2</t>
  </si>
  <si>
    <t>HSBC Global Government Bond UCITS ETF C EUR Hedged</t>
  </si>
  <si>
    <t>JE00B78NNV14</t>
  </si>
  <si>
    <t>WisdomTree Energy - EUR Daily Hedged</t>
  </si>
  <si>
    <t>BGGRASE06174</t>
  </si>
  <si>
    <t>Expat Greece ASE UCITS ETF</t>
  </si>
  <si>
    <t>DE000PZ9REW2</t>
  </si>
  <si>
    <t>BNPP RICI Enhanced WTI Ã–l (ER) EUR Hedge ETC</t>
  </si>
  <si>
    <t>IE00BF2GFQ19</t>
  </si>
  <si>
    <t>Invesco US Treasury Bond UCITS ETF CHF Hedged Acc</t>
  </si>
  <si>
    <t>BGMACMB06181</t>
  </si>
  <si>
    <t>Expat Macedonia MBI10 UCITS ETF</t>
  </si>
  <si>
    <t>BGPLWIG04173</t>
  </si>
  <si>
    <t>Expat Poland WIG20 UCITS ETF</t>
  </si>
  <si>
    <t>IE000P4KWPY3</t>
  </si>
  <si>
    <t>SPDR Bloomberg 0-3 Year Euro Corporate Bond UCITS ETF USD Hedged (Acc)</t>
  </si>
  <si>
    <t>IE0005HG1US8</t>
  </si>
  <si>
    <t>SPDR Bloomberg 0-3 Year Euro Corporate Bond UCITS ETF GBP Hedged (Dist)</t>
  </si>
  <si>
    <t>IE000CLH1Z98</t>
  </si>
  <si>
    <t>SPDR Bloomberg 0-3 Year Euro Corporate Bond UCITS ETF USD Hedged (Dist)</t>
  </si>
  <si>
    <t>IE000N852182</t>
  </si>
  <si>
    <t>iShares GBP Corporate Bond 0-5yr UCITS ETF USD Hedged (Dist)</t>
  </si>
  <si>
    <t>IE00BDT8TZ34</t>
  </si>
  <si>
    <t>Invesco Preferred Shares UCITS UCITS ETF CHF Hedged</t>
  </si>
  <si>
    <t>BGCROEX03189</t>
  </si>
  <si>
    <t>Expat Croatia CROBEX UCITS ETF</t>
  </si>
  <si>
    <t>BGSRBBE05183</t>
  </si>
  <si>
    <t>Expat Serbia BELEX15 UCITS ETF</t>
  </si>
  <si>
    <t>IE00069MGEE1</t>
  </si>
  <si>
    <t>AXA IM US High Yield Opportunities UCITS ETF USD Dist</t>
  </si>
  <si>
    <t>IE000YFGN231</t>
  </si>
  <si>
    <t>HSBC USA Sustainable Equity UCITS ETF USD (Dist)</t>
  </si>
  <si>
    <t>IE000ZQF1PE1</t>
  </si>
  <si>
    <t>iShares MSCI Europe Climate Transition Aware UCITS ETF EUR (Dist)</t>
  </si>
  <si>
    <t>LU2742532745</t>
  </si>
  <si>
    <t>BNP Paribas Easy EUR Corporate Bond SRI Fossil Free 7-10Y UCITS ETF Dist</t>
  </si>
  <si>
    <t>LU2823896738</t>
  </si>
  <si>
    <t>BNP Paribas Easy Sustainable EUR Corporate Bond December 2029 UCITS ETF Dist</t>
  </si>
  <si>
    <t>LU2823895763</t>
  </si>
  <si>
    <t>BNP Paribas Easy Sustainable EUR Corporate Bond December 2032 UCITS ETF Dist</t>
  </si>
  <si>
    <t>LU2823898437</t>
  </si>
  <si>
    <t>BNP Paribas Easy Sustainable EUR Corporate Bond December 2027 UCITS ETF D</t>
  </si>
  <si>
    <t>GB00BM9JYH62</t>
  </si>
  <si>
    <t>Global X Aave ETP</t>
  </si>
  <si>
    <t>BGHUBUX01189</t>
  </si>
  <si>
    <t>Expat Hungary BUX UCITS ETF</t>
  </si>
  <si>
    <t>GB00BM9JYJ86</t>
  </si>
  <si>
    <t>Global X Chainlink ETP</t>
  </si>
  <si>
    <t>IE000E9XXE77</t>
  </si>
  <si>
    <t>iShares MSCI EMU Climate Transition Aware UCITS ETF EUR (Dist)</t>
  </si>
  <si>
    <t>DE000PR5RCU8</t>
  </si>
  <si>
    <t>BNPP RICI Enhanced Kupfer (TR) ETC USD</t>
  </si>
  <si>
    <t>GB00BM9JYK91</t>
  </si>
  <si>
    <t>Global X Uniswap ETP</t>
  </si>
  <si>
    <t>BGSKSAX04187</t>
  </si>
  <si>
    <t>Expat Slovakia SAX UCITS ETF</t>
  </si>
  <si>
    <t>DE000PR5RWU6</t>
  </si>
  <si>
    <t>BNPP RICI Enhanced WTI Ã–l (TR) USD ETC</t>
  </si>
  <si>
    <t>IE00079WNSI6</t>
  </si>
  <si>
    <t>First Trust US Equity Income UCITS ETF GBP Hedged Distributing</t>
  </si>
  <si>
    <t>DE000PR5RBU0</t>
  </si>
  <si>
    <t>BNPP RICI Enhanced Brent Ã–l (TR) USD ETC</t>
  </si>
  <si>
    <t>IE000Z3S26J2</t>
  </si>
  <si>
    <t>iShares S&amp;P 500 Swap UCITS ETF EUR Hedged (Acc)</t>
  </si>
  <si>
    <t>DE000PR5RGU9</t>
  </si>
  <si>
    <t>BNPP RICI Enhanced Erdgas (TR) USD ETC</t>
  </si>
  <si>
    <t>Melanion Bitcoin Equities UCITS ETF</t>
  </si>
  <si>
    <t>Global X China Electric Vehicle and Battery UCITS ETF USD Accumulating</t>
  </si>
  <si>
    <t>IE000IEGVMH6</t>
  </si>
  <si>
    <t>Amundi MSCI USA UCITS ETF Dist</t>
  </si>
  <si>
    <t>IE000RJECXS5</t>
  </si>
  <si>
    <t>Avantis Global Equity UCITS ETF USD Acc</t>
  </si>
  <si>
    <t>IE0003R87OG3</t>
  </si>
  <si>
    <t>Avantis Global Small Cap Value UCITS ETF USD Acc</t>
  </si>
  <si>
    <t>Fidelity Clean Energy UCITS ETF ACC-USD</t>
  </si>
  <si>
    <t>Fidelity Cloud Computing UCITS ETF ACC-USD</t>
  </si>
  <si>
    <t>Fidelity Digital Health UCITS ETF ACC-USD</t>
  </si>
  <si>
    <t>Fidelity Electric Vehicles and Future Transportation UCITS ETF ACC-USD</t>
  </si>
  <si>
    <t>Fidelity Global Government Bond Climate Aware UCITS ETF USD Inc</t>
  </si>
  <si>
    <t>Fidelity Metaverse UCITS ETF ACC-USD</t>
  </si>
  <si>
    <t>IE0000VKUF67</t>
  </si>
  <si>
    <t>Fidelity Sustainable EUR Corporate Bond Paris-Aligned Multifactor UCITS ETF ACC-Euro</t>
  </si>
  <si>
    <t>IE00048UULY2</t>
  </si>
  <si>
    <t>Fidelity Sustainable EUR Corporate Bond Paris-Aligned Multifactor UCITS ETF ACC-GBP (hedged)</t>
  </si>
  <si>
    <t>IE000VQZQ963</t>
  </si>
  <si>
    <t>Fidelity Sustainable EUR Corporate Bond Paris-Aligned Multifactor UCITS ETF INC-Euro</t>
  </si>
  <si>
    <t>IE000C17QP01</t>
  </si>
  <si>
    <t>Fidelity Sustainable Global High Yield Bond Paris-Aligned Multifactor UCITS ETF ACC-GBP (hedged)</t>
  </si>
  <si>
    <t>Fidelity Sustainable Global High Yield Bond Paris-Aligned Multifactor UCITS ETF INC-USD</t>
  </si>
  <si>
    <t>IE000B8VAQZ8</t>
  </si>
  <si>
    <t>Fidelity Sustainable Global High Yield Bond Paris-Aligned Multifactor UCITS ETF INC-USD (hedged)</t>
  </si>
  <si>
    <t>IE000X3MDCC5</t>
  </si>
  <si>
    <t>Fidelity Sustainable USD Corporate Bond Paris-Aligned Multifactor UCITS ETF ACC-GBP (hedged)</t>
  </si>
  <si>
    <t>IE0001DM7O60</t>
  </si>
  <si>
    <t>Fidelity Sustainable USD Corporate Bond Paris-Aligned Multifactor UCITS ETF INC-Euro (hedged)</t>
  </si>
  <si>
    <t>IE000JJQ6248</t>
  </si>
  <si>
    <t>Fidelity Sustainable USD Corporate Bond Paris-Aligned Multifactor UCITS ETF INC-USD</t>
  </si>
  <si>
    <t>IE00096S6AV7</t>
  </si>
  <si>
    <t>HSBC FTSE EPRA Nareit Developed Climate Paris Aligned UCITS ETF USD (Acc)</t>
  </si>
  <si>
    <t>IE000XC6EVL9</t>
  </si>
  <si>
    <t>HSBC Nasdaq Global Climate Tech UCITS ETF USD (Acc)</t>
  </si>
  <si>
    <t>IE0008119MO8</t>
  </si>
  <si>
    <t>HSBC S&amp;P India Tech UCITS ETF EUR (Acc)</t>
  </si>
  <si>
    <t>IE000OEF25S1</t>
  </si>
  <si>
    <t>Invesco MSCI World Equal Weight UCITS ETF Acc</t>
  </si>
  <si>
    <t>IE000CV0WWL4</t>
  </si>
  <si>
    <t>Janus Henderson Tabula Japan High Conviction Equity UCITS ETF</t>
  </si>
  <si>
    <t>CH1381833420</t>
  </si>
  <si>
    <t>Leonteq EUR Overnight Return Index ETP</t>
  </si>
  <si>
    <t>DE000ETC0696</t>
  </si>
  <si>
    <t>SG ETC Brent Crude Oil Futures-Kontrakt</t>
  </si>
  <si>
    <t>DE000ETC0787</t>
  </si>
  <si>
    <t>SG ETC COMEX Copper Futures (HG)-Kontrakt</t>
  </si>
  <si>
    <t>DE000ETC0738</t>
  </si>
  <si>
    <t>SG ETC Gold Futures-Kontrakt</t>
  </si>
  <si>
    <t>DE000ETC0704</t>
  </si>
  <si>
    <t>SG ETC Henry Hub Natural Gas Futures-Kontrakt</t>
  </si>
  <si>
    <t>DE000ETC0001</t>
  </si>
  <si>
    <t>SG ETC ICE EUA Futures-Kontrakt</t>
  </si>
  <si>
    <t>DE000ETC0779</t>
  </si>
  <si>
    <t>SG ETC Light Sweet Crude Oil (WTI) Futures-Kontrakt</t>
  </si>
  <si>
    <t>DE000ETC0746</t>
  </si>
  <si>
    <t>SG ETC Silver Futures-Kontrakt</t>
  </si>
  <si>
    <t>IE000LZC9NM0</t>
  </si>
  <si>
    <t>Tabula Haitong Asia ex-Japan High Yield Corporate USD Bond ESG UCITS ETF (USD) Acc</t>
  </si>
  <si>
    <t>IE000GETKIK8</t>
  </si>
  <si>
    <t>Tabula Haitong Asia ex-Japan High Yield Corporate USD Bond ESG UCITS ETF GBP Hedged Acc</t>
  </si>
  <si>
    <t>IE000XIITCN5</t>
  </si>
  <si>
    <t>Tabula Haitong Asia ex-Japan High Yield Corporate USD Bond ESG UCITS ETF GBP Hedged Dist</t>
  </si>
  <si>
    <t>XS2651539681</t>
  </si>
  <si>
    <t xml:space="preserve">UBS European Physical Carbon ETC </t>
  </si>
  <si>
    <t>LU2009147591</t>
  </si>
  <si>
    <t>Xtrackers II Eurozone Government Bond UCITS ETF 2C - USD Hedged</t>
  </si>
  <si>
    <t>Amundi Nasdaq-100 Daily (2x) Leveraged UCITS ETF Acc</t>
  </si>
  <si>
    <t>Short &amp; Leveraged</t>
  </si>
  <si>
    <t>Amundi ETF Leveraged MSCI USA Daily UCITS ETF EUR</t>
  </si>
  <si>
    <t>Amundi US Curve steepening 2-10Y UCITS ETF Acc</t>
  </si>
  <si>
    <t>WisdomTree NASDAQ 100 3x Daily Leveraged</t>
  </si>
  <si>
    <t>Xtrackers S&amp;P 500 2x Leveraged Daily Swap UCITS ETF 1C</t>
  </si>
  <si>
    <t>Amundi EURO STOXX 50 Daily (-1x) Inverse UCITS ETF Acc</t>
  </si>
  <si>
    <t>Swap based Funded</t>
  </si>
  <si>
    <t>Xtrackers ShortDAX Daily Swap UCITS ETF 1C</t>
  </si>
  <si>
    <t>IE00BKFB6L02</t>
  </si>
  <si>
    <t>UBS ETF (IE) CMCI Commodity Carry SF UCITS ETF (USD) A-acc</t>
  </si>
  <si>
    <t>WisdomTree S&amp;P 500 3x Daily Leveraged</t>
  </si>
  <si>
    <t>FR0010591362</t>
  </si>
  <si>
    <t>Amundi CAC 40 Daily (-1x) Inverse UCITS ETF Acc</t>
  </si>
  <si>
    <t>LU0411075020</t>
  </si>
  <si>
    <t>Xtrackers ShortDAX x2 Daily Swap UCITS ETF 1C</t>
  </si>
  <si>
    <t>Amundi LevDax Daily (2x) leveraged UCITS ETF Acc</t>
  </si>
  <si>
    <t>Amundi EURO STOXX 50 Daily (2x) Leveraged UCITS ETF Acc</t>
  </si>
  <si>
    <t>Xtrackers S&amp;P 500 Inverse Daily Swap UCITS ETF 1C</t>
  </si>
  <si>
    <t>WisdomTree WTI Crude Oil 2x Daily Leveraged</t>
  </si>
  <si>
    <t>Amundi FTSE MIB Daily (2x) Leveraged UCITS ETF Dist</t>
  </si>
  <si>
    <t>WisdomTree Silver 3x Daily Leveraged</t>
  </si>
  <si>
    <t>WisdomTree NASDAQ 100 3x Daily Short</t>
  </si>
  <si>
    <t>GraniteShares 3x Long MicroStrategy Daily ETP</t>
  </si>
  <si>
    <t>WisdomTree EURO STOXX Banks 3x Daily Leveraged</t>
  </si>
  <si>
    <t>IE00BN940Z87</t>
  </si>
  <si>
    <t>UBS ETF (IE) CMCI Commodity Carry Ex-Agriculture SF UCITS ETF (USD) A-acc</t>
  </si>
  <si>
    <t>XS2734938835</t>
  </si>
  <si>
    <t>GraniteShares 3x Long NVIDIA Daily ETP</t>
  </si>
  <si>
    <t>London, Euronext Paris, Borsa Italiana</t>
  </si>
  <si>
    <t>GraniteShares 3x Long Tesla Daily ETP</t>
  </si>
  <si>
    <t>XS2819843900</t>
  </si>
  <si>
    <t>WisdomTree Natural Gas 3x Daily Leveraged</t>
  </si>
  <si>
    <t>Amundi FTSE MIB Daily (-2x) Inverse UCITS ETF Acc</t>
  </si>
  <si>
    <t>LU2018762901</t>
  </si>
  <si>
    <t>Amundi US Curve steepening 2-10Y UCITS ETF GBP Hedged Dist</t>
  </si>
  <si>
    <t>Xtrackers EURO STOXX 50 Short Daily Swap UCITS ETF 1C</t>
  </si>
  <si>
    <t>WisdomTree Gold 3x Daily Leveraged</t>
  </si>
  <si>
    <t>FR0011036268</t>
  </si>
  <si>
    <t>Amundi IBEX 35 Doble Inverso Diario (-2x) UCITS ETF Acc</t>
  </si>
  <si>
    <t>Xtrackers S&amp;P 500 2x Inverse Daily Swap UCITS ETF 1C</t>
  </si>
  <si>
    <t>WisdomTree Silver 2x Daily Leveraged</t>
  </si>
  <si>
    <t>Amundi Italy BTP Daily (-2x) Inverse UCITS ETF Acc</t>
  </si>
  <si>
    <t>Amundi ShortDAX Daily (-2x) Inverse UCITS ETF Acc</t>
  </si>
  <si>
    <t>Amundi EURO STOXX 50 Daily (-2x) Inverse UCITS ETF Acc</t>
  </si>
  <si>
    <t>LU0411075376</t>
  </si>
  <si>
    <t>Xtrackers LevDAX Daily Swap UCITS ETF 1C</t>
  </si>
  <si>
    <t>LU2572257041</t>
  </si>
  <si>
    <t>Amundi ShortDAX Daily (-1x) Inverse UCITS ETF - Dist</t>
  </si>
  <si>
    <t>Amundi MSCI USA Daily (-1x) Inverse UCITS ETF Acc</t>
  </si>
  <si>
    <t>FR0011042753</t>
  </si>
  <si>
    <t>Amundi IBEX 35 Doble Apalancado Diario (2x) UCITS ETF Acc</t>
  </si>
  <si>
    <t>L&amp;G DAX Daily 2x Short UCITS ETF</t>
  </si>
  <si>
    <t>Xtrackers iTraxx Crossover Short Daily Swap UCITS ETF 1C</t>
  </si>
  <si>
    <t>WisdomTree S&amp;P 500 3x Daily Short</t>
  </si>
  <si>
    <t>Amundi FTSE MIB Daily (-1x) Inverse UCITS ETF Acc</t>
  </si>
  <si>
    <t>WisdomTree DAX 3x Daily Short</t>
  </si>
  <si>
    <t>IE00B4QNJJ23</t>
  </si>
  <si>
    <t>L&amp;G FTSE 100 Leveraged (Daily 2x) UCITS ETF</t>
  </si>
  <si>
    <t>XS2819844387</t>
  </si>
  <si>
    <t>WisdomTree WTI Crude Oil 3x Daily Short</t>
  </si>
  <si>
    <t>IE00BN941009</t>
  </si>
  <si>
    <t>UBS ETF (IE) CMCI Commodity Carry Ex-Agriculture SF UCITS ETF (hedged to EUR) A-acc</t>
  </si>
  <si>
    <t>WisdomTree Gold 2x Daily Leveraged</t>
  </si>
  <si>
    <t>Amundi German Bund Daily (-2x) Inverse UCITS ETF Acc</t>
  </si>
  <si>
    <t>L&amp;G DAX Daily 2x Long UCITS ETF</t>
  </si>
  <si>
    <t>WisdomTree Cocoa 2x Daily Leveraged</t>
  </si>
  <si>
    <t>IE00BMC5DV85</t>
  </si>
  <si>
    <t>UBS ETF (IE) CMCI Commodity Carry SF UCITS ETF (hedged to EUR) A-acc</t>
  </si>
  <si>
    <t>WisdomTree EURO STOXX 50Â® 3x Daily Short</t>
  </si>
  <si>
    <t>XS2819843223</t>
  </si>
  <si>
    <t>WisdomTree Natural Gas 3x Daily Short</t>
  </si>
  <si>
    <t>WisdomTree EURO STOXX 50Â® 3x Daily Leveraged</t>
  </si>
  <si>
    <t>WisdomTree Gold 3x Daily Short</t>
  </si>
  <si>
    <t>IE00BMC5DW92</t>
  </si>
  <si>
    <t>UBS ETF (IE) CMCI Commodity Carry SF UCITS ETF (hedged to CHF) A-acc</t>
  </si>
  <si>
    <t>XS2819843736</t>
  </si>
  <si>
    <t>WisdomTree S&amp;P 500 VIX Short-Term Futures 2.25x Daily Leveraged</t>
  </si>
  <si>
    <t>Amundi German Bund Daily (-1X) Inverse UCITS ETF Dist</t>
  </si>
  <si>
    <t>WisdomTree WTI Crude Oil 1x Daily Short</t>
  </si>
  <si>
    <t>WisdomTree Natural Gas 2x Daily Leveraged</t>
  </si>
  <si>
    <t>WisdomTree DAX 3x Daily Leveraged</t>
  </si>
  <si>
    <t>IE00B4QNK008</t>
  </si>
  <si>
    <t>L&amp;G FTSE 100 Super Short Strategy (Daily 2x) UCITS ETF</t>
  </si>
  <si>
    <t>WisdomTree Brent Crude Oil 3x Daily Short</t>
  </si>
  <si>
    <t>WisdomTree Emerging Markets 3x Daily Leveraged</t>
  </si>
  <si>
    <t>FR0010869438</t>
  </si>
  <si>
    <t>Amundi SMI Daily (-2x) Inverse UCITS ETF Acc</t>
  </si>
  <si>
    <t>WisdomTree Silver 3x Daily Short</t>
  </si>
  <si>
    <t>LU0321463258</t>
  </si>
  <si>
    <t>Xtrackers Short iBoxx EUR Sovereigns Eurozone Daily Swap UCITS ETF 1C</t>
  </si>
  <si>
    <t>LU2090062600</t>
  </si>
  <si>
    <t>Amundi LevDax Daily (2x) leveraged UCITS ETF Dist</t>
  </si>
  <si>
    <t>WisdomTree Platinum 2x Daily Leveraged</t>
  </si>
  <si>
    <t>WisdomTree Copper 2x Daily Leveraged</t>
  </si>
  <si>
    <t>LU0328473581</t>
  </si>
  <si>
    <t>Xtrackers FTSE 100 Short Daily Swap UCITS ETF 1C</t>
  </si>
  <si>
    <t>Amundi US Treasury 10Y Daily (-2x) Inverse UCITS ETF Acc</t>
  </si>
  <si>
    <t>WisdomTree Nickel 2x Daily Leveraged</t>
  </si>
  <si>
    <t>WisdomTree Coffee 2x Daily Leveraged</t>
  </si>
  <si>
    <t>WisdomTree Corn 2x Daily Leveraged</t>
  </si>
  <si>
    <t>WisdomTree Wheat 2x Daily Leveraged</t>
  </si>
  <si>
    <t>GraniteShares 3x Short Tesla Daily ETP</t>
  </si>
  <si>
    <t>IE00BN0T9H70</t>
  </si>
  <si>
    <t>Tabula US Enhanced Inflation UCITS ETF GBP Hedged Acc</t>
  </si>
  <si>
    <t>WisdomTree Gold 1x Daily Short</t>
  </si>
  <si>
    <t>IE00BMDWWS85</t>
  </si>
  <si>
    <t>Tabula US Enhanced Inflation UCITS ETF USD Acc</t>
  </si>
  <si>
    <t>XS2842095676</t>
  </si>
  <si>
    <t>GraniteShares 3x Short NVIDIA Daily ETP</t>
  </si>
  <si>
    <t>GraniteShares 3x Long Facebook Daily ETP</t>
  </si>
  <si>
    <t>GraniteShares 3x Long UniCredit Daily ETP</t>
  </si>
  <si>
    <t>CH0514065058</t>
  </si>
  <si>
    <t>21Shares Short Bitcoin ETP</t>
  </si>
  <si>
    <t>WisdomTree Silver 1x Daily Short</t>
  </si>
  <si>
    <t>Amundi US Inverse Inflation Expectations 10Y UCITS ETF Acc</t>
  </si>
  <si>
    <t>WisdomTree Sugar 2x Daily Leveraged</t>
  </si>
  <si>
    <t>WisdomTree Agriculture 2x Daily Leveraged</t>
  </si>
  <si>
    <t>XS2842095320</t>
  </si>
  <si>
    <t>IE00BKX90W50</t>
  </si>
  <si>
    <t>Tabula US Enhanced Inflation UCITS ETF CHF Hedged Acc</t>
  </si>
  <si>
    <t>WisdomTree Natural Gas 1x Daily Short</t>
  </si>
  <si>
    <t>XS2842095759</t>
  </si>
  <si>
    <t>WisdomTree Bund 30Y 3x Daily Short</t>
  </si>
  <si>
    <t>XS2846982663</t>
  </si>
  <si>
    <t>GraniteShares 3x Short UniCredit Daily ETP</t>
  </si>
  <si>
    <t>WisdomTree Bund 10Y 3x Daily Short</t>
  </si>
  <si>
    <t>WisdomTree Nickel 1x Daily Short</t>
  </si>
  <si>
    <t>WisdomTree Emerging Markets 3x Daily Short</t>
  </si>
  <si>
    <t>GraniteShares 5x Short MIB Daily ETF</t>
  </si>
  <si>
    <t>WisdomTree US Treasuries 10Y 3x Daily Short</t>
  </si>
  <si>
    <t>GraniteShares 5x Long MIB Daily ETF</t>
  </si>
  <si>
    <t>GraniteShares 3x Short Facebook Daily ETP</t>
  </si>
  <si>
    <t>WisdomTree STOXX Europe Automobiles 2x Daily Leveraged</t>
  </si>
  <si>
    <t>WisdomTree STOXX Europe Travel &amp; Leisure 2x Daily Leveraged</t>
  </si>
  <si>
    <t>WisdomTree STOXX Europe Oil &amp; Gas 2x Daily Short</t>
  </si>
  <si>
    <t>XS2836637525</t>
  </si>
  <si>
    <t>GraniteShares 3x Short MicroStrategy Daily ETP</t>
  </si>
  <si>
    <t>CH1210548884</t>
  </si>
  <si>
    <t>21Shares Short Ethereum ETP</t>
  </si>
  <si>
    <t>WisdomTree STOXX Europe Travel &amp; Leisure 2x Daily Short</t>
  </si>
  <si>
    <t>Domicilio</t>
  </si>
  <si>
    <t>size fondo(M)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</si>
</sst>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7" tint="-0.249977111117893"/>
      </left>
      <right style="thin">
        <color theme="7" tint="-0.249977111117893"/>
      </right>
      <top style="thin">
        <color theme="7" tint="-0.249977111117893"/>
      </top>
      <bottom style="thin">
        <color theme="7" tint="-0.249977111117893"/>
      </bottom>
      <diagonal/>
    </border>
    <border>
      <left style="medium">
        <color theme="7" tint="-0.249977111117893"/>
      </left>
      <right style="thin">
        <color theme="0" tint="-0.499984740745262"/>
      </right>
      <top style="medium">
        <color theme="7" tint="-0.249977111117893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7" tint="-0.249977111117893"/>
      </right>
      <top style="medium">
        <color theme="7" tint="-0.249977111117893"/>
      </top>
      <bottom style="thin">
        <color theme="0" tint="-0.499984740745262"/>
      </bottom>
      <diagonal/>
    </border>
    <border>
      <left style="medium">
        <color theme="7" tint="-0.249977111117893"/>
      </left>
      <right style="thin">
        <color theme="0" tint="-0.499984740745262"/>
      </right>
      <top style="thin">
        <color theme="0" tint="-0.499984740745262"/>
      </top>
      <bottom style="medium">
        <color theme="7" tint="-0.249977111117893"/>
      </bottom>
      <diagonal/>
    </border>
    <border>
      <left style="thin">
        <color theme="0" tint="-0.499984740745262"/>
      </left>
      <right style="medium">
        <color theme="7" tint="-0.249977111117893"/>
      </right>
      <top style="thin">
        <color theme="0" tint="-0.499984740745262"/>
      </top>
      <bottom style="medium">
        <color theme="7" tint="-0.24997711111789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/>
      <top style="thin">
        <color theme="0"/>
      </top>
      <bottom/>
      <diagonal/>
    </border>
    <border>
      <left/>
      <right style="thin">
        <color theme="0" tint="-0.499984740745262"/>
      </right>
      <top style="thin">
        <color theme="0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0" fontId="2" fillId="2" borderId="1" xfId="0" applyFont="1" applyFill="1" applyBorder="1"/>
    <xf numFmtId="0" fontId="1" fillId="2" borderId="1" xfId="0" applyFont="1" applyFill="1" applyBorder="1"/>
    <xf numFmtId="0" fontId="2" fillId="2" borderId="4" xfId="0" applyFont="1" applyFill="1" applyBorder="1"/>
    <xf numFmtId="0" fontId="2" fillId="2" borderId="2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2" fillId="2" borderId="10" xfId="0" applyFont="1" applyFill="1" applyBorder="1"/>
    <xf numFmtId="14" fontId="2" fillId="2" borderId="1" xfId="0" applyNumberFormat="1" applyFont="1" applyFill="1" applyBorder="1"/>
    <xf numFmtId="0" fontId="2" fillId="2" borderId="11" xfId="0" applyFont="1" applyFill="1" applyBorder="1"/>
    <xf numFmtId="0" fontId="1" fillId="2" borderId="4" xfId="0" applyFont="1" applyFill="1" applyBorder="1"/>
    <xf numFmtId="0" fontId="1" fillId="2" borderId="11" xfId="0" applyFont="1" applyFill="1" applyBorder="1"/>
    <xf numFmtId="14" fontId="2" fillId="2" borderId="2" xfId="0" applyNumberFormat="1" applyFont="1" applyFill="1" applyBorder="1"/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14" fontId="2" fillId="2" borderId="14" xfId="0" applyNumberFormat="1" applyFont="1" applyFill="1" applyBorder="1" applyAlignment="1">
      <alignment horizontal="center" vertical="center"/>
    </xf>
    <xf numFmtId="14" fontId="2" fillId="2" borderId="15" xfId="0" applyNumberFormat="1" applyFont="1" applyFill="1" applyBorder="1" applyAlignment="1">
      <alignment horizontal="center" vertical="center"/>
    </xf>
    <xf numFmtId="0" fontId="2" fillId="2" borderId="3" xfId="0" applyFont="1" applyFill="1" applyBorder="1"/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wrapText="1"/>
    </xf>
    <xf numFmtId="0" fontId="2" fillId="2" borderId="16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quotePrefix="1" applyFont="1" applyFill="1" applyBorder="1" applyAlignment="1">
      <alignment horizontal="left" wrapText="1"/>
    </xf>
    <xf numFmtId="0" fontId="2" fillId="2" borderId="18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left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4" fillId="2" borderId="16" xfId="0" applyFont="1" applyFill="1" applyBorder="1" applyAlignment="1">
      <alignment horizontal="center" vertical="center"/>
    </xf>
  </cellXfs>
  <cellStyles count="1">
    <cellStyle name="Normal" xfId="0" builtinId="0"/>
  </cellStyles>
  <dxfs count="17"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border diagonalUp="0" diagonalDown="0">
        <left style="thin">
          <color theme="0" tint="-0.499984740745262"/>
        </left>
        <right/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border diagonalUp="0" diagonalDown="0">
        <left/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outline="0">
        <top style="thin">
          <color theme="0" tint="-0.499984740745262"/>
        </top>
      </border>
    </dxf>
    <dxf>
      <border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border outline="0"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</dxf>
    <dxf>
      <font>
        <color theme="9"/>
      </font>
    </dxf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17</xdr:row>
      <xdr:rowOff>28575</xdr:rowOff>
    </xdr:from>
    <xdr:to>
      <xdr:col>14</xdr:col>
      <xdr:colOff>1200150</xdr:colOff>
      <xdr:row>18</xdr:row>
      <xdr:rowOff>161924</xdr:rowOff>
    </xdr:to>
    <xdr:sp macro="[0]!Module1.ImportCSVToNewSheet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CC209D11-8C8A-CF26-2CB3-277A553E1D11}"/>
            </a:ext>
          </a:extLst>
        </xdr:cNvPr>
        <xdr:cNvSpPr/>
      </xdr:nvSpPr>
      <xdr:spPr>
        <a:xfrm>
          <a:off x="14916150" y="3381375"/>
          <a:ext cx="1971675" cy="323849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 kern="1200"/>
            <a:t>RECUPERA</a:t>
          </a:r>
          <a:r>
            <a:rPr lang="it-IT" sz="1100" kern="1200" baseline="0"/>
            <a:t> DATI ETF</a:t>
          </a:r>
          <a:endParaRPr lang="it-IT" sz="1100" kern="1200"/>
        </a:p>
      </xdr:txBody>
    </xdr:sp>
    <xdr:clientData/>
  </xdr:twoCellAnchor>
  <xdr:twoCellAnchor>
    <xdr:from>
      <xdr:col>13</xdr:col>
      <xdr:colOff>57150</xdr:colOff>
      <xdr:row>20</xdr:row>
      <xdr:rowOff>19050</xdr:rowOff>
    </xdr:from>
    <xdr:to>
      <xdr:col>14</xdr:col>
      <xdr:colOff>1200150</xdr:colOff>
      <xdr:row>21</xdr:row>
      <xdr:rowOff>152399</xdr:rowOff>
    </xdr:to>
    <xdr:sp macro="[0]!CreaGrafico" textlink="">
      <xdr:nvSpPr>
        <xdr:cNvPr id="4" name="Rectangle: Diagonal Corners Rounded 3">
          <a:extLst>
            <a:ext uri="{FF2B5EF4-FFF2-40B4-BE49-F238E27FC236}">
              <a16:creationId xmlns:a16="http://schemas.microsoft.com/office/drawing/2014/main" id="{18BECFF0-EC7C-488C-9FD7-4A9EEA5671D5}"/>
            </a:ext>
          </a:extLst>
        </xdr:cNvPr>
        <xdr:cNvSpPr/>
      </xdr:nvSpPr>
      <xdr:spPr>
        <a:xfrm>
          <a:off x="14916150" y="3943350"/>
          <a:ext cx="1971675" cy="323849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 kern="1200"/>
            <a:t>GENERA GRAFICI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ista%20ETF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a ETF2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BCB3C1D-DFE9-4275-8C85-F1500ED7605A}" name="Table1" displayName="Table1" ref="A2:I34" totalsRowShown="0" headerRowDxfId="14" dataDxfId="12" headerRowBorderDxfId="13" tableBorderDxfId="11" totalsRowBorderDxfId="10">
  <autoFilter ref="A2:I34" xr:uid="{1BCB3C1D-DFE9-4275-8C85-F1500ED7605A}"/>
  <tableColumns count="9">
    <tableColumn id="1" xr3:uid="{9973F79B-ECBF-4B23-B60E-972A6CB91705}" name="Tipologia Asset" dataDxfId="9"/>
    <tableColumn id="2" xr3:uid="{6E96A6BC-4345-4E85-AD02-91C1B09129B6}" name="Nome" dataDxfId="8"/>
    <tableColumn id="8" xr3:uid="{5EDB4990-3A5F-4ED3-A3B6-48E44DAD3DF4}" name="KEY" dataDxfId="7"/>
    <tableColumn id="3" xr3:uid="{D389FF6F-464A-446C-9B97-1E8734AC5B7A}" name="Peso %" dataDxfId="6">
      <calculatedColumnFormula>IF(E3&gt;0, E3/ $L$11*100, "")</calculatedColumnFormula>
    </tableColumn>
    <tableColumn id="4" xr3:uid="{707F214F-9837-43C0-A25F-5606880C1D19}" name="Soldi Investiti" dataDxfId="5"/>
    <tableColumn id="11" xr3:uid="{73F617CE-92BA-4D42-8303-00EC2F4E42F4}" name="Valore attuale" dataDxfId="4">
      <calculatedColumnFormula>IFERROR(E3*(1+I3/100),"")</calculatedColumnFormula>
    </tableColumn>
    <tableColumn id="10" xr3:uid="{24F5643F-B752-49F6-83E7-0B58AD8774EC}" name="Prezzo Acquisto" dataDxfId="3">
      <calculatedColumnFormula>IFERROR(INDEX(INDIRECT("'" &amp; C3 &amp; "'!B:B"), MATCH($N$2,INDIRECT("'" &amp; C3 &amp; "'!A:A"), 0)),"")</calculatedColumnFormula>
    </tableColumn>
    <tableColumn id="5" xr3:uid="{57CBD951-8988-4325-927E-4DDD46ADA4CF}" name="Prezzo Attuale" dataDxfId="2">
      <calculatedColumnFormula>IFERROR(INDEX(INDIRECT("'" &amp; C3 &amp; "'!B:B"), MATCH($O$2,INDIRECT("'" &amp; C3 &amp; "'!A:A"), 0)),"")</calculatedColumnFormula>
    </tableColumn>
    <tableColumn id="6" xr3:uid="{667E000A-218D-4132-AB73-C396FAA2B937}" name="Variazione %" dataDxfId="1">
      <calculatedColumnFormula>IFERROR((H3-G3)/G3*100,"")</calculatedColumnFormula>
    </tableColumn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CDC0D98-2D03-4D72-94F6-8219F4E0D27A}" name="Table3" displayName="Table3" ref="A1:R3387" totalsRowShown="0">
  <autoFilter ref="A1:R3387" xr:uid="{2CDC0D98-2D03-4D72-94F6-8219F4E0D27A}"/>
  <tableColumns count="18">
    <tableColumn id="1" xr3:uid="{318241B1-B046-45EB-A928-BD2E5887AE77}" name="name"/>
    <tableColumn id="2" xr3:uid="{CFA1B990-EF34-4418-B4AB-64593DDAD08A}" name="exchange"/>
    <tableColumn id="48" xr3:uid="{E92BE9AF-2A24-45FF-AB4E-43FC8D98E717}" name="Domicilio"/>
    <tableColumn id="4" xr3:uid="{D3FB5964-DBE0-4C76-81A5-C4545115F440}" name="isin"/>
    <tableColumn id="7" xr3:uid="{C3C28E64-DCC0-4EDE-93EC-FD1201AB066D}" name="inception_date" dataDxfId="0"/>
    <tableColumn id="8" xr3:uid="{0A7C7E7E-02D5-44AD-AD80-F4816B24D0AF}" name="age_in_days"/>
    <tableColumn id="10" xr3:uid="{7C7190D2-58FA-40C4-A72E-B155A81EDE41}" name="strategy"/>
    <tableColumn id="12" xr3:uid="{0FEDEB5A-3488-4F6E-9282-6D6EB2C8F8F6}" name="currency"/>
    <tableColumn id="14" xr3:uid="{A3EB952D-B448-4948-B04F-943F6A0FCB73}" name="securities_lending"/>
    <tableColumn id="15" xr3:uid="{C592C87A-5C3A-4476-8EB9-B27F092F383C}" name="dividends"/>
    <tableColumn id="16" xr3:uid="{42C7DAF9-6784-4F90-9543-6E04F81B4054}" name="ter"/>
    <tableColumn id="17" xr3:uid="{90CAF051-2CAD-4BD3-94DF-3E933BC189A3}" name="replication"/>
    <tableColumn id="18" xr3:uid="{8C034DF3-D033-4707-BBA3-3F5694D1E1A2}" name="size fondo(M)"/>
    <tableColumn id="19" xr3:uid="{9F3A2735-16AF-436B-A21C-229A26386CC3}" name="is_sustainable"/>
    <tableColumn id="20" xr3:uid="{37DB36C5-5B88-420F-986F-076656469C9A}" name="number_of_holdings"/>
    <tableColumn id="45" xr3:uid="{B1A349AB-9206-4FAA-9A3E-9EFD54A9D9C7}" name="asset_class"/>
    <tableColumn id="46" xr3:uid="{4A464AE4-1443-4996-A119-FFDDD1B81600}" name="instrument"/>
    <tableColumn id="47" xr3:uid="{DBF3FC3F-D96C-49EE-BD40-76D231C8AFC4}" name="region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EF9BD-B3BF-4D86-968E-6506E24FF5E8}">
  <dimension ref="A1:B5297"/>
  <sheetViews>
    <sheetView workbookViewId="0"/>
  </sheetViews>
  <sheetFormatPr defaultRowHeight="15" x14ac:dyDescent="0.25"/>
  <cols>
    <col min="1" max="1" width="10.7109375" bestFit="1" customWidth="1"/>
    <col min="2" max="2" width="7" bestFit="1" customWidth="1"/>
  </cols>
  <sheetData>
    <row r="1" spans="1:2" x14ac:dyDescent="0.25">
      <c r="A1" t="s">
        <v>2</v>
      </c>
      <c r="B1" t="s">
        <v>1</v>
      </c>
    </row>
    <row r="2" spans="1:2" x14ac:dyDescent="0.25">
      <c r="A2" s="2">
        <v>40317</v>
      </c>
      <c r="B2">
        <v>77.03</v>
      </c>
    </row>
    <row r="3" spans="1:2" x14ac:dyDescent="0.25">
      <c r="A3" s="2">
        <v>40318</v>
      </c>
      <c r="B3">
        <v>73.650000000000006</v>
      </c>
    </row>
    <row r="4" spans="1:2" x14ac:dyDescent="0.25">
      <c r="A4" s="2">
        <v>40319</v>
      </c>
      <c r="B4">
        <v>73.790000000000006</v>
      </c>
    </row>
    <row r="5" spans="1:2" x14ac:dyDescent="0.25">
      <c r="A5" s="2">
        <v>40320</v>
      </c>
      <c r="B5">
        <v>73.790000000000006</v>
      </c>
    </row>
    <row r="6" spans="1:2" x14ac:dyDescent="0.25">
      <c r="A6" s="2">
        <v>40321</v>
      </c>
      <c r="B6">
        <v>73.790000000000006</v>
      </c>
    </row>
    <row r="7" spans="1:2" x14ac:dyDescent="0.25">
      <c r="A7" s="2">
        <v>40322</v>
      </c>
      <c r="B7">
        <v>73.64</v>
      </c>
    </row>
    <row r="8" spans="1:2" x14ac:dyDescent="0.25">
      <c r="A8" s="2">
        <v>40323</v>
      </c>
      <c r="B8">
        <v>74.489999999999995</v>
      </c>
    </row>
    <row r="9" spans="1:2" x14ac:dyDescent="0.25">
      <c r="A9" s="2">
        <v>40324</v>
      </c>
      <c r="B9">
        <v>73.56</v>
      </c>
    </row>
    <row r="10" spans="1:2" x14ac:dyDescent="0.25">
      <c r="A10" s="2">
        <v>40325</v>
      </c>
      <c r="B10">
        <v>76.34</v>
      </c>
    </row>
    <row r="11" spans="1:2" x14ac:dyDescent="0.25">
      <c r="A11" s="2">
        <v>40326</v>
      </c>
      <c r="B11">
        <v>74.61</v>
      </c>
    </row>
    <row r="12" spans="1:2" x14ac:dyDescent="0.25">
      <c r="A12" s="2">
        <v>40327</v>
      </c>
      <c r="B12">
        <v>74.61</v>
      </c>
    </row>
    <row r="13" spans="1:2" x14ac:dyDescent="0.25">
      <c r="A13" s="2">
        <v>40328</v>
      </c>
      <c r="B13">
        <v>74.61</v>
      </c>
    </row>
    <row r="14" spans="1:2" x14ac:dyDescent="0.25">
      <c r="A14" s="2">
        <v>40329</v>
      </c>
      <c r="B14">
        <v>75.08</v>
      </c>
    </row>
    <row r="15" spans="1:2" x14ac:dyDescent="0.25">
      <c r="A15" s="2">
        <v>40330</v>
      </c>
      <c r="B15">
        <v>74.709999999999994</v>
      </c>
    </row>
    <row r="16" spans="1:2" x14ac:dyDescent="0.25">
      <c r="A16" s="2">
        <v>40331</v>
      </c>
      <c r="B16">
        <v>76.260000000000005</v>
      </c>
    </row>
    <row r="17" spans="1:2" x14ac:dyDescent="0.25">
      <c r="A17" s="2">
        <v>40332</v>
      </c>
      <c r="B17">
        <v>76.260000000000005</v>
      </c>
    </row>
    <row r="18" spans="1:2" x14ac:dyDescent="0.25">
      <c r="A18" s="2">
        <v>40333</v>
      </c>
      <c r="B18">
        <v>74.91</v>
      </c>
    </row>
    <row r="19" spans="1:2" x14ac:dyDescent="0.25">
      <c r="A19" s="2">
        <v>40334</v>
      </c>
      <c r="B19">
        <v>74.91</v>
      </c>
    </row>
    <row r="20" spans="1:2" x14ac:dyDescent="0.25">
      <c r="A20" s="2">
        <v>40335</v>
      </c>
      <c r="B20">
        <v>74.91</v>
      </c>
    </row>
    <row r="21" spans="1:2" x14ac:dyDescent="0.25">
      <c r="A21" s="2">
        <v>40336</v>
      </c>
      <c r="B21">
        <v>74.52</v>
      </c>
    </row>
    <row r="22" spans="1:2" x14ac:dyDescent="0.25">
      <c r="A22" s="2">
        <v>40337</v>
      </c>
      <c r="B22">
        <v>75.459999999999994</v>
      </c>
    </row>
    <row r="23" spans="1:2" x14ac:dyDescent="0.25">
      <c r="A23" s="2">
        <v>40338</v>
      </c>
      <c r="B23">
        <v>74.58</v>
      </c>
    </row>
    <row r="24" spans="1:2" x14ac:dyDescent="0.25">
      <c r="A24" s="2">
        <v>40339</v>
      </c>
      <c r="B24">
        <v>76.56</v>
      </c>
    </row>
    <row r="25" spans="1:2" x14ac:dyDescent="0.25">
      <c r="A25" s="2">
        <v>40340</v>
      </c>
      <c r="B25">
        <v>76.400000000000006</v>
      </c>
    </row>
    <row r="26" spans="1:2" x14ac:dyDescent="0.25">
      <c r="A26" s="2">
        <v>40341</v>
      </c>
      <c r="B26">
        <v>76.400000000000006</v>
      </c>
    </row>
    <row r="27" spans="1:2" x14ac:dyDescent="0.25">
      <c r="A27" s="2">
        <v>40342</v>
      </c>
      <c r="B27">
        <v>76.400000000000006</v>
      </c>
    </row>
    <row r="28" spans="1:2" x14ac:dyDescent="0.25">
      <c r="A28" s="2">
        <v>40343</v>
      </c>
      <c r="B28">
        <v>75.5</v>
      </c>
    </row>
    <row r="29" spans="1:2" x14ac:dyDescent="0.25">
      <c r="A29" s="2">
        <v>40344</v>
      </c>
      <c r="B29">
        <v>77.209999999999994</v>
      </c>
    </row>
    <row r="30" spans="1:2" x14ac:dyDescent="0.25">
      <c r="A30" s="2">
        <v>40345</v>
      </c>
      <c r="B30">
        <v>77.05</v>
      </c>
    </row>
    <row r="31" spans="1:2" x14ac:dyDescent="0.25">
      <c r="A31" s="2">
        <v>40346</v>
      </c>
      <c r="B31">
        <v>76.62</v>
      </c>
    </row>
    <row r="32" spans="1:2" x14ac:dyDescent="0.25">
      <c r="A32" s="2">
        <v>40347</v>
      </c>
      <c r="B32">
        <v>76.67</v>
      </c>
    </row>
    <row r="33" spans="1:2" x14ac:dyDescent="0.25">
      <c r="A33" s="2">
        <v>40348</v>
      </c>
      <c r="B33">
        <v>76.67</v>
      </c>
    </row>
    <row r="34" spans="1:2" x14ac:dyDescent="0.25">
      <c r="A34" s="2">
        <v>40349</v>
      </c>
      <c r="B34">
        <v>76.67</v>
      </c>
    </row>
    <row r="35" spans="1:2" x14ac:dyDescent="0.25">
      <c r="A35" s="2">
        <v>40350</v>
      </c>
      <c r="B35">
        <v>76.260000000000005</v>
      </c>
    </row>
    <row r="36" spans="1:2" x14ac:dyDescent="0.25">
      <c r="A36" s="2">
        <v>40351</v>
      </c>
      <c r="B36">
        <v>75.849999999999994</v>
      </c>
    </row>
    <row r="37" spans="1:2" x14ac:dyDescent="0.25">
      <c r="A37" s="2">
        <v>40352</v>
      </c>
      <c r="B37">
        <v>75.55</v>
      </c>
    </row>
    <row r="38" spans="1:2" x14ac:dyDescent="0.25">
      <c r="A38" s="2">
        <v>40353</v>
      </c>
      <c r="B38">
        <v>74.34</v>
      </c>
    </row>
    <row r="39" spans="1:2" x14ac:dyDescent="0.25">
      <c r="A39" s="2">
        <v>40354</v>
      </c>
      <c r="B39">
        <v>74.349999999999994</v>
      </c>
    </row>
    <row r="40" spans="1:2" x14ac:dyDescent="0.25">
      <c r="A40" s="2">
        <v>40355</v>
      </c>
      <c r="B40">
        <v>74.349999999999994</v>
      </c>
    </row>
    <row r="41" spans="1:2" x14ac:dyDescent="0.25">
      <c r="A41" s="2">
        <v>40356</v>
      </c>
      <c r="B41">
        <v>74.349999999999994</v>
      </c>
    </row>
    <row r="42" spans="1:2" x14ac:dyDescent="0.25">
      <c r="A42" s="2">
        <v>40357</v>
      </c>
      <c r="B42">
        <v>73.94</v>
      </c>
    </row>
    <row r="43" spans="1:2" x14ac:dyDescent="0.25">
      <c r="A43" s="2">
        <v>40358</v>
      </c>
      <c r="B43">
        <v>72.48</v>
      </c>
    </row>
    <row r="44" spans="1:2" x14ac:dyDescent="0.25">
      <c r="A44" s="2">
        <v>40359</v>
      </c>
      <c r="B44">
        <v>71.33</v>
      </c>
    </row>
    <row r="45" spans="1:2" x14ac:dyDescent="0.25">
      <c r="A45" s="2">
        <v>40360</v>
      </c>
      <c r="B45">
        <v>70.77</v>
      </c>
    </row>
    <row r="46" spans="1:2" x14ac:dyDescent="0.25">
      <c r="A46" s="2">
        <v>40361</v>
      </c>
      <c r="B46">
        <v>69.209999999999994</v>
      </c>
    </row>
    <row r="47" spans="1:2" x14ac:dyDescent="0.25">
      <c r="A47" s="2">
        <v>40362</v>
      </c>
      <c r="B47">
        <v>69.209999999999994</v>
      </c>
    </row>
    <row r="48" spans="1:2" x14ac:dyDescent="0.25">
      <c r="A48" s="2">
        <v>40363</v>
      </c>
      <c r="B48">
        <v>69.209999999999994</v>
      </c>
    </row>
    <row r="49" spans="1:2" x14ac:dyDescent="0.25">
      <c r="A49" s="2">
        <v>40364</v>
      </c>
      <c r="B49">
        <v>69.3</v>
      </c>
    </row>
    <row r="50" spans="1:2" x14ac:dyDescent="0.25">
      <c r="A50" s="2">
        <v>40365</v>
      </c>
      <c r="B50">
        <v>69.41</v>
      </c>
    </row>
    <row r="51" spans="1:2" x14ac:dyDescent="0.25">
      <c r="A51" s="2">
        <v>40366</v>
      </c>
      <c r="B51">
        <v>71.680000000000007</v>
      </c>
    </row>
    <row r="52" spans="1:2" x14ac:dyDescent="0.25">
      <c r="A52" s="2">
        <v>40367</v>
      </c>
      <c r="B52">
        <v>71.819999999999993</v>
      </c>
    </row>
    <row r="53" spans="1:2" x14ac:dyDescent="0.25">
      <c r="A53" s="2">
        <v>40368</v>
      </c>
      <c r="B53">
        <v>72.47</v>
      </c>
    </row>
    <row r="54" spans="1:2" x14ac:dyDescent="0.25">
      <c r="A54" s="2">
        <v>40369</v>
      </c>
      <c r="B54">
        <v>72.47</v>
      </c>
    </row>
    <row r="55" spans="1:2" x14ac:dyDescent="0.25">
      <c r="A55" s="2">
        <v>40370</v>
      </c>
      <c r="B55">
        <v>72.47</v>
      </c>
    </row>
    <row r="56" spans="1:2" x14ac:dyDescent="0.25">
      <c r="A56" s="2">
        <v>40371</v>
      </c>
      <c r="B56">
        <v>72.900000000000006</v>
      </c>
    </row>
    <row r="57" spans="1:2" x14ac:dyDescent="0.25">
      <c r="A57" s="2">
        <v>40372</v>
      </c>
      <c r="B57">
        <v>74.040000000000006</v>
      </c>
    </row>
    <row r="58" spans="1:2" x14ac:dyDescent="0.25">
      <c r="A58" s="2">
        <v>40373</v>
      </c>
      <c r="B58">
        <v>73.25</v>
      </c>
    </row>
    <row r="59" spans="1:2" x14ac:dyDescent="0.25">
      <c r="A59" s="2">
        <v>40374</v>
      </c>
      <c r="B59">
        <v>72.62</v>
      </c>
    </row>
    <row r="60" spans="1:2" x14ac:dyDescent="0.25">
      <c r="A60" s="2">
        <v>40375</v>
      </c>
      <c r="B60">
        <v>69.599999999999994</v>
      </c>
    </row>
    <row r="61" spans="1:2" x14ac:dyDescent="0.25">
      <c r="A61" s="2">
        <v>40376</v>
      </c>
      <c r="B61">
        <v>69.599999999999994</v>
      </c>
    </row>
    <row r="62" spans="1:2" x14ac:dyDescent="0.25">
      <c r="A62" s="2">
        <v>40377</v>
      </c>
      <c r="B62">
        <v>69.599999999999994</v>
      </c>
    </row>
    <row r="63" spans="1:2" x14ac:dyDescent="0.25">
      <c r="A63" s="2">
        <v>40378</v>
      </c>
      <c r="B63">
        <v>70.25</v>
      </c>
    </row>
    <row r="64" spans="1:2" x14ac:dyDescent="0.25">
      <c r="A64" s="2">
        <v>40379</v>
      </c>
      <c r="B64">
        <v>71.67</v>
      </c>
    </row>
    <row r="65" spans="1:2" x14ac:dyDescent="0.25">
      <c r="A65" s="2">
        <v>40380</v>
      </c>
      <c r="B65">
        <v>70.91</v>
      </c>
    </row>
    <row r="66" spans="1:2" x14ac:dyDescent="0.25">
      <c r="A66" s="2">
        <v>40381</v>
      </c>
      <c r="B66">
        <v>72.319999999999993</v>
      </c>
    </row>
    <row r="67" spans="1:2" x14ac:dyDescent="0.25">
      <c r="A67" s="2">
        <v>40382</v>
      </c>
      <c r="B67">
        <v>72.650000000000006</v>
      </c>
    </row>
    <row r="68" spans="1:2" x14ac:dyDescent="0.25">
      <c r="A68" s="2">
        <v>40383</v>
      </c>
      <c r="B68">
        <v>72.650000000000006</v>
      </c>
    </row>
    <row r="69" spans="1:2" x14ac:dyDescent="0.25">
      <c r="A69" s="2">
        <v>40384</v>
      </c>
      <c r="B69">
        <v>72.650000000000006</v>
      </c>
    </row>
    <row r="70" spans="1:2" x14ac:dyDescent="0.25">
      <c r="A70" s="2">
        <v>40385</v>
      </c>
      <c r="B70">
        <v>73.27</v>
      </c>
    </row>
    <row r="71" spans="1:2" x14ac:dyDescent="0.25">
      <c r="A71" s="2">
        <v>40386</v>
      </c>
      <c r="B71">
        <v>72.62</v>
      </c>
    </row>
    <row r="72" spans="1:2" x14ac:dyDescent="0.25">
      <c r="A72" s="2">
        <v>40387</v>
      </c>
      <c r="B72">
        <v>72.34</v>
      </c>
    </row>
    <row r="73" spans="1:2" x14ac:dyDescent="0.25">
      <c r="A73" s="2">
        <v>40388</v>
      </c>
      <c r="B73">
        <v>71.63</v>
      </c>
    </row>
    <row r="74" spans="1:2" x14ac:dyDescent="0.25">
      <c r="A74" s="2">
        <v>40389</v>
      </c>
      <c r="B74">
        <v>71.86</v>
      </c>
    </row>
    <row r="75" spans="1:2" x14ac:dyDescent="0.25">
      <c r="A75" s="2">
        <v>40390</v>
      </c>
      <c r="B75">
        <v>71.86</v>
      </c>
    </row>
    <row r="76" spans="1:2" x14ac:dyDescent="0.25">
      <c r="A76" s="2">
        <v>40391</v>
      </c>
      <c r="B76">
        <v>71.86</v>
      </c>
    </row>
    <row r="77" spans="1:2" x14ac:dyDescent="0.25">
      <c r="A77" s="2">
        <v>40392</v>
      </c>
      <c r="B77">
        <v>73.19</v>
      </c>
    </row>
    <row r="78" spans="1:2" x14ac:dyDescent="0.25">
      <c r="A78" s="2">
        <v>40393</v>
      </c>
      <c r="B78">
        <v>72.02</v>
      </c>
    </row>
    <row r="79" spans="1:2" x14ac:dyDescent="0.25">
      <c r="A79" s="2">
        <v>40394</v>
      </c>
      <c r="B79">
        <v>72.56</v>
      </c>
    </row>
    <row r="80" spans="1:2" x14ac:dyDescent="0.25">
      <c r="A80" s="2">
        <v>40395</v>
      </c>
      <c r="B80">
        <v>72.59</v>
      </c>
    </row>
    <row r="81" spans="1:2" x14ac:dyDescent="0.25">
      <c r="A81" s="2">
        <v>40396</v>
      </c>
      <c r="B81">
        <v>72.37</v>
      </c>
    </row>
    <row r="82" spans="1:2" x14ac:dyDescent="0.25">
      <c r="A82" s="2">
        <v>40397</v>
      </c>
      <c r="B82">
        <v>72.37</v>
      </c>
    </row>
    <row r="83" spans="1:2" x14ac:dyDescent="0.25">
      <c r="A83" s="2">
        <v>40398</v>
      </c>
      <c r="B83">
        <v>72.37</v>
      </c>
    </row>
    <row r="84" spans="1:2" x14ac:dyDescent="0.25">
      <c r="A84" s="2">
        <v>40399</v>
      </c>
      <c r="B84">
        <v>72.349999999999994</v>
      </c>
    </row>
    <row r="85" spans="1:2" x14ac:dyDescent="0.25">
      <c r="A85" s="2">
        <v>40400</v>
      </c>
      <c r="B85">
        <v>72.569999999999993</v>
      </c>
    </row>
    <row r="86" spans="1:2" x14ac:dyDescent="0.25">
      <c r="A86" s="2">
        <v>40401</v>
      </c>
      <c r="B86">
        <v>71.2</v>
      </c>
    </row>
    <row r="87" spans="1:2" x14ac:dyDescent="0.25">
      <c r="A87" s="2">
        <v>40402</v>
      </c>
      <c r="B87">
        <v>72.069999999999993</v>
      </c>
    </row>
    <row r="88" spans="1:2" x14ac:dyDescent="0.25">
      <c r="A88" s="2">
        <v>40403</v>
      </c>
      <c r="B88">
        <v>71.73</v>
      </c>
    </row>
    <row r="89" spans="1:2" x14ac:dyDescent="0.25">
      <c r="A89" s="2">
        <v>40404</v>
      </c>
      <c r="B89">
        <v>71.73</v>
      </c>
    </row>
    <row r="90" spans="1:2" x14ac:dyDescent="0.25">
      <c r="A90" s="2">
        <v>40405</v>
      </c>
      <c r="B90">
        <v>71.73</v>
      </c>
    </row>
    <row r="91" spans="1:2" x14ac:dyDescent="0.25">
      <c r="A91" s="2">
        <v>40406</v>
      </c>
      <c r="B91">
        <v>71.63</v>
      </c>
    </row>
    <row r="92" spans="1:2" x14ac:dyDescent="0.25">
      <c r="A92" s="2">
        <v>40407</v>
      </c>
      <c r="B92">
        <v>72.290000000000006</v>
      </c>
    </row>
    <row r="93" spans="1:2" x14ac:dyDescent="0.25">
      <c r="A93" s="2">
        <v>40408</v>
      </c>
      <c r="B93">
        <v>72.3</v>
      </c>
    </row>
    <row r="94" spans="1:2" x14ac:dyDescent="0.25">
      <c r="A94" s="2">
        <v>40409</v>
      </c>
      <c r="B94">
        <v>71.319999999999993</v>
      </c>
    </row>
    <row r="95" spans="1:2" x14ac:dyDescent="0.25">
      <c r="A95" s="2">
        <v>40410</v>
      </c>
      <c r="B95">
        <v>71.760000000000005</v>
      </c>
    </row>
    <row r="96" spans="1:2" x14ac:dyDescent="0.25">
      <c r="A96" s="2">
        <v>40411</v>
      </c>
      <c r="B96">
        <v>71.760000000000005</v>
      </c>
    </row>
    <row r="97" spans="1:2" x14ac:dyDescent="0.25">
      <c r="A97" s="2">
        <v>40412</v>
      </c>
      <c r="B97">
        <v>71.760000000000005</v>
      </c>
    </row>
    <row r="98" spans="1:2" x14ac:dyDescent="0.25">
      <c r="A98" s="2">
        <v>40413</v>
      </c>
      <c r="B98">
        <v>71.510000000000005</v>
      </c>
    </row>
    <row r="99" spans="1:2" x14ac:dyDescent="0.25">
      <c r="A99" s="2">
        <v>40414</v>
      </c>
      <c r="B99">
        <v>70.989999999999995</v>
      </c>
    </row>
    <row r="100" spans="1:2" x14ac:dyDescent="0.25">
      <c r="A100" s="2">
        <v>40415</v>
      </c>
      <c r="B100">
        <v>71.22</v>
      </c>
    </row>
    <row r="101" spans="1:2" x14ac:dyDescent="0.25">
      <c r="A101" s="2">
        <v>40416</v>
      </c>
      <c r="B101">
        <v>70.23</v>
      </c>
    </row>
    <row r="102" spans="1:2" x14ac:dyDescent="0.25">
      <c r="A102" s="2">
        <v>40417</v>
      </c>
      <c r="B102">
        <v>71.290000000000006</v>
      </c>
    </row>
    <row r="103" spans="1:2" x14ac:dyDescent="0.25">
      <c r="A103" s="2">
        <v>40418</v>
      </c>
      <c r="B103">
        <v>71.290000000000006</v>
      </c>
    </row>
    <row r="104" spans="1:2" x14ac:dyDescent="0.25">
      <c r="A104" s="2">
        <v>40419</v>
      </c>
      <c r="B104">
        <v>71.290000000000006</v>
      </c>
    </row>
    <row r="105" spans="1:2" x14ac:dyDescent="0.25">
      <c r="A105" s="2">
        <v>40420</v>
      </c>
      <c r="B105">
        <v>70.33</v>
      </c>
    </row>
    <row r="106" spans="1:2" x14ac:dyDescent="0.25">
      <c r="A106" s="2">
        <v>40421</v>
      </c>
      <c r="B106">
        <v>70.47</v>
      </c>
    </row>
    <row r="107" spans="1:2" x14ac:dyDescent="0.25">
      <c r="A107" s="2">
        <v>40422</v>
      </c>
      <c r="B107">
        <v>71.88</v>
      </c>
    </row>
    <row r="108" spans="1:2" x14ac:dyDescent="0.25">
      <c r="A108" s="2">
        <v>40423</v>
      </c>
      <c r="B108">
        <v>72.430000000000007</v>
      </c>
    </row>
    <row r="109" spans="1:2" x14ac:dyDescent="0.25">
      <c r="A109" s="2">
        <v>40424</v>
      </c>
      <c r="B109">
        <v>73.290000000000006</v>
      </c>
    </row>
    <row r="110" spans="1:2" x14ac:dyDescent="0.25">
      <c r="A110" s="2">
        <v>40425</v>
      </c>
      <c r="B110">
        <v>73.290000000000006</v>
      </c>
    </row>
    <row r="111" spans="1:2" x14ac:dyDescent="0.25">
      <c r="A111" s="2">
        <v>40426</v>
      </c>
      <c r="B111">
        <v>73.290000000000006</v>
      </c>
    </row>
    <row r="112" spans="1:2" x14ac:dyDescent="0.25">
      <c r="A112" s="2">
        <v>40427</v>
      </c>
      <c r="B112">
        <v>73.06</v>
      </c>
    </row>
    <row r="113" spans="1:2" x14ac:dyDescent="0.25">
      <c r="A113" s="2">
        <v>40428</v>
      </c>
      <c r="B113">
        <v>72.97</v>
      </c>
    </row>
    <row r="114" spans="1:2" x14ac:dyDescent="0.25">
      <c r="A114" s="2">
        <v>40429</v>
      </c>
      <c r="B114">
        <v>73.72</v>
      </c>
    </row>
    <row r="115" spans="1:2" x14ac:dyDescent="0.25">
      <c r="A115" s="2">
        <v>40430</v>
      </c>
      <c r="B115">
        <v>73.97</v>
      </c>
    </row>
    <row r="116" spans="1:2" x14ac:dyDescent="0.25">
      <c r="A116" s="2">
        <v>40431</v>
      </c>
      <c r="B116">
        <v>74.27</v>
      </c>
    </row>
    <row r="117" spans="1:2" x14ac:dyDescent="0.25">
      <c r="A117" s="2">
        <v>40432</v>
      </c>
      <c r="B117">
        <v>74.27</v>
      </c>
    </row>
    <row r="118" spans="1:2" x14ac:dyDescent="0.25">
      <c r="A118" s="2">
        <v>40433</v>
      </c>
      <c r="B118">
        <v>74.27</v>
      </c>
    </row>
    <row r="119" spans="1:2" x14ac:dyDescent="0.25">
      <c r="A119" s="2">
        <v>40434</v>
      </c>
      <c r="B119">
        <v>74.67</v>
      </c>
    </row>
    <row r="120" spans="1:2" x14ac:dyDescent="0.25">
      <c r="A120" s="2">
        <v>40435</v>
      </c>
      <c r="B120">
        <v>74.33</v>
      </c>
    </row>
    <row r="121" spans="1:2" x14ac:dyDescent="0.25">
      <c r="A121" s="2">
        <v>40436</v>
      </c>
      <c r="B121">
        <v>73.8</v>
      </c>
    </row>
    <row r="122" spans="1:2" x14ac:dyDescent="0.25">
      <c r="A122" s="2">
        <v>40437</v>
      </c>
      <c r="B122">
        <v>73.28</v>
      </c>
    </row>
    <row r="123" spans="1:2" x14ac:dyDescent="0.25">
      <c r="A123" s="2">
        <v>40438</v>
      </c>
      <c r="B123">
        <v>73.45</v>
      </c>
    </row>
    <row r="124" spans="1:2" x14ac:dyDescent="0.25">
      <c r="A124" s="2">
        <v>40439</v>
      </c>
      <c r="B124">
        <v>73.45</v>
      </c>
    </row>
    <row r="125" spans="1:2" x14ac:dyDescent="0.25">
      <c r="A125" s="2">
        <v>40440</v>
      </c>
      <c r="B125">
        <v>73.45</v>
      </c>
    </row>
    <row r="126" spans="1:2" x14ac:dyDescent="0.25">
      <c r="A126" s="2">
        <v>40441</v>
      </c>
      <c r="B126">
        <v>74.48</v>
      </c>
    </row>
    <row r="127" spans="1:2" x14ac:dyDescent="0.25">
      <c r="A127" s="2">
        <v>40442</v>
      </c>
      <c r="B127">
        <v>74.03</v>
      </c>
    </row>
    <row r="128" spans="1:2" x14ac:dyDescent="0.25">
      <c r="A128" s="2">
        <v>40443</v>
      </c>
      <c r="B128">
        <v>72.34</v>
      </c>
    </row>
    <row r="129" spans="1:2" x14ac:dyDescent="0.25">
      <c r="A129" s="2">
        <v>40444</v>
      </c>
      <c r="B129">
        <v>71.959999999999994</v>
      </c>
    </row>
    <row r="130" spans="1:2" x14ac:dyDescent="0.25">
      <c r="A130" s="2">
        <v>40445</v>
      </c>
      <c r="B130">
        <v>72.989999999999995</v>
      </c>
    </row>
    <row r="131" spans="1:2" x14ac:dyDescent="0.25">
      <c r="A131" s="2">
        <v>40446</v>
      </c>
      <c r="B131">
        <v>72.989999999999995</v>
      </c>
    </row>
    <row r="132" spans="1:2" x14ac:dyDescent="0.25">
      <c r="A132" s="2">
        <v>40447</v>
      </c>
      <c r="B132">
        <v>72.989999999999995</v>
      </c>
    </row>
    <row r="133" spans="1:2" x14ac:dyDescent="0.25">
      <c r="A133" s="2">
        <v>40448</v>
      </c>
      <c r="B133">
        <v>72.23</v>
      </c>
    </row>
    <row r="134" spans="1:2" x14ac:dyDescent="0.25">
      <c r="A134" s="2">
        <v>40449</v>
      </c>
      <c r="B134">
        <v>72.680000000000007</v>
      </c>
    </row>
    <row r="135" spans="1:2" x14ac:dyDescent="0.25">
      <c r="A135" s="2">
        <v>40450</v>
      </c>
      <c r="B135">
        <v>71.69</v>
      </c>
    </row>
    <row r="136" spans="1:2" x14ac:dyDescent="0.25">
      <c r="A136" s="2">
        <v>40451</v>
      </c>
      <c r="B136">
        <v>71.28</v>
      </c>
    </row>
    <row r="137" spans="1:2" x14ac:dyDescent="0.25">
      <c r="A137" s="2">
        <v>40452</v>
      </c>
      <c r="B137">
        <v>71.19</v>
      </c>
    </row>
    <row r="138" spans="1:2" x14ac:dyDescent="0.25">
      <c r="A138" s="2">
        <v>40453</v>
      </c>
      <c r="B138">
        <v>71.19</v>
      </c>
    </row>
    <row r="139" spans="1:2" x14ac:dyDescent="0.25">
      <c r="A139" s="2">
        <v>40454</v>
      </c>
      <c r="B139">
        <v>71.19</v>
      </c>
    </row>
    <row r="140" spans="1:2" x14ac:dyDescent="0.25">
      <c r="A140" s="2">
        <v>40455</v>
      </c>
      <c r="B140">
        <v>70.73</v>
      </c>
    </row>
    <row r="141" spans="1:2" x14ac:dyDescent="0.25">
      <c r="A141" s="2">
        <v>40456</v>
      </c>
      <c r="B141">
        <v>71.81</v>
      </c>
    </row>
    <row r="142" spans="1:2" x14ac:dyDescent="0.25">
      <c r="A142" s="2">
        <v>40457</v>
      </c>
      <c r="B142">
        <v>71.400000000000006</v>
      </c>
    </row>
    <row r="143" spans="1:2" x14ac:dyDescent="0.25">
      <c r="A143" s="2">
        <v>40458</v>
      </c>
      <c r="B143">
        <v>70.7</v>
      </c>
    </row>
    <row r="144" spans="1:2" x14ac:dyDescent="0.25">
      <c r="A144" s="2">
        <v>40459</v>
      </c>
      <c r="B144">
        <v>71.62</v>
      </c>
    </row>
    <row r="145" spans="1:2" x14ac:dyDescent="0.25">
      <c r="A145" s="2">
        <v>40460</v>
      </c>
      <c r="B145">
        <v>71.62</v>
      </c>
    </row>
    <row r="146" spans="1:2" x14ac:dyDescent="0.25">
      <c r="A146" s="2">
        <v>40461</v>
      </c>
      <c r="B146">
        <v>71.62</v>
      </c>
    </row>
    <row r="147" spans="1:2" x14ac:dyDescent="0.25">
      <c r="A147" s="2">
        <v>40462</v>
      </c>
      <c r="B147">
        <v>71.31</v>
      </c>
    </row>
    <row r="148" spans="1:2" x14ac:dyDescent="0.25">
      <c r="A148" s="2">
        <v>40463</v>
      </c>
      <c r="B148">
        <v>72.12</v>
      </c>
    </row>
    <row r="149" spans="1:2" x14ac:dyDescent="0.25">
      <c r="A149" s="2">
        <v>40464</v>
      </c>
      <c r="B149">
        <v>71.989999999999995</v>
      </c>
    </row>
    <row r="150" spans="1:2" x14ac:dyDescent="0.25">
      <c r="A150" s="2">
        <v>40465</v>
      </c>
      <c r="B150">
        <v>71</v>
      </c>
    </row>
    <row r="151" spans="1:2" x14ac:dyDescent="0.25">
      <c r="A151" s="2">
        <v>40466</v>
      </c>
      <c r="B151">
        <v>71.2</v>
      </c>
    </row>
    <row r="152" spans="1:2" x14ac:dyDescent="0.25">
      <c r="A152" s="2">
        <v>40467</v>
      </c>
      <c r="B152">
        <v>71.2</v>
      </c>
    </row>
    <row r="153" spans="1:2" x14ac:dyDescent="0.25">
      <c r="A153" s="2">
        <v>40468</v>
      </c>
      <c r="B153">
        <v>71.2</v>
      </c>
    </row>
    <row r="154" spans="1:2" x14ac:dyDescent="0.25">
      <c r="A154" s="2">
        <v>40469</v>
      </c>
      <c r="B154">
        <v>72.709999999999994</v>
      </c>
    </row>
    <row r="155" spans="1:2" x14ac:dyDescent="0.25">
      <c r="A155" s="2">
        <v>40470</v>
      </c>
      <c r="B155">
        <v>71.75</v>
      </c>
    </row>
    <row r="156" spans="1:2" x14ac:dyDescent="0.25">
      <c r="A156" s="2">
        <v>40471</v>
      </c>
      <c r="B156">
        <v>72.510000000000005</v>
      </c>
    </row>
    <row r="157" spans="1:2" x14ac:dyDescent="0.25">
      <c r="A157" s="2">
        <v>40472</v>
      </c>
      <c r="B157">
        <v>71.83</v>
      </c>
    </row>
    <row r="158" spans="1:2" x14ac:dyDescent="0.25">
      <c r="A158" s="2">
        <v>40473</v>
      </c>
      <c r="B158">
        <v>72.430000000000007</v>
      </c>
    </row>
    <row r="159" spans="1:2" x14ac:dyDescent="0.25">
      <c r="A159" s="2">
        <v>40474</v>
      </c>
      <c r="B159">
        <v>72.430000000000007</v>
      </c>
    </row>
    <row r="160" spans="1:2" x14ac:dyDescent="0.25">
      <c r="A160" s="2">
        <v>40475</v>
      </c>
      <c r="B160">
        <v>72.430000000000007</v>
      </c>
    </row>
    <row r="161" spans="1:2" x14ac:dyDescent="0.25">
      <c r="A161" s="2">
        <v>40476</v>
      </c>
      <c r="B161">
        <v>72.08</v>
      </c>
    </row>
    <row r="162" spans="1:2" x14ac:dyDescent="0.25">
      <c r="A162" s="2">
        <v>40477</v>
      </c>
      <c r="B162">
        <v>72.7</v>
      </c>
    </row>
    <row r="163" spans="1:2" x14ac:dyDescent="0.25">
      <c r="A163" s="2">
        <v>40478</v>
      </c>
      <c r="B163">
        <v>73.09</v>
      </c>
    </row>
    <row r="164" spans="1:2" x14ac:dyDescent="0.25">
      <c r="A164" s="2">
        <v>40479</v>
      </c>
      <c r="B164">
        <v>72.89</v>
      </c>
    </row>
    <row r="165" spans="1:2" x14ac:dyDescent="0.25">
      <c r="A165" s="2">
        <v>40480</v>
      </c>
      <c r="B165">
        <v>72.849999999999994</v>
      </c>
    </row>
    <row r="166" spans="1:2" x14ac:dyDescent="0.25">
      <c r="A166" s="2">
        <v>40481</v>
      </c>
      <c r="B166">
        <v>72.849999999999994</v>
      </c>
    </row>
    <row r="167" spans="1:2" x14ac:dyDescent="0.25">
      <c r="A167" s="2">
        <v>40482</v>
      </c>
      <c r="B167">
        <v>72.849999999999994</v>
      </c>
    </row>
    <row r="168" spans="1:2" x14ac:dyDescent="0.25">
      <c r="A168" s="2">
        <v>40483</v>
      </c>
      <c r="B168">
        <v>72.56</v>
      </c>
    </row>
    <row r="169" spans="1:2" x14ac:dyDescent="0.25">
      <c r="A169" s="2">
        <v>40484</v>
      </c>
      <c r="B169">
        <v>72.64</v>
      </c>
    </row>
    <row r="170" spans="1:2" x14ac:dyDescent="0.25">
      <c r="A170" s="2">
        <v>40485</v>
      </c>
      <c r="B170">
        <v>72.94</v>
      </c>
    </row>
    <row r="171" spans="1:2" x14ac:dyDescent="0.25">
      <c r="A171" s="2">
        <v>40486</v>
      </c>
      <c r="B171">
        <v>73.16</v>
      </c>
    </row>
    <row r="172" spans="1:2" x14ac:dyDescent="0.25">
      <c r="A172" s="2">
        <v>40487</v>
      </c>
      <c r="B172">
        <v>74.28</v>
      </c>
    </row>
    <row r="173" spans="1:2" x14ac:dyDescent="0.25">
      <c r="A173" s="2">
        <v>40488</v>
      </c>
      <c r="B173">
        <v>74.28</v>
      </c>
    </row>
    <row r="174" spans="1:2" x14ac:dyDescent="0.25">
      <c r="A174" s="2">
        <v>40489</v>
      </c>
      <c r="B174">
        <v>74.28</v>
      </c>
    </row>
    <row r="175" spans="1:2" x14ac:dyDescent="0.25">
      <c r="A175" s="2">
        <v>40490</v>
      </c>
      <c r="B175">
        <v>75.02</v>
      </c>
    </row>
    <row r="176" spans="1:2" x14ac:dyDescent="0.25">
      <c r="A176" s="2">
        <v>40491</v>
      </c>
      <c r="B176">
        <v>74.28</v>
      </c>
    </row>
    <row r="177" spans="1:2" x14ac:dyDescent="0.25">
      <c r="A177" s="2">
        <v>40492</v>
      </c>
      <c r="B177">
        <v>75.569999999999993</v>
      </c>
    </row>
    <row r="178" spans="1:2" x14ac:dyDescent="0.25">
      <c r="A178" s="2">
        <v>40493</v>
      </c>
      <c r="B178">
        <v>75.64</v>
      </c>
    </row>
    <row r="179" spans="1:2" x14ac:dyDescent="0.25">
      <c r="A179" s="2">
        <v>40494</v>
      </c>
      <c r="B179">
        <v>74.680000000000007</v>
      </c>
    </row>
    <row r="180" spans="1:2" x14ac:dyDescent="0.25">
      <c r="A180" s="2">
        <v>40495</v>
      </c>
      <c r="B180">
        <v>74.680000000000007</v>
      </c>
    </row>
    <row r="181" spans="1:2" x14ac:dyDescent="0.25">
      <c r="A181" s="2">
        <v>40496</v>
      </c>
      <c r="B181">
        <v>74.680000000000007</v>
      </c>
    </row>
    <row r="182" spans="1:2" x14ac:dyDescent="0.25">
      <c r="A182" s="2">
        <v>40497</v>
      </c>
      <c r="B182">
        <v>75.06</v>
      </c>
    </row>
    <row r="183" spans="1:2" x14ac:dyDescent="0.25">
      <c r="A183" s="2">
        <v>40498</v>
      </c>
      <c r="B183">
        <v>73.94</v>
      </c>
    </row>
    <row r="184" spans="1:2" x14ac:dyDescent="0.25">
      <c r="A184" s="2">
        <v>40499</v>
      </c>
      <c r="B184">
        <v>74.69</v>
      </c>
    </row>
    <row r="185" spans="1:2" x14ac:dyDescent="0.25">
      <c r="A185" s="2">
        <v>40500</v>
      </c>
      <c r="B185">
        <v>74.91</v>
      </c>
    </row>
    <row r="186" spans="1:2" x14ac:dyDescent="0.25">
      <c r="A186" s="2">
        <v>40501</v>
      </c>
      <c r="B186">
        <v>74.959999999999994</v>
      </c>
    </row>
    <row r="187" spans="1:2" x14ac:dyDescent="0.25">
      <c r="A187" s="2">
        <v>40502</v>
      </c>
      <c r="B187">
        <v>74.959999999999994</v>
      </c>
    </row>
    <row r="188" spans="1:2" x14ac:dyDescent="0.25">
      <c r="A188" s="2">
        <v>40503</v>
      </c>
      <c r="B188">
        <v>74.959999999999994</v>
      </c>
    </row>
    <row r="189" spans="1:2" x14ac:dyDescent="0.25">
      <c r="A189" s="2">
        <v>40504</v>
      </c>
      <c r="B189">
        <v>74.989999999999995</v>
      </c>
    </row>
    <row r="190" spans="1:2" x14ac:dyDescent="0.25">
      <c r="A190" s="2">
        <v>40505</v>
      </c>
      <c r="B190">
        <v>74.75</v>
      </c>
    </row>
    <row r="191" spans="1:2" x14ac:dyDescent="0.25">
      <c r="A191" s="2">
        <v>40506</v>
      </c>
      <c r="B191">
        <v>76.760000000000005</v>
      </c>
    </row>
    <row r="192" spans="1:2" x14ac:dyDescent="0.25">
      <c r="A192" s="2">
        <v>40507</v>
      </c>
      <c r="B192">
        <v>76.86</v>
      </c>
    </row>
    <row r="193" spans="1:2" x14ac:dyDescent="0.25">
      <c r="A193" s="2">
        <v>40508</v>
      </c>
      <c r="B193">
        <v>76.849999999999994</v>
      </c>
    </row>
    <row r="194" spans="1:2" x14ac:dyDescent="0.25">
      <c r="A194" s="2">
        <v>40509</v>
      </c>
      <c r="B194">
        <v>76.849999999999994</v>
      </c>
    </row>
    <row r="195" spans="1:2" x14ac:dyDescent="0.25">
      <c r="A195" s="2">
        <v>40510</v>
      </c>
      <c r="B195">
        <v>76.849999999999994</v>
      </c>
    </row>
    <row r="196" spans="1:2" x14ac:dyDescent="0.25">
      <c r="A196" s="2">
        <v>40511</v>
      </c>
      <c r="B196">
        <v>77.23</v>
      </c>
    </row>
    <row r="197" spans="1:2" x14ac:dyDescent="0.25">
      <c r="A197" s="2">
        <v>40512</v>
      </c>
      <c r="B197">
        <v>77.64</v>
      </c>
    </row>
    <row r="198" spans="1:2" x14ac:dyDescent="0.25">
      <c r="A198" s="2">
        <v>40513</v>
      </c>
      <c r="B198">
        <v>78.62</v>
      </c>
    </row>
    <row r="199" spans="1:2" x14ac:dyDescent="0.25">
      <c r="A199" s="2">
        <v>40514</v>
      </c>
      <c r="B199">
        <v>79.38</v>
      </c>
    </row>
    <row r="200" spans="1:2" x14ac:dyDescent="0.25">
      <c r="A200" s="2">
        <v>40515</v>
      </c>
      <c r="B200">
        <v>79.040000000000006</v>
      </c>
    </row>
    <row r="201" spans="1:2" x14ac:dyDescent="0.25">
      <c r="A201" s="2">
        <v>40516</v>
      </c>
      <c r="B201">
        <v>79.040000000000006</v>
      </c>
    </row>
    <row r="202" spans="1:2" x14ac:dyDescent="0.25">
      <c r="A202" s="2">
        <v>40517</v>
      </c>
      <c r="B202">
        <v>79.040000000000006</v>
      </c>
    </row>
    <row r="203" spans="1:2" x14ac:dyDescent="0.25">
      <c r="A203" s="2">
        <v>40518</v>
      </c>
      <c r="B203">
        <v>78.739999999999995</v>
      </c>
    </row>
    <row r="204" spans="1:2" x14ac:dyDescent="0.25">
      <c r="A204" s="2">
        <v>40519</v>
      </c>
      <c r="B204">
        <v>78.290000000000006</v>
      </c>
    </row>
    <row r="205" spans="1:2" x14ac:dyDescent="0.25">
      <c r="A205" s="2">
        <v>40520</v>
      </c>
      <c r="B205">
        <v>79.569999999999993</v>
      </c>
    </row>
    <row r="206" spans="1:2" x14ac:dyDescent="0.25">
      <c r="A206" s="2">
        <v>40521</v>
      </c>
      <c r="B206">
        <v>79.790000000000006</v>
      </c>
    </row>
    <row r="207" spans="1:2" x14ac:dyDescent="0.25">
      <c r="A207" s="2">
        <v>40522</v>
      </c>
      <c r="B207">
        <v>80.09</v>
      </c>
    </row>
    <row r="208" spans="1:2" x14ac:dyDescent="0.25">
      <c r="A208" s="2">
        <v>40523</v>
      </c>
      <c r="B208">
        <v>80.09</v>
      </c>
    </row>
    <row r="209" spans="1:2" x14ac:dyDescent="0.25">
      <c r="A209" s="2">
        <v>40524</v>
      </c>
      <c r="B209">
        <v>80.09</v>
      </c>
    </row>
    <row r="210" spans="1:2" x14ac:dyDescent="0.25">
      <c r="A210" s="2">
        <v>40525</v>
      </c>
      <c r="B210">
        <v>79.97</v>
      </c>
    </row>
    <row r="211" spans="1:2" x14ac:dyDescent="0.25">
      <c r="A211" s="2">
        <v>40526</v>
      </c>
      <c r="B211">
        <v>79.040000000000006</v>
      </c>
    </row>
    <row r="212" spans="1:2" x14ac:dyDescent="0.25">
      <c r="A212" s="2">
        <v>40527</v>
      </c>
      <c r="B212">
        <v>79.08</v>
      </c>
    </row>
    <row r="213" spans="1:2" x14ac:dyDescent="0.25">
      <c r="A213" s="2">
        <v>40528</v>
      </c>
      <c r="B213">
        <v>80.3</v>
      </c>
    </row>
    <row r="214" spans="1:2" x14ac:dyDescent="0.25">
      <c r="A214" s="2">
        <v>40529</v>
      </c>
      <c r="B214">
        <v>80.23</v>
      </c>
    </row>
    <row r="215" spans="1:2" x14ac:dyDescent="0.25">
      <c r="A215" s="2">
        <v>40530</v>
      </c>
      <c r="B215">
        <v>80.23</v>
      </c>
    </row>
    <row r="216" spans="1:2" x14ac:dyDescent="0.25">
      <c r="A216" s="2">
        <v>40531</v>
      </c>
      <c r="B216">
        <v>80.23</v>
      </c>
    </row>
    <row r="217" spans="1:2" x14ac:dyDescent="0.25">
      <c r="A217" s="2">
        <v>40532</v>
      </c>
      <c r="B217">
        <v>81.13</v>
      </c>
    </row>
    <row r="218" spans="1:2" x14ac:dyDescent="0.25">
      <c r="A218" s="2">
        <v>40533</v>
      </c>
      <c r="B218">
        <v>81.569999999999993</v>
      </c>
    </row>
    <row r="219" spans="1:2" x14ac:dyDescent="0.25">
      <c r="A219" s="2">
        <v>40534</v>
      </c>
      <c r="B219">
        <v>82.12</v>
      </c>
    </row>
    <row r="220" spans="1:2" x14ac:dyDescent="0.25">
      <c r="A220" s="2">
        <v>40535</v>
      </c>
      <c r="B220">
        <v>82.29</v>
      </c>
    </row>
    <row r="221" spans="1:2" x14ac:dyDescent="0.25">
      <c r="A221" s="2">
        <v>40536</v>
      </c>
      <c r="B221">
        <v>81.96</v>
      </c>
    </row>
    <row r="222" spans="1:2" x14ac:dyDescent="0.25">
      <c r="A222" s="2">
        <v>40537</v>
      </c>
      <c r="B222">
        <v>81.96</v>
      </c>
    </row>
    <row r="223" spans="1:2" x14ac:dyDescent="0.25">
      <c r="A223" s="2">
        <v>40538</v>
      </c>
      <c r="B223">
        <v>81.96</v>
      </c>
    </row>
    <row r="224" spans="1:2" x14ac:dyDescent="0.25">
      <c r="A224" s="2">
        <v>40539</v>
      </c>
      <c r="B224">
        <v>81.900000000000006</v>
      </c>
    </row>
    <row r="225" spans="1:2" x14ac:dyDescent="0.25">
      <c r="A225" s="2">
        <v>40540</v>
      </c>
      <c r="B225">
        <v>81.59</v>
      </c>
    </row>
    <row r="226" spans="1:2" x14ac:dyDescent="0.25">
      <c r="A226" s="2">
        <v>40541</v>
      </c>
      <c r="B226">
        <v>82.05</v>
      </c>
    </row>
    <row r="227" spans="1:2" x14ac:dyDescent="0.25">
      <c r="A227" s="2">
        <v>40542</v>
      </c>
      <c r="B227">
        <v>81.040000000000006</v>
      </c>
    </row>
    <row r="228" spans="1:2" x14ac:dyDescent="0.25">
      <c r="A228" s="2">
        <v>40543</v>
      </c>
      <c r="B228">
        <v>80.53</v>
      </c>
    </row>
    <row r="229" spans="1:2" x14ac:dyDescent="0.25">
      <c r="A229" s="2">
        <v>40544</v>
      </c>
      <c r="B229">
        <v>80.53</v>
      </c>
    </row>
    <row r="230" spans="1:2" x14ac:dyDescent="0.25">
      <c r="A230" s="2">
        <v>40545</v>
      </c>
      <c r="B230">
        <v>80.53</v>
      </c>
    </row>
    <row r="231" spans="1:2" x14ac:dyDescent="0.25">
      <c r="A231" s="2">
        <v>40546</v>
      </c>
      <c r="B231">
        <v>81.53</v>
      </c>
    </row>
    <row r="232" spans="1:2" x14ac:dyDescent="0.25">
      <c r="A232" s="2">
        <v>40547</v>
      </c>
      <c r="B232">
        <v>80.98</v>
      </c>
    </row>
    <row r="233" spans="1:2" x14ac:dyDescent="0.25">
      <c r="A233" s="2">
        <v>40548</v>
      </c>
      <c r="B233">
        <v>82.67</v>
      </c>
    </row>
    <row r="234" spans="1:2" x14ac:dyDescent="0.25">
      <c r="A234" s="2">
        <v>40549</v>
      </c>
      <c r="B234">
        <v>83.29</v>
      </c>
    </row>
    <row r="235" spans="1:2" x14ac:dyDescent="0.25">
      <c r="A235" s="2">
        <v>40550</v>
      </c>
      <c r="B235">
        <v>83.97</v>
      </c>
    </row>
    <row r="236" spans="1:2" x14ac:dyDescent="0.25">
      <c r="A236" s="2">
        <v>40551</v>
      </c>
      <c r="B236">
        <v>83.97</v>
      </c>
    </row>
    <row r="237" spans="1:2" x14ac:dyDescent="0.25">
      <c r="A237" s="2">
        <v>40552</v>
      </c>
      <c r="B237">
        <v>83.97</v>
      </c>
    </row>
    <row r="238" spans="1:2" x14ac:dyDescent="0.25">
      <c r="A238" s="2">
        <v>40553</v>
      </c>
      <c r="B238">
        <v>84.23</v>
      </c>
    </row>
    <row r="239" spans="1:2" x14ac:dyDescent="0.25">
      <c r="A239" s="2">
        <v>40554</v>
      </c>
      <c r="B239">
        <v>84.24</v>
      </c>
    </row>
    <row r="240" spans="1:2" x14ac:dyDescent="0.25">
      <c r="A240" s="2">
        <v>40555</v>
      </c>
      <c r="B240">
        <v>84.85</v>
      </c>
    </row>
    <row r="241" spans="1:2" x14ac:dyDescent="0.25">
      <c r="A241" s="2">
        <v>40556</v>
      </c>
      <c r="B241">
        <v>83.25</v>
      </c>
    </row>
    <row r="242" spans="1:2" x14ac:dyDescent="0.25">
      <c r="A242" s="2">
        <v>40557</v>
      </c>
      <c r="B242">
        <v>82.93</v>
      </c>
    </row>
    <row r="243" spans="1:2" x14ac:dyDescent="0.25">
      <c r="A243" s="2">
        <v>40558</v>
      </c>
      <c r="B243">
        <v>82.93</v>
      </c>
    </row>
    <row r="244" spans="1:2" x14ac:dyDescent="0.25">
      <c r="A244" s="2">
        <v>40559</v>
      </c>
      <c r="B244">
        <v>82.93</v>
      </c>
    </row>
    <row r="245" spans="1:2" x14ac:dyDescent="0.25">
      <c r="A245" s="2">
        <v>40560</v>
      </c>
      <c r="B245">
        <v>83.28</v>
      </c>
    </row>
    <row r="246" spans="1:2" x14ac:dyDescent="0.25">
      <c r="A246" s="2">
        <v>40561</v>
      </c>
      <c r="B246">
        <v>82.9</v>
      </c>
    </row>
    <row r="247" spans="1:2" x14ac:dyDescent="0.25">
      <c r="A247" s="2">
        <v>40562</v>
      </c>
      <c r="B247">
        <v>81.25</v>
      </c>
    </row>
    <row r="248" spans="1:2" x14ac:dyDescent="0.25">
      <c r="A248" s="2">
        <v>40563</v>
      </c>
      <c r="B248">
        <v>81.349999999999994</v>
      </c>
    </row>
    <row r="249" spans="1:2" x14ac:dyDescent="0.25">
      <c r="A249" s="2">
        <v>40564</v>
      </c>
      <c r="B249">
        <v>81.25</v>
      </c>
    </row>
    <row r="250" spans="1:2" x14ac:dyDescent="0.25">
      <c r="A250" s="2">
        <v>40565</v>
      </c>
      <c r="B250">
        <v>81.25</v>
      </c>
    </row>
    <row r="251" spans="1:2" x14ac:dyDescent="0.25">
      <c r="A251" s="2">
        <v>40566</v>
      </c>
      <c r="B251">
        <v>81.25</v>
      </c>
    </row>
    <row r="252" spans="1:2" x14ac:dyDescent="0.25">
      <c r="A252" s="2">
        <v>40567</v>
      </c>
      <c r="B252">
        <v>81.42</v>
      </c>
    </row>
    <row r="253" spans="1:2" x14ac:dyDescent="0.25">
      <c r="A253" s="2">
        <v>40568</v>
      </c>
      <c r="B253">
        <v>81.3</v>
      </c>
    </row>
    <row r="254" spans="1:2" x14ac:dyDescent="0.25">
      <c r="A254" s="2">
        <v>40569</v>
      </c>
      <c r="B254">
        <v>81.13</v>
      </c>
    </row>
    <row r="255" spans="1:2" x14ac:dyDescent="0.25">
      <c r="A255" s="2">
        <v>40570</v>
      </c>
      <c r="B255">
        <v>81.12</v>
      </c>
    </row>
    <row r="256" spans="1:2" x14ac:dyDescent="0.25">
      <c r="A256" s="2">
        <v>40571</v>
      </c>
      <c r="B256">
        <v>79.709999999999994</v>
      </c>
    </row>
    <row r="257" spans="1:2" x14ac:dyDescent="0.25">
      <c r="A257" s="2">
        <v>40572</v>
      </c>
      <c r="B257">
        <v>79.709999999999994</v>
      </c>
    </row>
    <row r="258" spans="1:2" x14ac:dyDescent="0.25">
      <c r="A258" s="2">
        <v>40573</v>
      </c>
      <c r="B258">
        <v>79.709999999999994</v>
      </c>
    </row>
    <row r="259" spans="1:2" x14ac:dyDescent="0.25">
      <c r="A259" s="2">
        <v>40574</v>
      </c>
      <c r="B259">
        <v>80.42</v>
      </c>
    </row>
    <row r="260" spans="1:2" x14ac:dyDescent="0.25">
      <c r="A260" s="2">
        <v>40575</v>
      </c>
      <c r="B260">
        <v>81.38</v>
      </c>
    </row>
    <row r="261" spans="1:2" x14ac:dyDescent="0.25">
      <c r="A261" s="2">
        <v>40576</v>
      </c>
      <c r="B261">
        <v>80.900000000000006</v>
      </c>
    </row>
    <row r="262" spans="1:2" x14ac:dyDescent="0.25">
      <c r="A262" s="2">
        <v>40577</v>
      </c>
      <c r="B262">
        <v>81.430000000000007</v>
      </c>
    </row>
    <row r="263" spans="1:2" x14ac:dyDescent="0.25">
      <c r="A263" s="2">
        <v>40578</v>
      </c>
      <c r="B263">
        <v>82.36</v>
      </c>
    </row>
    <row r="264" spans="1:2" x14ac:dyDescent="0.25">
      <c r="A264" s="2">
        <v>40579</v>
      </c>
      <c r="B264">
        <v>82.36</v>
      </c>
    </row>
    <row r="265" spans="1:2" x14ac:dyDescent="0.25">
      <c r="A265" s="2">
        <v>40580</v>
      </c>
      <c r="B265">
        <v>82.36</v>
      </c>
    </row>
    <row r="266" spans="1:2" x14ac:dyDescent="0.25">
      <c r="A266" s="2">
        <v>40581</v>
      </c>
      <c r="B266">
        <v>83.34</v>
      </c>
    </row>
    <row r="267" spans="1:2" x14ac:dyDescent="0.25">
      <c r="A267" s="2">
        <v>40582</v>
      </c>
      <c r="B267">
        <v>83.21</v>
      </c>
    </row>
    <row r="268" spans="1:2" x14ac:dyDescent="0.25">
      <c r="A268" s="2">
        <v>40583</v>
      </c>
      <c r="B268">
        <v>82.91</v>
      </c>
    </row>
    <row r="269" spans="1:2" x14ac:dyDescent="0.25">
      <c r="A269" s="2">
        <v>40584</v>
      </c>
      <c r="B269">
        <v>83.25</v>
      </c>
    </row>
    <row r="270" spans="1:2" x14ac:dyDescent="0.25">
      <c r="A270" s="2">
        <v>40585</v>
      </c>
      <c r="B270">
        <v>84.21</v>
      </c>
    </row>
    <row r="271" spans="1:2" x14ac:dyDescent="0.25">
      <c r="A271" s="2">
        <v>40586</v>
      </c>
      <c r="B271">
        <v>84.21</v>
      </c>
    </row>
    <row r="272" spans="1:2" x14ac:dyDescent="0.25">
      <c r="A272" s="2">
        <v>40587</v>
      </c>
      <c r="B272">
        <v>84.21</v>
      </c>
    </row>
    <row r="273" spans="1:2" x14ac:dyDescent="0.25">
      <c r="A273" s="2">
        <v>40588</v>
      </c>
      <c r="B273">
        <v>84.95</v>
      </c>
    </row>
    <row r="274" spans="1:2" x14ac:dyDescent="0.25">
      <c r="A274" s="2">
        <v>40589</v>
      </c>
      <c r="B274">
        <v>84.24</v>
      </c>
    </row>
    <row r="275" spans="1:2" x14ac:dyDescent="0.25">
      <c r="A275" s="2">
        <v>40590</v>
      </c>
      <c r="B275">
        <v>84.78</v>
      </c>
    </row>
    <row r="276" spans="1:2" x14ac:dyDescent="0.25">
      <c r="A276" s="2">
        <v>40591</v>
      </c>
      <c r="B276">
        <v>84.73</v>
      </c>
    </row>
    <row r="277" spans="1:2" x14ac:dyDescent="0.25">
      <c r="A277" s="2">
        <v>40592</v>
      </c>
      <c r="B277">
        <v>84.48</v>
      </c>
    </row>
    <row r="278" spans="1:2" x14ac:dyDescent="0.25">
      <c r="A278" s="2">
        <v>40593</v>
      </c>
      <c r="B278">
        <v>84.48</v>
      </c>
    </row>
    <row r="279" spans="1:2" x14ac:dyDescent="0.25">
      <c r="A279" s="2">
        <v>40594</v>
      </c>
      <c r="B279">
        <v>84.48</v>
      </c>
    </row>
    <row r="280" spans="1:2" x14ac:dyDescent="0.25">
      <c r="A280" s="2">
        <v>40595</v>
      </c>
      <c r="B280">
        <v>84.23</v>
      </c>
    </row>
    <row r="281" spans="1:2" x14ac:dyDescent="0.25">
      <c r="A281" s="2">
        <v>40596</v>
      </c>
      <c r="B281">
        <v>82.51</v>
      </c>
    </row>
    <row r="282" spans="1:2" x14ac:dyDescent="0.25">
      <c r="A282" s="2">
        <v>40597</v>
      </c>
      <c r="B282">
        <v>81.63</v>
      </c>
    </row>
    <row r="283" spans="1:2" x14ac:dyDescent="0.25">
      <c r="A283" s="2">
        <v>40598</v>
      </c>
      <c r="B283">
        <v>81.31</v>
      </c>
    </row>
    <row r="284" spans="1:2" x14ac:dyDescent="0.25">
      <c r="A284" s="2">
        <v>40599</v>
      </c>
      <c r="B284">
        <v>82.25</v>
      </c>
    </row>
    <row r="285" spans="1:2" x14ac:dyDescent="0.25">
      <c r="A285" s="2">
        <v>40600</v>
      </c>
      <c r="B285">
        <v>82.25</v>
      </c>
    </row>
    <row r="286" spans="1:2" x14ac:dyDescent="0.25">
      <c r="A286" s="2">
        <v>40601</v>
      </c>
      <c r="B286">
        <v>82.25</v>
      </c>
    </row>
    <row r="287" spans="1:2" x14ac:dyDescent="0.25">
      <c r="A287" s="2">
        <v>40602</v>
      </c>
      <c r="B287">
        <v>82.28</v>
      </c>
    </row>
    <row r="288" spans="1:2" x14ac:dyDescent="0.25">
      <c r="A288" s="2">
        <v>40603</v>
      </c>
      <c r="B288">
        <v>81.03</v>
      </c>
    </row>
    <row r="289" spans="1:2" x14ac:dyDescent="0.25">
      <c r="A289" s="2">
        <v>40604</v>
      </c>
      <c r="B289">
        <v>81.27</v>
      </c>
    </row>
    <row r="290" spans="1:2" x14ac:dyDescent="0.25">
      <c r="A290" s="2">
        <v>40605</v>
      </c>
      <c r="B290">
        <v>82.43</v>
      </c>
    </row>
    <row r="291" spans="1:2" x14ac:dyDescent="0.25">
      <c r="A291" s="2">
        <v>40606</v>
      </c>
      <c r="B291">
        <v>81.19</v>
      </c>
    </row>
    <row r="292" spans="1:2" x14ac:dyDescent="0.25">
      <c r="A292" s="2">
        <v>40607</v>
      </c>
      <c r="B292">
        <v>81.19</v>
      </c>
    </row>
    <row r="293" spans="1:2" x14ac:dyDescent="0.25">
      <c r="A293" s="2">
        <v>40608</v>
      </c>
      <c r="B293">
        <v>81.19</v>
      </c>
    </row>
    <row r="294" spans="1:2" x14ac:dyDescent="0.25">
      <c r="A294" s="2">
        <v>40609</v>
      </c>
      <c r="B294">
        <v>80.11</v>
      </c>
    </row>
    <row r="295" spans="1:2" x14ac:dyDescent="0.25">
      <c r="A295" s="2">
        <v>40610</v>
      </c>
      <c r="B295">
        <v>81.59</v>
      </c>
    </row>
    <row r="296" spans="1:2" x14ac:dyDescent="0.25">
      <c r="A296" s="2">
        <v>40611</v>
      </c>
      <c r="B296">
        <v>81.319999999999993</v>
      </c>
    </row>
    <row r="297" spans="1:2" x14ac:dyDescent="0.25">
      <c r="A297" s="2">
        <v>40612</v>
      </c>
      <c r="B297">
        <v>80.42</v>
      </c>
    </row>
    <row r="298" spans="1:2" x14ac:dyDescent="0.25">
      <c r="A298" s="2">
        <v>40613</v>
      </c>
      <c r="B298">
        <v>81.27</v>
      </c>
    </row>
    <row r="299" spans="1:2" x14ac:dyDescent="0.25">
      <c r="A299" s="2">
        <v>40614</v>
      </c>
      <c r="B299">
        <v>81.27</v>
      </c>
    </row>
    <row r="300" spans="1:2" x14ac:dyDescent="0.25">
      <c r="A300" s="2">
        <v>40615</v>
      </c>
      <c r="B300">
        <v>81.27</v>
      </c>
    </row>
    <row r="301" spans="1:2" x14ac:dyDescent="0.25">
      <c r="A301" s="2">
        <v>40616</v>
      </c>
      <c r="B301">
        <v>79.77</v>
      </c>
    </row>
    <row r="302" spans="1:2" x14ac:dyDescent="0.25">
      <c r="A302" s="2">
        <v>40617</v>
      </c>
      <c r="B302">
        <v>79.239999999999995</v>
      </c>
    </row>
    <row r="303" spans="1:2" x14ac:dyDescent="0.25">
      <c r="A303" s="2">
        <v>40618</v>
      </c>
      <c r="B303">
        <v>77.33</v>
      </c>
    </row>
    <row r="304" spans="1:2" x14ac:dyDescent="0.25">
      <c r="A304" s="2">
        <v>40619</v>
      </c>
      <c r="B304">
        <v>78.06</v>
      </c>
    </row>
    <row r="305" spans="1:2" x14ac:dyDescent="0.25">
      <c r="A305" s="2">
        <v>40620</v>
      </c>
      <c r="B305">
        <v>77.7</v>
      </c>
    </row>
    <row r="306" spans="1:2" x14ac:dyDescent="0.25">
      <c r="A306" s="2">
        <v>40621</v>
      </c>
      <c r="B306">
        <v>77.7</v>
      </c>
    </row>
    <row r="307" spans="1:2" x14ac:dyDescent="0.25">
      <c r="A307" s="2">
        <v>40622</v>
      </c>
      <c r="B307">
        <v>77.7</v>
      </c>
    </row>
    <row r="308" spans="1:2" x14ac:dyDescent="0.25">
      <c r="A308" s="2">
        <v>40623</v>
      </c>
      <c r="B308">
        <v>78.510000000000005</v>
      </c>
    </row>
    <row r="309" spans="1:2" x14ac:dyDescent="0.25">
      <c r="A309" s="2">
        <v>40624</v>
      </c>
      <c r="B309">
        <v>78.14</v>
      </c>
    </row>
    <row r="310" spans="1:2" x14ac:dyDescent="0.25">
      <c r="A310" s="2">
        <v>40625</v>
      </c>
      <c r="B310">
        <v>78.78</v>
      </c>
    </row>
    <row r="311" spans="1:2" x14ac:dyDescent="0.25">
      <c r="A311" s="2">
        <v>40626</v>
      </c>
      <c r="B311">
        <v>79.569999999999993</v>
      </c>
    </row>
    <row r="312" spans="1:2" x14ac:dyDescent="0.25">
      <c r="A312" s="2">
        <v>40627</v>
      </c>
      <c r="B312">
        <v>79.89</v>
      </c>
    </row>
    <row r="313" spans="1:2" x14ac:dyDescent="0.25">
      <c r="A313" s="2">
        <v>40628</v>
      </c>
      <c r="B313">
        <v>79.89</v>
      </c>
    </row>
    <row r="314" spans="1:2" x14ac:dyDescent="0.25">
      <c r="A314" s="2">
        <v>40629</v>
      </c>
      <c r="B314">
        <v>79.89</v>
      </c>
    </row>
    <row r="315" spans="1:2" x14ac:dyDescent="0.25">
      <c r="A315" s="2">
        <v>40630</v>
      </c>
      <c r="B315">
        <v>80.14</v>
      </c>
    </row>
    <row r="316" spans="1:2" x14ac:dyDescent="0.25">
      <c r="A316" s="2">
        <v>40631</v>
      </c>
      <c r="B316">
        <v>80.53</v>
      </c>
    </row>
    <row r="317" spans="1:2" x14ac:dyDescent="0.25">
      <c r="A317" s="2">
        <v>40632</v>
      </c>
      <c r="B317">
        <v>80.930000000000007</v>
      </c>
    </row>
    <row r="318" spans="1:2" x14ac:dyDescent="0.25">
      <c r="A318" s="2">
        <v>40633</v>
      </c>
      <c r="B318">
        <v>80.12</v>
      </c>
    </row>
    <row r="319" spans="1:2" x14ac:dyDescent="0.25">
      <c r="A319" s="2">
        <v>40634</v>
      </c>
      <c r="B319">
        <v>80.89</v>
      </c>
    </row>
    <row r="320" spans="1:2" x14ac:dyDescent="0.25">
      <c r="A320" s="2">
        <v>40635</v>
      </c>
      <c r="B320">
        <v>80.89</v>
      </c>
    </row>
    <row r="321" spans="1:2" x14ac:dyDescent="0.25">
      <c r="A321" s="2">
        <v>40636</v>
      </c>
      <c r="B321">
        <v>80.89</v>
      </c>
    </row>
    <row r="322" spans="1:2" x14ac:dyDescent="0.25">
      <c r="A322" s="2">
        <v>40637</v>
      </c>
      <c r="B322">
        <v>80.37</v>
      </c>
    </row>
    <row r="323" spans="1:2" x14ac:dyDescent="0.25">
      <c r="A323" s="2">
        <v>40638</v>
      </c>
      <c r="B323">
        <v>80.77</v>
      </c>
    </row>
    <row r="324" spans="1:2" x14ac:dyDescent="0.25">
      <c r="A324" s="2">
        <v>40639</v>
      </c>
      <c r="B324">
        <v>80.22</v>
      </c>
    </row>
    <row r="325" spans="1:2" x14ac:dyDescent="0.25">
      <c r="A325" s="2">
        <v>40640</v>
      </c>
      <c r="B325">
        <v>80.19</v>
      </c>
    </row>
    <row r="326" spans="1:2" x14ac:dyDescent="0.25">
      <c r="A326" s="2">
        <v>40641</v>
      </c>
      <c r="B326">
        <v>79.22</v>
      </c>
    </row>
    <row r="327" spans="1:2" x14ac:dyDescent="0.25">
      <c r="A327" s="2">
        <v>40642</v>
      </c>
      <c r="B327">
        <v>79.22</v>
      </c>
    </row>
    <row r="328" spans="1:2" x14ac:dyDescent="0.25">
      <c r="A328" s="2">
        <v>40643</v>
      </c>
      <c r="B328">
        <v>79.22</v>
      </c>
    </row>
    <row r="329" spans="1:2" x14ac:dyDescent="0.25">
      <c r="A329" s="2">
        <v>40644</v>
      </c>
      <c r="B329">
        <v>78.81</v>
      </c>
    </row>
    <row r="330" spans="1:2" x14ac:dyDescent="0.25">
      <c r="A330" s="2">
        <v>40645</v>
      </c>
      <c r="B330">
        <v>78.010000000000005</v>
      </c>
    </row>
    <row r="331" spans="1:2" x14ac:dyDescent="0.25">
      <c r="A331" s="2">
        <v>40646</v>
      </c>
      <c r="B331">
        <v>77.91</v>
      </c>
    </row>
    <row r="332" spans="1:2" x14ac:dyDescent="0.25">
      <c r="A332" s="2">
        <v>40647</v>
      </c>
      <c r="B332">
        <v>78.41</v>
      </c>
    </row>
    <row r="333" spans="1:2" x14ac:dyDescent="0.25">
      <c r="A333" s="2">
        <v>40648</v>
      </c>
      <c r="B333">
        <v>78.45</v>
      </c>
    </row>
    <row r="334" spans="1:2" x14ac:dyDescent="0.25">
      <c r="A334" s="2">
        <v>40649</v>
      </c>
      <c r="B334">
        <v>78.45</v>
      </c>
    </row>
    <row r="335" spans="1:2" x14ac:dyDescent="0.25">
      <c r="A335" s="2">
        <v>40650</v>
      </c>
      <c r="B335">
        <v>78.45</v>
      </c>
    </row>
    <row r="336" spans="1:2" x14ac:dyDescent="0.25">
      <c r="A336" s="2">
        <v>40651</v>
      </c>
      <c r="B336">
        <v>78.540000000000006</v>
      </c>
    </row>
    <row r="337" spans="1:2" x14ac:dyDescent="0.25">
      <c r="A337" s="2">
        <v>40652</v>
      </c>
      <c r="B337">
        <v>78.84</v>
      </c>
    </row>
    <row r="338" spans="1:2" x14ac:dyDescent="0.25">
      <c r="A338" s="2">
        <v>40653</v>
      </c>
      <c r="B338">
        <v>78.73</v>
      </c>
    </row>
    <row r="339" spans="1:2" x14ac:dyDescent="0.25">
      <c r="A339" s="2">
        <v>40654</v>
      </c>
      <c r="B339">
        <v>78.78</v>
      </c>
    </row>
    <row r="340" spans="1:2" x14ac:dyDescent="0.25">
      <c r="A340" s="2">
        <v>40655</v>
      </c>
      <c r="B340">
        <v>78.77</v>
      </c>
    </row>
    <row r="341" spans="1:2" x14ac:dyDescent="0.25">
      <c r="A341" s="2">
        <v>40656</v>
      </c>
      <c r="B341">
        <v>78.77</v>
      </c>
    </row>
    <row r="342" spans="1:2" x14ac:dyDescent="0.25">
      <c r="A342" s="2">
        <v>40657</v>
      </c>
      <c r="B342">
        <v>78.77</v>
      </c>
    </row>
    <row r="343" spans="1:2" x14ac:dyDescent="0.25">
      <c r="A343" s="2">
        <v>40658</v>
      </c>
      <c r="B343">
        <v>78.77</v>
      </c>
    </row>
    <row r="344" spans="1:2" x14ac:dyDescent="0.25">
      <c r="A344" s="2">
        <v>40659</v>
      </c>
      <c r="B344">
        <v>79.17</v>
      </c>
    </row>
    <row r="345" spans="1:2" x14ac:dyDescent="0.25">
      <c r="A345" s="2">
        <v>40660</v>
      </c>
      <c r="B345">
        <v>79.400000000000006</v>
      </c>
    </row>
    <row r="346" spans="1:2" x14ac:dyDescent="0.25">
      <c r="A346" s="2">
        <v>40661</v>
      </c>
      <c r="B346">
        <v>79.010000000000005</v>
      </c>
    </row>
    <row r="347" spans="1:2" x14ac:dyDescent="0.25">
      <c r="A347" s="2">
        <v>40662</v>
      </c>
      <c r="B347">
        <v>78.84</v>
      </c>
    </row>
    <row r="348" spans="1:2" x14ac:dyDescent="0.25">
      <c r="A348" s="2">
        <v>40663</v>
      </c>
      <c r="B348">
        <v>78.84</v>
      </c>
    </row>
    <row r="349" spans="1:2" x14ac:dyDescent="0.25">
      <c r="A349" s="2">
        <v>40664</v>
      </c>
      <c r="B349">
        <v>78.84</v>
      </c>
    </row>
    <row r="350" spans="1:2" x14ac:dyDescent="0.25">
      <c r="A350" s="2">
        <v>40665</v>
      </c>
      <c r="B350">
        <v>78.819999999999993</v>
      </c>
    </row>
    <row r="351" spans="1:2" x14ac:dyDescent="0.25">
      <c r="A351" s="2">
        <v>40666</v>
      </c>
      <c r="B351">
        <v>78.86</v>
      </c>
    </row>
    <row r="352" spans="1:2" x14ac:dyDescent="0.25">
      <c r="A352" s="2">
        <v>40667</v>
      </c>
      <c r="B352">
        <v>77.8</v>
      </c>
    </row>
    <row r="353" spans="1:2" x14ac:dyDescent="0.25">
      <c r="A353" s="2">
        <v>40668</v>
      </c>
      <c r="B353">
        <v>77.45</v>
      </c>
    </row>
    <row r="354" spans="1:2" x14ac:dyDescent="0.25">
      <c r="A354" s="2">
        <v>40669</v>
      </c>
      <c r="B354">
        <v>79.430000000000007</v>
      </c>
    </row>
    <row r="355" spans="1:2" x14ac:dyDescent="0.25">
      <c r="A355" s="2">
        <v>40670</v>
      </c>
      <c r="B355">
        <v>79.430000000000007</v>
      </c>
    </row>
    <row r="356" spans="1:2" x14ac:dyDescent="0.25">
      <c r="A356" s="2">
        <v>40671</v>
      </c>
      <c r="B356">
        <v>79.430000000000007</v>
      </c>
    </row>
    <row r="357" spans="1:2" x14ac:dyDescent="0.25">
      <c r="A357" s="2">
        <v>40672</v>
      </c>
      <c r="B357">
        <v>80.36</v>
      </c>
    </row>
    <row r="358" spans="1:2" x14ac:dyDescent="0.25">
      <c r="A358" s="2">
        <v>40673</v>
      </c>
      <c r="B358">
        <v>81.239999999999995</v>
      </c>
    </row>
    <row r="359" spans="1:2" x14ac:dyDescent="0.25">
      <c r="A359" s="2">
        <v>40674</v>
      </c>
      <c r="B359">
        <v>80.38</v>
      </c>
    </row>
    <row r="360" spans="1:2" x14ac:dyDescent="0.25">
      <c r="A360" s="2">
        <v>40675</v>
      </c>
      <c r="B360">
        <v>81.94</v>
      </c>
    </row>
    <row r="361" spans="1:2" x14ac:dyDescent="0.25">
      <c r="A361" s="2">
        <v>40676</v>
      </c>
      <c r="B361">
        <v>80.56</v>
      </c>
    </row>
    <row r="362" spans="1:2" x14ac:dyDescent="0.25">
      <c r="A362" s="2">
        <v>40677</v>
      </c>
      <c r="B362">
        <v>80.56</v>
      </c>
    </row>
    <row r="363" spans="1:2" x14ac:dyDescent="0.25">
      <c r="A363" s="2">
        <v>40678</v>
      </c>
      <c r="B363">
        <v>80.56</v>
      </c>
    </row>
    <row r="364" spans="1:2" x14ac:dyDescent="0.25">
      <c r="A364" s="2">
        <v>40679</v>
      </c>
      <c r="B364">
        <v>80.84</v>
      </c>
    </row>
    <row r="365" spans="1:2" x14ac:dyDescent="0.25">
      <c r="A365" s="2">
        <v>40680</v>
      </c>
      <c r="B365">
        <v>80.66</v>
      </c>
    </row>
    <row r="366" spans="1:2" x14ac:dyDescent="0.25">
      <c r="A366" s="2">
        <v>40681</v>
      </c>
      <c r="B366">
        <v>81.06</v>
      </c>
    </row>
    <row r="367" spans="1:2" x14ac:dyDescent="0.25">
      <c r="A367" s="2">
        <v>40682</v>
      </c>
      <c r="B367">
        <v>81.03</v>
      </c>
    </row>
    <row r="368" spans="1:2" x14ac:dyDescent="0.25">
      <c r="A368" s="2">
        <v>40683</v>
      </c>
      <c r="B368">
        <v>80.56</v>
      </c>
    </row>
    <row r="369" spans="1:2" x14ac:dyDescent="0.25">
      <c r="A369" s="2">
        <v>40684</v>
      </c>
      <c r="B369">
        <v>80.56</v>
      </c>
    </row>
    <row r="370" spans="1:2" x14ac:dyDescent="0.25">
      <c r="A370" s="2">
        <v>40685</v>
      </c>
      <c r="B370">
        <v>80.56</v>
      </c>
    </row>
    <row r="371" spans="1:2" x14ac:dyDescent="0.25">
      <c r="A371" s="2">
        <v>40686</v>
      </c>
      <c r="B371">
        <v>80.84</v>
      </c>
    </row>
    <row r="372" spans="1:2" x14ac:dyDescent="0.25">
      <c r="A372" s="2">
        <v>40687</v>
      </c>
      <c r="B372">
        <v>80.37</v>
      </c>
    </row>
    <row r="373" spans="1:2" x14ac:dyDescent="0.25">
      <c r="A373" s="2">
        <v>40688</v>
      </c>
      <c r="B373">
        <v>80.75</v>
      </c>
    </row>
    <row r="374" spans="1:2" x14ac:dyDescent="0.25">
      <c r="A374" s="2">
        <v>40689</v>
      </c>
      <c r="B374">
        <v>80.52</v>
      </c>
    </row>
    <row r="375" spans="1:2" x14ac:dyDescent="0.25">
      <c r="A375" s="2">
        <v>40690</v>
      </c>
      <c r="B375">
        <v>80.31</v>
      </c>
    </row>
    <row r="376" spans="1:2" x14ac:dyDescent="0.25">
      <c r="A376" s="2">
        <v>40691</v>
      </c>
      <c r="B376">
        <v>80.31</v>
      </c>
    </row>
    <row r="377" spans="1:2" x14ac:dyDescent="0.25">
      <c r="A377" s="2">
        <v>40692</v>
      </c>
      <c r="B377">
        <v>80.31</v>
      </c>
    </row>
    <row r="378" spans="1:2" x14ac:dyDescent="0.25">
      <c r="A378" s="2">
        <v>40693</v>
      </c>
      <c r="B378">
        <v>80.27</v>
      </c>
    </row>
    <row r="379" spans="1:2" x14ac:dyDescent="0.25">
      <c r="A379" s="2">
        <v>40694</v>
      </c>
      <c r="B379">
        <v>80.48</v>
      </c>
    </row>
    <row r="380" spans="1:2" x14ac:dyDescent="0.25">
      <c r="A380" s="2">
        <v>40695</v>
      </c>
      <c r="B380">
        <v>78.53</v>
      </c>
    </row>
    <row r="381" spans="1:2" x14ac:dyDescent="0.25">
      <c r="A381" s="2">
        <v>40696</v>
      </c>
      <c r="B381">
        <v>78.16</v>
      </c>
    </row>
    <row r="382" spans="1:2" x14ac:dyDescent="0.25">
      <c r="A382" s="2">
        <v>40697</v>
      </c>
      <c r="B382">
        <v>77.25</v>
      </c>
    </row>
    <row r="383" spans="1:2" x14ac:dyDescent="0.25">
      <c r="A383" s="2">
        <v>40698</v>
      </c>
      <c r="B383">
        <v>77.25</v>
      </c>
    </row>
    <row r="384" spans="1:2" x14ac:dyDescent="0.25">
      <c r="A384" s="2">
        <v>40699</v>
      </c>
      <c r="B384">
        <v>77.25</v>
      </c>
    </row>
    <row r="385" spans="1:2" x14ac:dyDescent="0.25">
      <c r="A385" s="2">
        <v>40700</v>
      </c>
      <c r="B385">
        <v>75.849999999999994</v>
      </c>
    </row>
    <row r="386" spans="1:2" x14ac:dyDescent="0.25">
      <c r="A386" s="2">
        <v>40701</v>
      </c>
      <c r="B386">
        <v>75.489999999999995</v>
      </c>
    </row>
    <row r="387" spans="1:2" x14ac:dyDescent="0.25">
      <c r="A387" s="2">
        <v>40702</v>
      </c>
      <c r="B387">
        <v>75.42</v>
      </c>
    </row>
    <row r="388" spans="1:2" x14ac:dyDescent="0.25">
      <c r="A388" s="2">
        <v>40703</v>
      </c>
      <c r="B388">
        <v>75.94</v>
      </c>
    </row>
    <row r="389" spans="1:2" x14ac:dyDescent="0.25">
      <c r="A389" s="2">
        <v>40704</v>
      </c>
      <c r="B389">
        <v>75.540000000000006</v>
      </c>
    </row>
    <row r="390" spans="1:2" x14ac:dyDescent="0.25">
      <c r="A390" s="2">
        <v>40705</v>
      </c>
      <c r="B390">
        <v>75.540000000000006</v>
      </c>
    </row>
    <row r="391" spans="1:2" x14ac:dyDescent="0.25">
      <c r="A391" s="2">
        <v>40706</v>
      </c>
      <c r="B391">
        <v>75.540000000000006</v>
      </c>
    </row>
    <row r="392" spans="1:2" x14ac:dyDescent="0.25">
      <c r="A392" s="2">
        <v>40707</v>
      </c>
      <c r="B392">
        <v>76.31</v>
      </c>
    </row>
    <row r="393" spans="1:2" x14ac:dyDescent="0.25">
      <c r="A393" s="2">
        <v>40708</v>
      </c>
      <c r="B393">
        <v>76.77</v>
      </c>
    </row>
    <row r="394" spans="1:2" x14ac:dyDescent="0.25">
      <c r="A394" s="2">
        <v>40709</v>
      </c>
      <c r="B394">
        <v>76.260000000000005</v>
      </c>
    </row>
    <row r="395" spans="1:2" x14ac:dyDescent="0.25">
      <c r="A395" s="2">
        <v>40710</v>
      </c>
      <c r="B395">
        <v>77.510000000000005</v>
      </c>
    </row>
    <row r="396" spans="1:2" x14ac:dyDescent="0.25">
      <c r="A396" s="2">
        <v>40711</v>
      </c>
      <c r="B396">
        <v>76.760000000000005</v>
      </c>
    </row>
    <row r="397" spans="1:2" x14ac:dyDescent="0.25">
      <c r="A397" s="2">
        <v>40712</v>
      </c>
      <c r="B397">
        <v>76.760000000000005</v>
      </c>
    </row>
    <row r="398" spans="1:2" x14ac:dyDescent="0.25">
      <c r="A398" s="2">
        <v>40713</v>
      </c>
      <c r="B398">
        <v>76.760000000000005</v>
      </c>
    </row>
    <row r="399" spans="1:2" x14ac:dyDescent="0.25">
      <c r="A399" s="2">
        <v>40714</v>
      </c>
      <c r="B399">
        <v>77.36</v>
      </c>
    </row>
    <row r="400" spans="1:2" x14ac:dyDescent="0.25">
      <c r="A400" s="2">
        <v>40715</v>
      </c>
      <c r="B400">
        <v>77.650000000000006</v>
      </c>
    </row>
    <row r="401" spans="1:2" x14ac:dyDescent="0.25">
      <c r="A401" s="2">
        <v>40716</v>
      </c>
      <c r="B401">
        <v>77.02</v>
      </c>
    </row>
    <row r="402" spans="1:2" x14ac:dyDescent="0.25">
      <c r="A402" s="2">
        <v>40717</v>
      </c>
      <c r="B402">
        <v>77.81</v>
      </c>
    </row>
    <row r="403" spans="1:2" x14ac:dyDescent="0.25">
      <c r="A403" s="2">
        <v>40718</v>
      </c>
      <c r="B403">
        <v>76.849999999999994</v>
      </c>
    </row>
    <row r="404" spans="1:2" x14ac:dyDescent="0.25">
      <c r="A404" s="2">
        <v>40719</v>
      </c>
      <c r="B404">
        <v>76.849999999999994</v>
      </c>
    </row>
    <row r="405" spans="1:2" x14ac:dyDescent="0.25">
      <c r="A405" s="2">
        <v>40720</v>
      </c>
      <c r="B405">
        <v>76.849999999999994</v>
      </c>
    </row>
    <row r="406" spans="1:2" x14ac:dyDescent="0.25">
      <c r="A406" s="2">
        <v>40721</v>
      </c>
      <c r="B406">
        <v>77.63</v>
      </c>
    </row>
    <row r="407" spans="1:2" x14ac:dyDescent="0.25">
      <c r="A407" s="2">
        <v>40722</v>
      </c>
      <c r="B407">
        <v>78.349999999999994</v>
      </c>
    </row>
    <row r="408" spans="1:2" x14ac:dyDescent="0.25">
      <c r="A408" s="2">
        <v>40723</v>
      </c>
      <c r="B408">
        <v>78.099999999999994</v>
      </c>
    </row>
    <row r="409" spans="1:2" x14ac:dyDescent="0.25">
      <c r="A409" s="2">
        <v>40724</v>
      </c>
      <c r="B409">
        <v>78.739999999999995</v>
      </c>
    </row>
    <row r="410" spans="1:2" x14ac:dyDescent="0.25">
      <c r="A410" s="2">
        <v>40725</v>
      </c>
      <c r="B410">
        <v>79.69</v>
      </c>
    </row>
    <row r="411" spans="1:2" x14ac:dyDescent="0.25">
      <c r="A411" s="2">
        <v>40726</v>
      </c>
      <c r="B411">
        <v>79.69</v>
      </c>
    </row>
    <row r="412" spans="1:2" x14ac:dyDescent="0.25">
      <c r="A412" s="2">
        <v>40727</v>
      </c>
      <c r="B412">
        <v>79.69</v>
      </c>
    </row>
    <row r="413" spans="1:2" x14ac:dyDescent="0.25">
      <c r="A413" s="2">
        <v>40728</v>
      </c>
      <c r="B413">
        <v>79.62</v>
      </c>
    </row>
    <row r="414" spans="1:2" x14ac:dyDescent="0.25">
      <c r="A414" s="2">
        <v>40729</v>
      </c>
      <c r="B414">
        <v>79.72</v>
      </c>
    </row>
    <row r="415" spans="1:2" x14ac:dyDescent="0.25">
      <c r="A415" s="2">
        <v>40730</v>
      </c>
      <c r="B415">
        <v>80.63</v>
      </c>
    </row>
    <row r="416" spans="1:2" x14ac:dyDescent="0.25">
      <c r="A416" s="2">
        <v>40731</v>
      </c>
      <c r="B416">
        <v>81.88</v>
      </c>
    </row>
    <row r="417" spans="1:2" x14ac:dyDescent="0.25">
      <c r="A417" s="2">
        <v>40732</v>
      </c>
      <c r="B417">
        <v>81.34</v>
      </c>
    </row>
    <row r="418" spans="1:2" x14ac:dyDescent="0.25">
      <c r="A418" s="2">
        <v>40733</v>
      </c>
      <c r="B418">
        <v>81.34</v>
      </c>
    </row>
    <row r="419" spans="1:2" x14ac:dyDescent="0.25">
      <c r="A419" s="2">
        <v>40734</v>
      </c>
      <c r="B419">
        <v>81.34</v>
      </c>
    </row>
    <row r="420" spans="1:2" x14ac:dyDescent="0.25">
      <c r="A420" s="2">
        <v>40735</v>
      </c>
      <c r="B420">
        <v>80.930000000000007</v>
      </c>
    </row>
    <row r="421" spans="1:2" x14ac:dyDescent="0.25">
      <c r="A421" s="2">
        <v>40736</v>
      </c>
      <c r="B421">
        <v>81.040000000000006</v>
      </c>
    </row>
    <row r="422" spans="1:2" x14ac:dyDescent="0.25">
      <c r="A422" s="2">
        <v>40737</v>
      </c>
      <c r="B422">
        <v>80.73</v>
      </c>
    </row>
    <row r="423" spans="1:2" x14ac:dyDescent="0.25">
      <c r="A423" s="2">
        <v>40738</v>
      </c>
      <c r="B423">
        <v>79.459999999999994</v>
      </c>
    </row>
    <row r="424" spans="1:2" x14ac:dyDescent="0.25">
      <c r="A424" s="2">
        <v>40739</v>
      </c>
      <c r="B424">
        <v>80.209999999999994</v>
      </c>
    </row>
    <row r="425" spans="1:2" x14ac:dyDescent="0.25">
      <c r="A425" s="2">
        <v>40740</v>
      </c>
      <c r="B425">
        <v>80.209999999999994</v>
      </c>
    </row>
    <row r="426" spans="1:2" x14ac:dyDescent="0.25">
      <c r="A426" s="2">
        <v>40741</v>
      </c>
      <c r="B426">
        <v>80.209999999999994</v>
      </c>
    </row>
    <row r="427" spans="1:2" x14ac:dyDescent="0.25">
      <c r="A427" s="2">
        <v>40742</v>
      </c>
      <c r="B427">
        <v>80.14</v>
      </c>
    </row>
    <row r="428" spans="1:2" x14ac:dyDescent="0.25">
      <c r="A428" s="2">
        <v>40743</v>
      </c>
      <c r="B428">
        <v>80.78</v>
      </c>
    </row>
    <row r="429" spans="1:2" x14ac:dyDescent="0.25">
      <c r="A429" s="2">
        <v>40744</v>
      </c>
      <c r="B429">
        <v>80.47</v>
      </c>
    </row>
    <row r="430" spans="1:2" x14ac:dyDescent="0.25">
      <c r="A430" s="2">
        <v>40745</v>
      </c>
      <c r="B430">
        <v>81.48</v>
      </c>
    </row>
    <row r="431" spans="1:2" x14ac:dyDescent="0.25">
      <c r="A431" s="2">
        <v>40746</v>
      </c>
      <c r="B431">
        <v>80.59</v>
      </c>
    </row>
    <row r="432" spans="1:2" x14ac:dyDescent="0.25">
      <c r="A432" s="2">
        <v>40747</v>
      </c>
      <c r="B432">
        <v>80.59</v>
      </c>
    </row>
    <row r="433" spans="1:2" x14ac:dyDescent="0.25">
      <c r="A433" s="2">
        <v>40748</v>
      </c>
      <c r="B433">
        <v>80.59</v>
      </c>
    </row>
    <row r="434" spans="1:2" x14ac:dyDescent="0.25">
      <c r="A434" s="2">
        <v>40749</v>
      </c>
      <c r="B434">
        <v>80.2</v>
      </c>
    </row>
    <row r="435" spans="1:2" x14ac:dyDescent="0.25">
      <c r="A435" s="2">
        <v>40750</v>
      </c>
      <c r="B435">
        <v>79.37</v>
      </c>
    </row>
    <row r="436" spans="1:2" x14ac:dyDescent="0.25">
      <c r="A436" s="2">
        <v>40751</v>
      </c>
      <c r="B436">
        <v>77.900000000000006</v>
      </c>
    </row>
    <row r="437" spans="1:2" x14ac:dyDescent="0.25">
      <c r="A437" s="2">
        <v>40752</v>
      </c>
      <c r="B437">
        <v>78.66</v>
      </c>
    </row>
    <row r="438" spans="1:2" x14ac:dyDescent="0.25">
      <c r="A438" s="2">
        <v>40753</v>
      </c>
      <c r="B438">
        <v>78.16</v>
      </c>
    </row>
    <row r="439" spans="1:2" x14ac:dyDescent="0.25">
      <c r="A439" s="2">
        <v>40754</v>
      </c>
      <c r="B439">
        <v>78.16</v>
      </c>
    </row>
    <row r="440" spans="1:2" x14ac:dyDescent="0.25">
      <c r="A440" s="2">
        <v>40755</v>
      </c>
      <c r="B440">
        <v>78.16</v>
      </c>
    </row>
    <row r="441" spans="1:2" x14ac:dyDescent="0.25">
      <c r="A441" s="2">
        <v>40756</v>
      </c>
      <c r="B441">
        <v>76.989999999999995</v>
      </c>
    </row>
    <row r="442" spans="1:2" x14ac:dyDescent="0.25">
      <c r="A442" s="2">
        <v>40757</v>
      </c>
      <c r="B442">
        <v>76.319999999999993</v>
      </c>
    </row>
    <row r="443" spans="1:2" x14ac:dyDescent="0.25">
      <c r="A443" s="2">
        <v>40758</v>
      </c>
      <c r="B443">
        <v>76.03</v>
      </c>
    </row>
    <row r="444" spans="1:2" x14ac:dyDescent="0.25">
      <c r="A444" s="2">
        <v>40759</v>
      </c>
      <c r="B444">
        <v>72.760000000000005</v>
      </c>
    </row>
    <row r="445" spans="1:2" x14ac:dyDescent="0.25">
      <c r="A445" s="2">
        <v>40760</v>
      </c>
      <c r="B445">
        <v>73.099999999999994</v>
      </c>
    </row>
    <row r="446" spans="1:2" x14ac:dyDescent="0.25">
      <c r="A446" s="2">
        <v>40761</v>
      </c>
      <c r="B446">
        <v>73.099999999999994</v>
      </c>
    </row>
    <row r="447" spans="1:2" x14ac:dyDescent="0.25">
      <c r="A447" s="2">
        <v>40762</v>
      </c>
      <c r="B447">
        <v>73.099999999999994</v>
      </c>
    </row>
    <row r="448" spans="1:2" x14ac:dyDescent="0.25">
      <c r="A448" s="2">
        <v>40763</v>
      </c>
      <c r="B448">
        <v>67.900000000000006</v>
      </c>
    </row>
    <row r="449" spans="1:2" x14ac:dyDescent="0.25">
      <c r="A449" s="2">
        <v>40764</v>
      </c>
      <c r="B449">
        <v>70.91</v>
      </c>
    </row>
    <row r="450" spans="1:2" x14ac:dyDescent="0.25">
      <c r="A450" s="2">
        <v>40765</v>
      </c>
      <c r="B450">
        <v>67.33</v>
      </c>
    </row>
    <row r="451" spans="1:2" x14ac:dyDescent="0.25">
      <c r="A451" s="2">
        <v>40766</v>
      </c>
      <c r="B451">
        <v>71.569999999999993</v>
      </c>
    </row>
    <row r="452" spans="1:2" x14ac:dyDescent="0.25">
      <c r="A452" s="2">
        <v>40767</v>
      </c>
      <c r="B452">
        <v>71.41</v>
      </c>
    </row>
    <row r="453" spans="1:2" x14ac:dyDescent="0.25">
      <c r="A453" s="2">
        <v>40768</v>
      </c>
      <c r="B453">
        <v>71.41</v>
      </c>
    </row>
    <row r="454" spans="1:2" x14ac:dyDescent="0.25">
      <c r="A454" s="2">
        <v>40769</v>
      </c>
      <c r="B454">
        <v>71.41</v>
      </c>
    </row>
    <row r="455" spans="1:2" x14ac:dyDescent="0.25">
      <c r="A455" s="2">
        <v>40770</v>
      </c>
      <c r="B455">
        <v>72.67</v>
      </c>
    </row>
    <row r="456" spans="1:2" x14ac:dyDescent="0.25">
      <c r="A456" s="2">
        <v>40771</v>
      </c>
      <c r="B456">
        <v>71.709999999999994</v>
      </c>
    </row>
    <row r="457" spans="1:2" x14ac:dyDescent="0.25">
      <c r="A457" s="2">
        <v>40772</v>
      </c>
      <c r="B457">
        <v>71.22</v>
      </c>
    </row>
    <row r="458" spans="1:2" x14ac:dyDescent="0.25">
      <c r="A458" s="2">
        <v>40773</v>
      </c>
      <c r="B458">
        <v>68.56</v>
      </c>
    </row>
    <row r="459" spans="1:2" x14ac:dyDescent="0.25">
      <c r="A459" s="2">
        <v>40774</v>
      </c>
      <c r="B459">
        <v>67.459999999999994</v>
      </c>
    </row>
    <row r="460" spans="1:2" x14ac:dyDescent="0.25">
      <c r="A460" s="2">
        <v>40775</v>
      </c>
      <c r="B460">
        <v>67.459999999999994</v>
      </c>
    </row>
    <row r="461" spans="1:2" x14ac:dyDescent="0.25">
      <c r="A461" s="2">
        <v>40776</v>
      </c>
      <c r="B461">
        <v>67.459999999999994</v>
      </c>
    </row>
    <row r="462" spans="1:2" x14ac:dyDescent="0.25">
      <c r="A462" s="2">
        <v>40777</v>
      </c>
      <c r="B462">
        <v>67.34</v>
      </c>
    </row>
    <row r="463" spans="1:2" x14ac:dyDescent="0.25">
      <c r="A463" s="2">
        <v>40778</v>
      </c>
      <c r="B463">
        <v>69.42</v>
      </c>
    </row>
    <row r="464" spans="1:2" x14ac:dyDescent="0.25">
      <c r="A464" s="2">
        <v>40779</v>
      </c>
      <c r="B464">
        <v>70.47</v>
      </c>
    </row>
    <row r="465" spans="1:2" x14ac:dyDescent="0.25">
      <c r="A465" s="2">
        <v>40780</v>
      </c>
      <c r="B465">
        <v>69.42</v>
      </c>
    </row>
    <row r="466" spans="1:2" x14ac:dyDescent="0.25">
      <c r="A466" s="2">
        <v>40781</v>
      </c>
      <c r="B466">
        <v>70.59</v>
      </c>
    </row>
    <row r="467" spans="1:2" x14ac:dyDescent="0.25">
      <c r="A467" s="2">
        <v>40782</v>
      </c>
      <c r="B467">
        <v>70.59</v>
      </c>
    </row>
    <row r="468" spans="1:2" x14ac:dyDescent="0.25">
      <c r="A468" s="2">
        <v>40783</v>
      </c>
      <c r="B468">
        <v>70.59</v>
      </c>
    </row>
    <row r="469" spans="1:2" x14ac:dyDescent="0.25">
      <c r="A469" s="2">
        <v>40784</v>
      </c>
      <c r="B469">
        <v>72.16</v>
      </c>
    </row>
    <row r="470" spans="1:2" x14ac:dyDescent="0.25">
      <c r="A470" s="2">
        <v>40785</v>
      </c>
      <c r="B470">
        <v>72.77</v>
      </c>
    </row>
    <row r="471" spans="1:2" x14ac:dyDescent="0.25">
      <c r="A471" s="2">
        <v>40786</v>
      </c>
      <c r="B471">
        <v>72.89</v>
      </c>
    </row>
    <row r="472" spans="1:2" x14ac:dyDescent="0.25">
      <c r="A472" s="2">
        <v>40787</v>
      </c>
      <c r="B472">
        <v>72.87</v>
      </c>
    </row>
    <row r="473" spans="1:2" x14ac:dyDescent="0.25">
      <c r="A473" s="2">
        <v>40788</v>
      </c>
      <c r="B473">
        <v>71.180000000000007</v>
      </c>
    </row>
    <row r="474" spans="1:2" x14ac:dyDescent="0.25">
      <c r="A474" s="2">
        <v>40789</v>
      </c>
      <c r="B474">
        <v>71.180000000000007</v>
      </c>
    </row>
    <row r="475" spans="1:2" x14ac:dyDescent="0.25">
      <c r="A475" s="2">
        <v>40790</v>
      </c>
      <c r="B475">
        <v>71.180000000000007</v>
      </c>
    </row>
    <row r="476" spans="1:2" x14ac:dyDescent="0.25">
      <c r="A476" s="2">
        <v>40791</v>
      </c>
      <c r="B476">
        <v>71.83</v>
      </c>
    </row>
    <row r="477" spans="1:2" x14ac:dyDescent="0.25">
      <c r="A477" s="2">
        <v>40792</v>
      </c>
      <c r="B477">
        <v>71.430000000000007</v>
      </c>
    </row>
    <row r="478" spans="1:2" x14ac:dyDescent="0.25">
      <c r="A478" s="2">
        <v>40793</v>
      </c>
      <c r="B478">
        <v>73.819999999999993</v>
      </c>
    </row>
    <row r="479" spans="1:2" x14ac:dyDescent="0.25">
      <c r="A479" s="2">
        <v>40794</v>
      </c>
      <c r="B479">
        <v>73</v>
      </c>
    </row>
    <row r="480" spans="1:2" x14ac:dyDescent="0.25">
      <c r="A480" s="2">
        <v>40795</v>
      </c>
      <c r="B480">
        <v>72.22</v>
      </c>
    </row>
    <row r="481" spans="1:2" x14ac:dyDescent="0.25">
      <c r="A481" s="2">
        <v>40796</v>
      </c>
      <c r="B481">
        <v>72.22</v>
      </c>
    </row>
    <row r="482" spans="1:2" x14ac:dyDescent="0.25">
      <c r="A482" s="2">
        <v>40797</v>
      </c>
      <c r="B482">
        <v>72.22</v>
      </c>
    </row>
    <row r="483" spans="1:2" x14ac:dyDescent="0.25">
      <c r="A483" s="2">
        <v>40798</v>
      </c>
      <c r="B483">
        <v>73.58</v>
      </c>
    </row>
    <row r="484" spans="1:2" x14ac:dyDescent="0.25">
      <c r="A484" s="2">
        <v>40799</v>
      </c>
      <c r="B484">
        <v>74.33</v>
      </c>
    </row>
    <row r="485" spans="1:2" x14ac:dyDescent="0.25">
      <c r="A485" s="2">
        <v>40800</v>
      </c>
      <c r="B485">
        <v>74.87</v>
      </c>
    </row>
    <row r="486" spans="1:2" x14ac:dyDescent="0.25">
      <c r="A486" s="2">
        <v>40801</v>
      </c>
      <c r="B486">
        <v>75.8</v>
      </c>
    </row>
    <row r="487" spans="1:2" x14ac:dyDescent="0.25">
      <c r="A487" s="2">
        <v>40802</v>
      </c>
      <c r="B487">
        <v>76.430000000000007</v>
      </c>
    </row>
    <row r="488" spans="1:2" x14ac:dyDescent="0.25">
      <c r="A488" s="2">
        <v>40803</v>
      </c>
      <c r="B488">
        <v>76.430000000000007</v>
      </c>
    </row>
    <row r="489" spans="1:2" x14ac:dyDescent="0.25">
      <c r="A489" s="2">
        <v>40804</v>
      </c>
      <c r="B489">
        <v>76.430000000000007</v>
      </c>
    </row>
    <row r="490" spans="1:2" x14ac:dyDescent="0.25">
      <c r="A490" s="2">
        <v>40805</v>
      </c>
      <c r="B490">
        <v>76.34</v>
      </c>
    </row>
    <row r="491" spans="1:2" x14ac:dyDescent="0.25">
      <c r="A491" s="2">
        <v>40806</v>
      </c>
      <c r="B491">
        <v>75.84</v>
      </c>
    </row>
    <row r="492" spans="1:2" x14ac:dyDescent="0.25">
      <c r="A492" s="2">
        <v>40807</v>
      </c>
      <c r="B492">
        <v>74</v>
      </c>
    </row>
    <row r="493" spans="1:2" x14ac:dyDescent="0.25">
      <c r="A493" s="2">
        <v>40808</v>
      </c>
      <c r="B493">
        <v>72.650000000000006</v>
      </c>
    </row>
    <row r="494" spans="1:2" x14ac:dyDescent="0.25">
      <c r="A494" s="2">
        <v>40809</v>
      </c>
      <c r="B494">
        <v>73.2</v>
      </c>
    </row>
    <row r="495" spans="1:2" x14ac:dyDescent="0.25">
      <c r="A495" s="2">
        <v>40810</v>
      </c>
      <c r="B495">
        <v>73.2</v>
      </c>
    </row>
    <row r="496" spans="1:2" x14ac:dyDescent="0.25">
      <c r="A496" s="2">
        <v>40811</v>
      </c>
      <c r="B496">
        <v>73.2</v>
      </c>
    </row>
    <row r="497" spans="1:2" x14ac:dyDescent="0.25">
      <c r="A497" s="2">
        <v>40812</v>
      </c>
      <c r="B497">
        <v>74.52</v>
      </c>
    </row>
    <row r="498" spans="1:2" x14ac:dyDescent="0.25">
      <c r="A498" s="2">
        <v>40813</v>
      </c>
      <c r="B498">
        <v>74.87</v>
      </c>
    </row>
    <row r="499" spans="1:2" x14ac:dyDescent="0.25">
      <c r="A499" s="2">
        <v>40814</v>
      </c>
      <c r="B499">
        <v>73.06</v>
      </c>
    </row>
    <row r="500" spans="1:2" x14ac:dyDescent="0.25">
      <c r="A500" s="2">
        <v>40815</v>
      </c>
      <c r="B500">
        <v>73.75</v>
      </c>
    </row>
    <row r="501" spans="1:2" x14ac:dyDescent="0.25">
      <c r="A501" s="2">
        <v>40816</v>
      </c>
      <c r="B501">
        <v>72.5</v>
      </c>
    </row>
    <row r="502" spans="1:2" x14ac:dyDescent="0.25">
      <c r="A502" s="2">
        <v>40817</v>
      </c>
      <c r="B502">
        <v>72.5</v>
      </c>
    </row>
    <row r="503" spans="1:2" x14ac:dyDescent="0.25">
      <c r="A503" s="2">
        <v>40818</v>
      </c>
      <c r="B503">
        <v>72.5</v>
      </c>
    </row>
    <row r="504" spans="1:2" x14ac:dyDescent="0.25">
      <c r="A504" s="2">
        <v>40819</v>
      </c>
      <c r="B504">
        <v>71.37</v>
      </c>
    </row>
    <row r="505" spans="1:2" x14ac:dyDescent="0.25">
      <c r="A505" s="2">
        <v>40820</v>
      </c>
      <c r="B505">
        <v>73.8</v>
      </c>
    </row>
    <row r="506" spans="1:2" x14ac:dyDescent="0.25">
      <c r="A506" s="2">
        <v>40821</v>
      </c>
      <c r="B506">
        <v>74.27</v>
      </c>
    </row>
    <row r="507" spans="1:2" x14ac:dyDescent="0.25">
      <c r="A507" s="2">
        <v>40822</v>
      </c>
      <c r="B507">
        <v>76.02</v>
      </c>
    </row>
    <row r="508" spans="1:2" x14ac:dyDescent="0.25">
      <c r="A508" s="2">
        <v>40823</v>
      </c>
      <c r="B508">
        <v>74.48</v>
      </c>
    </row>
    <row r="509" spans="1:2" x14ac:dyDescent="0.25">
      <c r="A509" s="2">
        <v>40824</v>
      </c>
      <c r="B509">
        <v>74.48</v>
      </c>
    </row>
    <row r="510" spans="1:2" x14ac:dyDescent="0.25">
      <c r="A510" s="2">
        <v>40825</v>
      </c>
      <c r="B510">
        <v>74.48</v>
      </c>
    </row>
    <row r="511" spans="1:2" x14ac:dyDescent="0.25">
      <c r="A511" s="2">
        <v>40826</v>
      </c>
      <c r="B511">
        <v>76.11</v>
      </c>
    </row>
    <row r="512" spans="1:2" x14ac:dyDescent="0.25">
      <c r="A512" s="2">
        <v>40827</v>
      </c>
      <c r="B512">
        <v>76.069999999999993</v>
      </c>
    </row>
    <row r="513" spans="1:2" x14ac:dyDescent="0.25">
      <c r="A513" s="2">
        <v>40828</v>
      </c>
      <c r="B513">
        <v>75.94</v>
      </c>
    </row>
    <row r="514" spans="1:2" x14ac:dyDescent="0.25">
      <c r="A514" s="2">
        <v>40829</v>
      </c>
      <c r="B514">
        <v>75.930000000000007</v>
      </c>
    </row>
    <row r="515" spans="1:2" x14ac:dyDescent="0.25">
      <c r="A515" s="2">
        <v>40830</v>
      </c>
      <c r="B515">
        <v>76.8</v>
      </c>
    </row>
    <row r="516" spans="1:2" x14ac:dyDescent="0.25">
      <c r="A516" s="2">
        <v>40831</v>
      </c>
      <c r="B516">
        <v>76.8</v>
      </c>
    </row>
    <row r="517" spans="1:2" x14ac:dyDescent="0.25">
      <c r="A517" s="2">
        <v>40832</v>
      </c>
      <c r="B517">
        <v>76.8</v>
      </c>
    </row>
    <row r="518" spans="1:2" x14ac:dyDescent="0.25">
      <c r="A518" s="2">
        <v>40833</v>
      </c>
      <c r="B518">
        <v>75.489999999999995</v>
      </c>
    </row>
    <row r="519" spans="1:2" x14ac:dyDescent="0.25">
      <c r="A519" s="2">
        <v>40834</v>
      </c>
      <c r="B519">
        <v>77.59</v>
      </c>
    </row>
    <row r="520" spans="1:2" x14ac:dyDescent="0.25">
      <c r="A520" s="2">
        <v>40835</v>
      </c>
      <c r="B520">
        <v>75.78</v>
      </c>
    </row>
    <row r="521" spans="1:2" x14ac:dyDescent="0.25">
      <c r="A521" s="2">
        <v>40836</v>
      </c>
      <c r="B521">
        <v>76.239999999999995</v>
      </c>
    </row>
    <row r="522" spans="1:2" x14ac:dyDescent="0.25">
      <c r="A522" s="2">
        <v>40837</v>
      </c>
      <c r="B522">
        <v>77.73</v>
      </c>
    </row>
    <row r="523" spans="1:2" x14ac:dyDescent="0.25">
      <c r="A523" s="2">
        <v>40838</v>
      </c>
      <c r="B523">
        <v>77.73</v>
      </c>
    </row>
    <row r="524" spans="1:2" x14ac:dyDescent="0.25">
      <c r="A524" s="2">
        <v>40839</v>
      </c>
      <c r="B524">
        <v>77.73</v>
      </c>
    </row>
    <row r="525" spans="1:2" x14ac:dyDescent="0.25">
      <c r="A525" s="2">
        <v>40840</v>
      </c>
      <c r="B525">
        <v>78.39</v>
      </c>
    </row>
    <row r="526" spans="1:2" x14ac:dyDescent="0.25">
      <c r="A526" s="2">
        <v>40841</v>
      </c>
      <c r="B526">
        <v>76.48</v>
      </c>
    </row>
    <row r="527" spans="1:2" x14ac:dyDescent="0.25">
      <c r="A527" s="2">
        <v>40842</v>
      </c>
      <c r="B527">
        <v>77.239999999999995</v>
      </c>
    </row>
    <row r="528" spans="1:2" x14ac:dyDescent="0.25">
      <c r="A528" s="2">
        <v>40843</v>
      </c>
      <c r="B528">
        <v>79.260000000000005</v>
      </c>
    </row>
    <row r="529" spans="1:2" x14ac:dyDescent="0.25">
      <c r="A529" s="2">
        <v>40844</v>
      </c>
      <c r="B529">
        <v>78.599999999999994</v>
      </c>
    </row>
    <row r="530" spans="1:2" x14ac:dyDescent="0.25">
      <c r="A530" s="2">
        <v>40845</v>
      </c>
      <c r="B530">
        <v>78.599999999999994</v>
      </c>
    </row>
    <row r="531" spans="1:2" x14ac:dyDescent="0.25">
      <c r="A531" s="2">
        <v>40846</v>
      </c>
      <c r="B531">
        <v>78.599999999999994</v>
      </c>
    </row>
    <row r="532" spans="1:2" x14ac:dyDescent="0.25">
      <c r="A532" s="2">
        <v>40847</v>
      </c>
      <c r="B532">
        <v>77.53</v>
      </c>
    </row>
    <row r="533" spans="1:2" x14ac:dyDescent="0.25">
      <c r="A533" s="2">
        <v>40848</v>
      </c>
      <c r="B533">
        <v>77.430000000000007</v>
      </c>
    </row>
    <row r="534" spans="1:2" x14ac:dyDescent="0.25">
      <c r="A534" s="2">
        <v>40849</v>
      </c>
      <c r="B534">
        <v>77.650000000000006</v>
      </c>
    </row>
    <row r="535" spans="1:2" x14ac:dyDescent="0.25">
      <c r="A535" s="2">
        <v>40850</v>
      </c>
      <c r="B535">
        <v>79.33</v>
      </c>
    </row>
    <row r="536" spans="1:2" x14ac:dyDescent="0.25">
      <c r="A536" s="2">
        <v>40851</v>
      </c>
      <c r="B536">
        <v>78.83</v>
      </c>
    </row>
    <row r="537" spans="1:2" x14ac:dyDescent="0.25">
      <c r="A537" s="2">
        <v>40852</v>
      </c>
      <c r="B537">
        <v>78.83</v>
      </c>
    </row>
    <row r="538" spans="1:2" x14ac:dyDescent="0.25">
      <c r="A538" s="2">
        <v>40853</v>
      </c>
      <c r="B538">
        <v>78.83</v>
      </c>
    </row>
    <row r="539" spans="1:2" x14ac:dyDescent="0.25">
      <c r="A539" s="2">
        <v>40854</v>
      </c>
      <c r="B539">
        <v>79.510000000000005</v>
      </c>
    </row>
    <row r="540" spans="1:2" x14ac:dyDescent="0.25">
      <c r="A540" s="2">
        <v>40855</v>
      </c>
      <c r="B540">
        <v>80.209999999999994</v>
      </c>
    </row>
    <row r="541" spans="1:2" x14ac:dyDescent="0.25">
      <c r="A541" s="2">
        <v>40856</v>
      </c>
      <c r="B541">
        <v>78.16</v>
      </c>
    </row>
    <row r="542" spans="1:2" x14ac:dyDescent="0.25">
      <c r="A542" s="2">
        <v>40857</v>
      </c>
      <c r="B542">
        <v>78.94</v>
      </c>
    </row>
    <row r="543" spans="1:2" x14ac:dyDescent="0.25">
      <c r="A543" s="2">
        <v>40858</v>
      </c>
      <c r="B543">
        <v>80.27</v>
      </c>
    </row>
    <row r="544" spans="1:2" x14ac:dyDescent="0.25">
      <c r="A544" s="2">
        <v>40859</v>
      </c>
      <c r="B544">
        <v>80.27</v>
      </c>
    </row>
    <row r="545" spans="1:2" x14ac:dyDescent="0.25">
      <c r="A545" s="2">
        <v>40860</v>
      </c>
      <c r="B545">
        <v>80.27</v>
      </c>
    </row>
    <row r="546" spans="1:2" x14ac:dyDescent="0.25">
      <c r="A546" s="2">
        <v>40861</v>
      </c>
      <c r="B546">
        <v>79.459999999999994</v>
      </c>
    </row>
    <row r="547" spans="1:2" x14ac:dyDescent="0.25">
      <c r="A547" s="2">
        <v>40862</v>
      </c>
      <c r="B547">
        <v>80.61</v>
      </c>
    </row>
    <row r="548" spans="1:2" x14ac:dyDescent="0.25">
      <c r="A548" s="2">
        <v>40863</v>
      </c>
      <c r="B548">
        <v>79.569999999999993</v>
      </c>
    </row>
    <row r="549" spans="1:2" x14ac:dyDescent="0.25">
      <c r="A549" s="2">
        <v>40864</v>
      </c>
      <c r="B549">
        <v>78.260000000000005</v>
      </c>
    </row>
    <row r="550" spans="1:2" x14ac:dyDescent="0.25">
      <c r="A550" s="2">
        <v>40865</v>
      </c>
      <c r="B550">
        <v>77.680000000000007</v>
      </c>
    </row>
    <row r="551" spans="1:2" x14ac:dyDescent="0.25">
      <c r="A551" s="2">
        <v>40866</v>
      </c>
      <c r="B551">
        <v>77.680000000000007</v>
      </c>
    </row>
    <row r="552" spans="1:2" x14ac:dyDescent="0.25">
      <c r="A552" s="2">
        <v>40867</v>
      </c>
      <c r="B552">
        <v>77.680000000000007</v>
      </c>
    </row>
    <row r="553" spans="1:2" x14ac:dyDescent="0.25">
      <c r="A553" s="2">
        <v>40868</v>
      </c>
      <c r="B553">
        <v>76.91</v>
      </c>
    </row>
    <row r="554" spans="1:2" x14ac:dyDescent="0.25">
      <c r="A554" s="2">
        <v>40869</v>
      </c>
      <c r="B554">
        <v>76.150000000000006</v>
      </c>
    </row>
    <row r="555" spans="1:2" x14ac:dyDescent="0.25">
      <c r="A555" s="2">
        <v>40870</v>
      </c>
      <c r="B555">
        <v>75.3</v>
      </c>
    </row>
    <row r="556" spans="1:2" x14ac:dyDescent="0.25">
      <c r="A556" s="2">
        <v>40871</v>
      </c>
      <c r="B556">
        <v>75.38</v>
      </c>
    </row>
    <row r="557" spans="1:2" x14ac:dyDescent="0.25">
      <c r="A557" s="2">
        <v>40872</v>
      </c>
      <c r="B557">
        <v>76</v>
      </c>
    </row>
    <row r="558" spans="1:2" x14ac:dyDescent="0.25">
      <c r="A558" s="2">
        <v>40873</v>
      </c>
      <c r="B558">
        <v>76</v>
      </c>
    </row>
    <row r="559" spans="1:2" x14ac:dyDescent="0.25">
      <c r="A559" s="2">
        <v>40874</v>
      </c>
      <c r="B559">
        <v>76</v>
      </c>
    </row>
    <row r="560" spans="1:2" x14ac:dyDescent="0.25">
      <c r="A560" s="2">
        <v>40875</v>
      </c>
      <c r="B560">
        <v>77.53</v>
      </c>
    </row>
    <row r="561" spans="1:2" x14ac:dyDescent="0.25">
      <c r="A561" s="2">
        <v>40876</v>
      </c>
      <c r="B561">
        <v>77.8</v>
      </c>
    </row>
    <row r="562" spans="1:2" x14ac:dyDescent="0.25">
      <c r="A562" s="2">
        <v>40877</v>
      </c>
      <c r="B562">
        <v>80.680000000000007</v>
      </c>
    </row>
    <row r="563" spans="1:2" x14ac:dyDescent="0.25">
      <c r="A563" s="2">
        <v>40878</v>
      </c>
      <c r="B563">
        <v>80.08</v>
      </c>
    </row>
    <row r="564" spans="1:2" x14ac:dyDescent="0.25">
      <c r="A564" s="2">
        <v>40879</v>
      </c>
      <c r="B564">
        <v>79.959999999999994</v>
      </c>
    </row>
    <row r="565" spans="1:2" x14ac:dyDescent="0.25">
      <c r="A565" s="2">
        <v>40880</v>
      </c>
      <c r="B565">
        <v>79.959999999999994</v>
      </c>
    </row>
    <row r="566" spans="1:2" x14ac:dyDescent="0.25">
      <c r="A566" s="2">
        <v>40881</v>
      </c>
      <c r="B566">
        <v>79.959999999999994</v>
      </c>
    </row>
    <row r="567" spans="1:2" x14ac:dyDescent="0.25">
      <c r="A567" s="2">
        <v>40882</v>
      </c>
      <c r="B567">
        <v>81.19</v>
      </c>
    </row>
    <row r="568" spans="1:2" x14ac:dyDescent="0.25">
      <c r="A568" s="2">
        <v>40883</v>
      </c>
      <c r="B568">
        <v>81.569999999999993</v>
      </c>
    </row>
    <row r="569" spans="1:2" x14ac:dyDescent="0.25">
      <c r="A569" s="2">
        <v>40884</v>
      </c>
      <c r="B569">
        <v>81.86</v>
      </c>
    </row>
    <row r="570" spans="1:2" x14ac:dyDescent="0.25">
      <c r="A570" s="2">
        <v>40885</v>
      </c>
      <c r="B570">
        <v>79.94</v>
      </c>
    </row>
    <row r="571" spans="1:2" x14ac:dyDescent="0.25">
      <c r="A571" s="2">
        <v>40886</v>
      </c>
      <c r="B571">
        <v>81.45</v>
      </c>
    </row>
    <row r="572" spans="1:2" x14ac:dyDescent="0.25">
      <c r="A572" s="2">
        <v>40887</v>
      </c>
      <c r="B572">
        <v>81.45</v>
      </c>
    </row>
    <row r="573" spans="1:2" x14ac:dyDescent="0.25">
      <c r="A573" s="2">
        <v>40888</v>
      </c>
      <c r="B573">
        <v>81.45</v>
      </c>
    </row>
    <row r="574" spans="1:2" x14ac:dyDescent="0.25">
      <c r="A574" s="2">
        <v>40889</v>
      </c>
      <c r="B574">
        <v>81.040000000000006</v>
      </c>
    </row>
    <row r="575" spans="1:2" x14ac:dyDescent="0.25">
      <c r="A575" s="2">
        <v>40890</v>
      </c>
      <c r="B575">
        <v>80.78</v>
      </c>
    </row>
    <row r="576" spans="1:2" x14ac:dyDescent="0.25">
      <c r="A576" s="2">
        <v>40891</v>
      </c>
      <c r="B576">
        <v>81.03</v>
      </c>
    </row>
    <row r="577" spans="1:2" x14ac:dyDescent="0.25">
      <c r="A577" s="2">
        <v>40892</v>
      </c>
      <c r="B577">
        <v>81.14</v>
      </c>
    </row>
    <row r="578" spans="1:2" x14ac:dyDescent="0.25">
      <c r="A578" s="2">
        <v>40893</v>
      </c>
      <c r="B578">
        <v>81.11</v>
      </c>
    </row>
    <row r="579" spans="1:2" x14ac:dyDescent="0.25">
      <c r="A579" s="2">
        <v>40894</v>
      </c>
      <c r="B579">
        <v>81.11</v>
      </c>
    </row>
    <row r="580" spans="1:2" x14ac:dyDescent="0.25">
      <c r="A580" s="2">
        <v>40895</v>
      </c>
      <c r="B580">
        <v>81.11</v>
      </c>
    </row>
    <row r="581" spans="1:2" x14ac:dyDescent="0.25">
      <c r="A581" s="2">
        <v>40896</v>
      </c>
      <c r="B581">
        <v>80.31</v>
      </c>
    </row>
    <row r="582" spans="1:2" x14ac:dyDescent="0.25">
      <c r="A582" s="2">
        <v>40897</v>
      </c>
      <c r="B582">
        <v>82.5</v>
      </c>
    </row>
    <row r="583" spans="1:2" x14ac:dyDescent="0.25">
      <c r="A583" s="2">
        <v>40898</v>
      </c>
      <c r="B583">
        <v>82.79</v>
      </c>
    </row>
    <row r="584" spans="1:2" x14ac:dyDescent="0.25">
      <c r="A584" s="2">
        <v>40899</v>
      </c>
      <c r="B584">
        <v>83.53</v>
      </c>
    </row>
    <row r="585" spans="1:2" x14ac:dyDescent="0.25">
      <c r="A585" s="2">
        <v>40900</v>
      </c>
      <c r="B585">
        <v>84.22</v>
      </c>
    </row>
    <row r="586" spans="1:2" x14ac:dyDescent="0.25">
      <c r="A586" s="2">
        <v>40901</v>
      </c>
      <c r="B586">
        <v>84.22</v>
      </c>
    </row>
    <row r="587" spans="1:2" x14ac:dyDescent="0.25">
      <c r="A587" s="2">
        <v>40902</v>
      </c>
      <c r="B587">
        <v>84.22</v>
      </c>
    </row>
    <row r="588" spans="1:2" x14ac:dyDescent="0.25">
      <c r="A588" s="2">
        <v>40903</v>
      </c>
      <c r="B588">
        <v>84.12</v>
      </c>
    </row>
    <row r="589" spans="1:2" x14ac:dyDescent="0.25">
      <c r="A589" s="2">
        <v>40904</v>
      </c>
      <c r="B589">
        <v>84.15</v>
      </c>
    </row>
    <row r="590" spans="1:2" x14ac:dyDescent="0.25">
      <c r="A590" s="2">
        <v>40905</v>
      </c>
      <c r="B590">
        <v>83.09</v>
      </c>
    </row>
    <row r="591" spans="1:2" x14ac:dyDescent="0.25">
      <c r="A591" s="2">
        <v>40906</v>
      </c>
      <c r="B591">
        <v>85.18</v>
      </c>
    </row>
    <row r="592" spans="1:2" x14ac:dyDescent="0.25">
      <c r="A592" s="2">
        <v>40907</v>
      </c>
      <c r="B592">
        <v>84.49</v>
      </c>
    </row>
    <row r="593" spans="1:2" x14ac:dyDescent="0.25">
      <c r="A593" s="2">
        <v>40908</v>
      </c>
      <c r="B593">
        <v>84.49</v>
      </c>
    </row>
    <row r="594" spans="1:2" x14ac:dyDescent="0.25">
      <c r="A594" s="2">
        <v>40909</v>
      </c>
      <c r="B594">
        <v>84.49</v>
      </c>
    </row>
    <row r="595" spans="1:2" x14ac:dyDescent="0.25">
      <c r="A595" s="2">
        <v>40910</v>
      </c>
      <c r="B595">
        <v>84.51</v>
      </c>
    </row>
    <row r="596" spans="1:2" x14ac:dyDescent="0.25">
      <c r="A596" s="2">
        <v>40911</v>
      </c>
      <c r="B596">
        <v>85.3</v>
      </c>
    </row>
    <row r="597" spans="1:2" x14ac:dyDescent="0.25">
      <c r="A597" s="2">
        <v>40912</v>
      </c>
      <c r="B597">
        <v>85.77</v>
      </c>
    </row>
    <row r="598" spans="1:2" x14ac:dyDescent="0.25">
      <c r="A598" s="2">
        <v>40913</v>
      </c>
      <c r="B598">
        <v>86.8</v>
      </c>
    </row>
    <row r="599" spans="1:2" x14ac:dyDescent="0.25">
      <c r="A599" s="2">
        <v>40914</v>
      </c>
      <c r="B599">
        <v>86.98</v>
      </c>
    </row>
    <row r="600" spans="1:2" x14ac:dyDescent="0.25">
      <c r="A600" s="2">
        <v>40915</v>
      </c>
      <c r="B600">
        <v>86.98</v>
      </c>
    </row>
    <row r="601" spans="1:2" x14ac:dyDescent="0.25">
      <c r="A601" s="2">
        <v>40916</v>
      </c>
      <c r="B601">
        <v>86.98</v>
      </c>
    </row>
    <row r="602" spans="1:2" x14ac:dyDescent="0.25">
      <c r="A602" s="2">
        <v>40917</v>
      </c>
      <c r="B602">
        <v>87.51</v>
      </c>
    </row>
    <row r="603" spans="1:2" x14ac:dyDescent="0.25">
      <c r="A603" s="2">
        <v>40918</v>
      </c>
      <c r="B603">
        <v>87.73</v>
      </c>
    </row>
    <row r="604" spans="1:2" x14ac:dyDescent="0.25">
      <c r="A604" s="2">
        <v>40919</v>
      </c>
      <c r="B604">
        <v>88.39</v>
      </c>
    </row>
    <row r="605" spans="1:2" x14ac:dyDescent="0.25">
      <c r="A605" s="2">
        <v>40920</v>
      </c>
      <c r="B605">
        <v>88.47</v>
      </c>
    </row>
    <row r="606" spans="1:2" x14ac:dyDescent="0.25">
      <c r="A606" s="2">
        <v>40921</v>
      </c>
      <c r="B606">
        <v>87.8</v>
      </c>
    </row>
    <row r="607" spans="1:2" x14ac:dyDescent="0.25">
      <c r="A607" s="2">
        <v>40922</v>
      </c>
      <c r="B607">
        <v>87.8</v>
      </c>
    </row>
    <row r="608" spans="1:2" x14ac:dyDescent="0.25">
      <c r="A608" s="2">
        <v>40923</v>
      </c>
      <c r="B608">
        <v>87.8</v>
      </c>
    </row>
    <row r="609" spans="1:2" x14ac:dyDescent="0.25">
      <c r="A609" s="2">
        <v>40924</v>
      </c>
      <c r="B609">
        <v>88.5</v>
      </c>
    </row>
    <row r="610" spans="1:2" x14ac:dyDescent="0.25">
      <c r="A610" s="2">
        <v>40925</v>
      </c>
      <c r="B610">
        <v>87.97</v>
      </c>
    </row>
    <row r="611" spans="1:2" x14ac:dyDescent="0.25">
      <c r="A611" s="2">
        <v>40926</v>
      </c>
      <c r="B611">
        <v>88.68</v>
      </c>
    </row>
    <row r="612" spans="1:2" x14ac:dyDescent="0.25">
      <c r="A612" s="2">
        <v>40927</v>
      </c>
      <c r="B612">
        <v>88.57</v>
      </c>
    </row>
    <row r="613" spans="1:2" x14ac:dyDescent="0.25">
      <c r="A613" s="2">
        <v>40928</v>
      </c>
      <c r="B613">
        <v>88.69</v>
      </c>
    </row>
    <row r="614" spans="1:2" x14ac:dyDescent="0.25">
      <c r="A614" s="2">
        <v>40929</v>
      </c>
      <c r="B614">
        <v>88.69</v>
      </c>
    </row>
    <row r="615" spans="1:2" x14ac:dyDescent="0.25">
      <c r="A615" s="2">
        <v>40930</v>
      </c>
      <c r="B615">
        <v>88.69</v>
      </c>
    </row>
    <row r="616" spans="1:2" x14ac:dyDescent="0.25">
      <c r="A616" s="2">
        <v>40931</v>
      </c>
      <c r="B616">
        <v>87.95</v>
      </c>
    </row>
    <row r="617" spans="1:2" x14ac:dyDescent="0.25">
      <c r="A617" s="2">
        <v>40932</v>
      </c>
      <c r="B617">
        <v>87.95</v>
      </c>
    </row>
    <row r="618" spans="1:2" x14ac:dyDescent="0.25">
      <c r="A618" s="2">
        <v>40933</v>
      </c>
      <c r="B618">
        <v>89.14</v>
      </c>
    </row>
    <row r="619" spans="1:2" x14ac:dyDescent="0.25">
      <c r="A619" s="2">
        <v>40934</v>
      </c>
      <c r="B619">
        <v>87.26</v>
      </c>
    </row>
    <row r="620" spans="1:2" x14ac:dyDescent="0.25">
      <c r="A620" s="2">
        <v>40935</v>
      </c>
      <c r="B620">
        <v>87.12</v>
      </c>
    </row>
    <row r="621" spans="1:2" x14ac:dyDescent="0.25">
      <c r="A621" s="2">
        <v>40936</v>
      </c>
      <c r="B621">
        <v>87.12</v>
      </c>
    </row>
    <row r="622" spans="1:2" x14ac:dyDescent="0.25">
      <c r="A622" s="2">
        <v>40937</v>
      </c>
      <c r="B622">
        <v>87.12</v>
      </c>
    </row>
    <row r="623" spans="1:2" x14ac:dyDescent="0.25">
      <c r="A623" s="2">
        <v>40938</v>
      </c>
      <c r="B623">
        <v>87.13</v>
      </c>
    </row>
    <row r="624" spans="1:2" x14ac:dyDescent="0.25">
      <c r="A624" s="2">
        <v>40939</v>
      </c>
      <c r="B624">
        <v>86.66</v>
      </c>
    </row>
    <row r="625" spans="1:2" x14ac:dyDescent="0.25">
      <c r="A625" s="2">
        <v>40940</v>
      </c>
      <c r="B625">
        <v>87.45</v>
      </c>
    </row>
    <row r="626" spans="1:2" x14ac:dyDescent="0.25">
      <c r="A626" s="2">
        <v>40941</v>
      </c>
      <c r="B626">
        <v>88.09</v>
      </c>
    </row>
    <row r="627" spans="1:2" x14ac:dyDescent="0.25">
      <c r="A627" s="2">
        <v>40942</v>
      </c>
      <c r="B627">
        <v>88.94</v>
      </c>
    </row>
    <row r="628" spans="1:2" x14ac:dyDescent="0.25">
      <c r="A628" s="2">
        <v>40943</v>
      </c>
      <c r="B628">
        <v>88.94</v>
      </c>
    </row>
    <row r="629" spans="1:2" x14ac:dyDescent="0.25">
      <c r="A629" s="2">
        <v>40944</v>
      </c>
      <c r="B629">
        <v>88.94</v>
      </c>
    </row>
    <row r="630" spans="1:2" x14ac:dyDescent="0.25">
      <c r="A630" s="2">
        <v>40945</v>
      </c>
      <c r="B630">
        <v>89.7</v>
      </c>
    </row>
    <row r="631" spans="1:2" x14ac:dyDescent="0.25">
      <c r="A631" s="2">
        <v>40946</v>
      </c>
      <c r="B631">
        <v>89.4</v>
      </c>
    </row>
    <row r="632" spans="1:2" x14ac:dyDescent="0.25">
      <c r="A632" s="2">
        <v>40947</v>
      </c>
      <c r="B632">
        <v>88.53</v>
      </c>
    </row>
    <row r="633" spans="1:2" x14ac:dyDescent="0.25">
      <c r="A633" s="2">
        <v>40948</v>
      </c>
      <c r="B633">
        <v>88.57</v>
      </c>
    </row>
    <row r="634" spans="1:2" x14ac:dyDescent="0.25">
      <c r="A634" s="2">
        <v>40949</v>
      </c>
      <c r="B634">
        <v>88.63</v>
      </c>
    </row>
    <row r="635" spans="1:2" x14ac:dyDescent="0.25">
      <c r="A635" s="2">
        <v>40950</v>
      </c>
      <c r="B635">
        <v>88.63</v>
      </c>
    </row>
    <row r="636" spans="1:2" x14ac:dyDescent="0.25">
      <c r="A636" s="2">
        <v>40951</v>
      </c>
      <c r="B636">
        <v>88.63</v>
      </c>
    </row>
    <row r="637" spans="1:2" x14ac:dyDescent="0.25">
      <c r="A637" s="2">
        <v>40952</v>
      </c>
      <c r="B637">
        <v>88.8</v>
      </c>
    </row>
    <row r="638" spans="1:2" x14ac:dyDescent="0.25">
      <c r="A638" s="2">
        <v>40953</v>
      </c>
      <c r="B638">
        <v>89.31</v>
      </c>
    </row>
    <row r="639" spans="1:2" x14ac:dyDescent="0.25">
      <c r="A639" s="2">
        <v>40954</v>
      </c>
      <c r="B639">
        <v>89.38</v>
      </c>
    </row>
    <row r="640" spans="1:2" x14ac:dyDescent="0.25">
      <c r="A640" s="2">
        <v>40955</v>
      </c>
      <c r="B640">
        <v>91.13</v>
      </c>
    </row>
    <row r="641" spans="1:2" x14ac:dyDescent="0.25">
      <c r="A641" s="2">
        <v>40956</v>
      </c>
      <c r="B641">
        <v>90.12</v>
      </c>
    </row>
    <row r="642" spans="1:2" x14ac:dyDescent="0.25">
      <c r="A642" s="2">
        <v>40957</v>
      </c>
      <c r="B642">
        <v>90.12</v>
      </c>
    </row>
    <row r="643" spans="1:2" x14ac:dyDescent="0.25">
      <c r="A643" s="2">
        <v>40958</v>
      </c>
      <c r="B643">
        <v>90.12</v>
      </c>
    </row>
    <row r="644" spans="1:2" x14ac:dyDescent="0.25">
      <c r="A644" s="2">
        <v>40959</v>
      </c>
      <c r="B644">
        <v>89.39</v>
      </c>
    </row>
    <row r="645" spans="1:2" x14ac:dyDescent="0.25">
      <c r="A645" s="2">
        <v>40960</v>
      </c>
      <c r="B645">
        <v>89.76</v>
      </c>
    </row>
    <row r="646" spans="1:2" x14ac:dyDescent="0.25">
      <c r="A646" s="2">
        <v>40961</v>
      </c>
      <c r="B646">
        <v>89.4</v>
      </c>
    </row>
    <row r="647" spans="1:2" x14ac:dyDescent="0.25">
      <c r="A647" s="2">
        <v>40962</v>
      </c>
      <c r="B647">
        <v>89.33</v>
      </c>
    </row>
    <row r="648" spans="1:2" x14ac:dyDescent="0.25">
      <c r="A648" s="2">
        <v>40963</v>
      </c>
      <c r="B648">
        <v>88.74</v>
      </c>
    </row>
    <row r="649" spans="1:2" x14ac:dyDescent="0.25">
      <c r="A649" s="2">
        <v>40964</v>
      </c>
      <c r="B649">
        <v>88.74</v>
      </c>
    </row>
    <row r="650" spans="1:2" x14ac:dyDescent="0.25">
      <c r="A650" s="2">
        <v>40965</v>
      </c>
      <c r="B650">
        <v>88.74</v>
      </c>
    </row>
    <row r="651" spans="1:2" x14ac:dyDescent="0.25">
      <c r="A651" s="2">
        <v>40966</v>
      </c>
      <c r="B651">
        <v>89.03</v>
      </c>
    </row>
    <row r="652" spans="1:2" x14ac:dyDescent="0.25">
      <c r="A652" s="2">
        <v>40967</v>
      </c>
      <c r="B652">
        <v>88.9</v>
      </c>
    </row>
    <row r="653" spans="1:2" x14ac:dyDescent="0.25">
      <c r="A653" s="2">
        <v>40968</v>
      </c>
      <c r="B653">
        <v>88.57</v>
      </c>
    </row>
    <row r="654" spans="1:2" x14ac:dyDescent="0.25">
      <c r="A654" s="2">
        <v>40969</v>
      </c>
      <c r="B654">
        <v>89.99</v>
      </c>
    </row>
    <row r="655" spans="1:2" x14ac:dyDescent="0.25">
      <c r="A655" s="2">
        <v>40970</v>
      </c>
      <c r="B655">
        <v>90.35</v>
      </c>
    </row>
    <row r="656" spans="1:2" x14ac:dyDescent="0.25">
      <c r="A656" s="2">
        <v>40971</v>
      </c>
      <c r="B656">
        <v>90.35</v>
      </c>
    </row>
    <row r="657" spans="1:2" x14ac:dyDescent="0.25">
      <c r="A657" s="2">
        <v>40972</v>
      </c>
      <c r="B657">
        <v>90.35</v>
      </c>
    </row>
    <row r="658" spans="1:2" x14ac:dyDescent="0.25">
      <c r="A658" s="2">
        <v>40973</v>
      </c>
      <c r="B658">
        <v>89.98</v>
      </c>
    </row>
    <row r="659" spans="1:2" x14ac:dyDescent="0.25">
      <c r="A659" s="2">
        <v>40974</v>
      </c>
      <c r="B659">
        <v>89.05</v>
      </c>
    </row>
    <row r="660" spans="1:2" x14ac:dyDescent="0.25">
      <c r="A660" s="2">
        <v>40975</v>
      </c>
      <c r="B660">
        <v>89.91</v>
      </c>
    </row>
    <row r="661" spans="1:2" x14ac:dyDescent="0.25">
      <c r="A661" s="2">
        <v>40976</v>
      </c>
      <c r="B661">
        <v>89.96</v>
      </c>
    </row>
    <row r="662" spans="1:2" x14ac:dyDescent="0.25">
      <c r="A662" s="2">
        <v>40977</v>
      </c>
      <c r="B662">
        <v>90.64</v>
      </c>
    </row>
    <row r="663" spans="1:2" x14ac:dyDescent="0.25">
      <c r="A663" s="2">
        <v>40978</v>
      </c>
      <c r="B663">
        <v>90.64</v>
      </c>
    </row>
    <row r="664" spans="1:2" x14ac:dyDescent="0.25">
      <c r="A664" s="2">
        <v>40979</v>
      </c>
      <c r="B664">
        <v>90.64</v>
      </c>
    </row>
    <row r="665" spans="1:2" x14ac:dyDescent="0.25">
      <c r="A665" s="2">
        <v>40980</v>
      </c>
      <c r="B665">
        <v>91.16</v>
      </c>
    </row>
    <row r="666" spans="1:2" x14ac:dyDescent="0.25">
      <c r="A666" s="2">
        <v>40981</v>
      </c>
      <c r="B666">
        <v>93.28</v>
      </c>
    </row>
    <row r="667" spans="1:2" x14ac:dyDescent="0.25">
      <c r="A667" s="2">
        <v>40982</v>
      </c>
      <c r="B667">
        <v>93.13</v>
      </c>
    </row>
    <row r="668" spans="1:2" x14ac:dyDescent="0.25">
      <c r="A668" s="2">
        <v>40983</v>
      </c>
      <c r="B668">
        <v>93.71</v>
      </c>
    </row>
    <row r="669" spans="1:2" x14ac:dyDescent="0.25">
      <c r="A669" s="2">
        <v>40984</v>
      </c>
      <c r="B669">
        <v>93.4</v>
      </c>
    </row>
    <row r="670" spans="1:2" x14ac:dyDescent="0.25">
      <c r="A670" s="2">
        <v>40985</v>
      </c>
      <c r="B670">
        <v>93.4</v>
      </c>
    </row>
    <row r="671" spans="1:2" x14ac:dyDescent="0.25">
      <c r="A671" s="2">
        <v>40986</v>
      </c>
      <c r="B671">
        <v>93.4</v>
      </c>
    </row>
    <row r="672" spans="1:2" x14ac:dyDescent="0.25">
      <c r="A672" s="2">
        <v>40987</v>
      </c>
      <c r="B672">
        <v>93.52</v>
      </c>
    </row>
    <row r="673" spans="1:2" x14ac:dyDescent="0.25">
      <c r="A673" s="2">
        <v>40988</v>
      </c>
      <c r="B673">
        <v>92.91</v>
      </c>
    </row>
    <row r="674" spans="1:2" x14ac:dyDescent="0.25">
      <c r="A674" s="2">
        <v>40989</v>
      </c>
      <c r="B674">
        <v>92.54</v>
      </c>
    </row>
    <row r="675" spans="1:2" x14ac:dyDescent="0.25">
      <c r="A675" s="2">
        <v>40990</v>
      </c>
      <c r="B675">
        <v>92.28</v>
      </c>
    </row>
    <row r="676" spans="1:2" x14ac:dyDescent="0.25">
      <c r="A676" s="2">
        <v>40991</v>
      </c>
      <c r="B676">
        <v>92.05</v>
      </c>
    </row>
    <row r="677" spans="1:2" x14ac:dyDescent="0.25">
      <c r="A677" s="2">
        <v>40992</v>
      </c>
      <c r="B677">
        <v>92.05</v>
      </c>
    </row>
    <row r="678" spans="1:2" x14ac:dyDescent="0.25">
      <c r="A678" s="2">
        <v>40993</v>
      </c>
      <c r="B678">
        <v>92.05</v>
      </c>
    </row>
    <row r="679" spans="1:2" x14ac:dyDescent="0.25">
      <c r="A679" s="2">
        <v>40994</v>
      </c>
      <c r="B679">
        <v>93.09</v>
      </c>
    </row>
    <row r="680" spans="1:2" x14ac:dyDescent="0.25">
      <c r="A680" s="2">
        <v>40995</v>
      </c>
      <c r="B680">
        <v>92.43</v>
      </c>
    </row>
    <row r="681" spans="1:2" x14ac:dyDescent="0.25">
      <c r="A681" s="2">
        <v>40996</v>
      </c>
      <c r="B681">
        <v>91.97</v>
      </c>
    </row>
    <row r="682" spans="1:2" x14ac:dyDescent="0.25">
      <c r="A682" s="2">
        <v>40997</v>
      </c>
      <c r="B682">
        <v>92.27</v>
      </c>
    </row>
    <row r="683" spans="1:2" x14ac:dyDescent="0.25">
      <c r="A683" s="2">
        <v>40998</v>
      </c>
      <c r="B683">
        <v>92.03</v>
      </c>
    </row>
    <row r="684" spans="1:2" x14ac:dyDescent="0.25">
      <c r="A684" s="2">
        <v>40999</v>
      </c>
      <c r="B684">
        <v>92.03</v>
      </c>
    </row>
    <row r="685" spans="1:2" x14ac:dyDescent="0.25">
      <c r="A685" s="2">
        <v>41000</v>
      </c>
      <c r="B685">
        <v>92.03</v>
      </c>
    </row>
    <row r="686" spans="1:2" x14ac:dyDescent="0.25">
      <c r="A686" s="2">
        <v>41001</v>
      </c>
      <c r="B686">
        <v>92.98</v>
      </c>
    </row>
    <row r="687" spans="1:2" x14ac:dyDescent="0.25">
      <c r="A687" s="2">
        <v>41002</v>
      </c>
      <c r="B687">
        <v>92.65</v>
      </c>
    </row>
    <row r="688" spans="1:2" x14ac:dyDescent="0.25">
      <c r="A688" s="2">
        <v>41003</v>
      </c>
      <c r="B688">
        <v>92.92</v>
      </c>
    </row>
    <row r="689" spans="1:2" x14ac:dyDescent="0.25">
      <c r="A689" s="2">
        <v>41004</v>
      </c>
      <c r="B689">
        <v>93.42</v>
      </c>
    </row>
    <row r="690" spans="1:2" x14ac:dyDescent="0.25">
      <c r="A690" s="2">
        <v>41005</v>
      </c>
      <c r="B690">
        <v>93.29</v>
      </c>
    </row>
    <row r="691" spans="1:2" x14ac:dyDescent="0.25">
      <c r="A691" s="2">
        <v>41006</v>
      </c>
      <c r="B691">
        <v>93.29</v>
      </c>
    </row>
    <row r="692" spans="1:2" x14ac:dyDescent="0.25">
      <c r="A692" s="2">
        <v>41007</v>
      </c>
      <c r="B692">
        <v>93.29</v>
      </c>
    </row>
    <row r="693" spans="1:2" x14ac:dyDescent="0.25">
      <c r="A693" s="2">
        <v>41008</v>
      </c>
      <c r="B693">
        <v>93.29</v>
      </c>
    </row>
    <row r="694" spans="1:2" x14ac:dyDescent="0.25">
      <c r="A694" s="2">
        <v>41009</v>
      </c>
      <c r="B694">
        <v>90.46</v>
      </c>
    </row>
    <row r="695" spans="1:2" x14ac:dyDescent="0.25">
      <c r="A695" s="2">
        <v>41010</v>
      </c>
      <c r="B695">
        <v>91.03</v>
      </c>
    </row>
    <row r="696" spans="1:2" x14ac:dyDescent="0.25">
      <c r="A696" s="2">
        <v>41011</v>
      </c>
      <c r="B696">
        <v>92.13</v>
      </c>
    </row>
    <row r="697" spans="1:2" x14ac:dyDescent="0.25">
      <c r="A697" s="2">
        <v>41012</v>
      </c>
      <c r="B697">
        <v>91.02</v>
      </c>
    </row>
    <row r="698" spans="1:2" x14ac:dyDescent="0.25">
      <c r="A698" s="2">
        <v>41013</v>
      </c>
      <c r="B698">
        <v>91.02</v>
      </c>
    </row>
    <row r="699" spans="1:2" x14ac:dyDescent="0.25">
      <c r="A699" s="2">
        <v>41014</v>
      </c>
      <c r="B699">
        <v>91.02</v>
      </c>
    </row>
    <row r="700" spans="1:2" x14ac:dyDescent="0.25">
      <c r="A700" s="2">
        <v>41015</v>
      </c>
      <c r="B700">
        <v>91.84</v>
      </c>
    </row>
    <row r="701" spans="1:2" x14ac:dyDescent="0.25">
      <c r="A701" s="2">
        <v>41016</v>
      </c>
      <c r="B701">
        <v>92.49</v>
      </c>
    </row>
    <row r="702" spans="1:2" x14ac:dyDescent="0.25">
      <c r="A702" s="2">
        <v>41017</v>
      </c>
      <c r="B702">
        <v>92.39</v>
      </c>
    </row>
    <row r="703" spans="1:2" x14ac:dyDescent="0.25">
      <c r="A703" s="2">
        <v>41018</v>
      </c>
      <c r="B703">
        <v>91.89</v>
      </c>
    </row>
    <row r="704" spans="1:2" x14ac:dyDescent="0.25">
      <c r="A704" s="2">
        <v>41019</v>
      </c>
      <c r="B704">
        <v>91.27</v>
      </c>
    </row>
    <row r="705" spans="1:2" x14ac:dyDescent="0.25">
      <c r="A705" s="2">
        <v>41020</v>
      </c>
      <c r="B705">
        <v>91.27</v>
      </c>
    </row>
    <row r="706" spans="1:2" x14ac:dyDescent="0.25">
      <c r="A706" s="2">
        <v>41021</v>
      </c>
      <c r="B706">
        <v>91.27</v>
      </c>
    </row>
    <row r="707" spans="1:2" x14ac:dyDescent="0.25">
      <c r="A707" s="2">
        <v>41022</v>
      </c>
      <c r="B707">
        <v>90.91</v>
      </c>
    </row>
    <row r="708" spans="1:2" x14ac:dyDescent="0.25">
      <c r="A708" s="2">
        <v>41023</v>
      </c>
      <c r="B708">
        <v>91.04</v>
      </c>
    </row>
    <row r="709" spans="1:2" x14ac:dyDescent="0.25">
      <c r="A709" s="2">
        <v>41024</v>
      </c>
      <c r="B709">
        <v>91.98</v>
      </c>
    </row>
    <row r="710" spans="1:2" x14ac:dyDescent="0.25">
      <c r="A710" s="2">
        <v>41025</v>
      </c>
      <c r="B710">
        <v>92.54</v>
      </c>
    </row>
    <row r="711" spans="1:2" x14ac:dyDescent="0.25">
      <c r="A711" s="2">
        <v>41026</v>
      </c>
      <c r="B711">
        <v>92.66</v>
      </c>
    </row>
    <row r="712" spans="1:2" x14ac:dyDescent="0.25">
      <c r="A712" s="2">
        <v>41027</v>
      </c>
      <c r="B712">
        <v>92.66</v>
      </c>
    </row>
    <row r="713" spans="1:2" x14ac:dyDescent="0.25">
      <c r="A713" s="2">
        <v>41028</v>
      </c>
      <c r="B713">
        <v>92.66</v>
      </c>
    </row>
    <row r="714" spans="1:2" x14ac:dyDescent="0.25">
      <c r="A714" s="2">
        <v>41029</v>
      </c>
      <c r="B714">
        <v>92.41</v>
      </c>
    </row>
    <row r="715" spans="1:2" x14ac:dyDescent="0.25">
      <c r="A715" s="2">
        <v>41030</v>
      </c>
      <c r="B715">
        <v>92.93</v>
      </c>
    </row>
    <row r="716" spans="1:2" x14ac:dyDescent="0.25">
      <c r="A716" s="2">
        <v>41031</v>
      </c>
      <c r="B716">
        <v>93.3</v>
      </c>
    </row>
    <row r="717" spans="1:2" x14ac:dyDescent="0.25">
      <c r="A717" s="2">
        <v>41032</v>
      </c>
      <c r="B717">
        <v>92.65</v>
      </c>
    </row>
    <row r="718" spans="1:2" x14ac:dyDescent="0.25">
      <c r="A718" s="2">
        <v>41033</v>
      </c>
      <c r="B718">
        <v>91.09</v>
      </c>
    </row>
    <row r="719" spans="1:2" x14ac:dyDescent="0.25">
      <c r="A719" s="2">
        <v>41034</v>
      </c>
      <c r="B719">
        <v>91.09</v>
      </c>
    </row>
    <row r="720" spans="1:2" x14ac:dyDescent="0.25">
      <c r="A720" s="2">
        <v>41035</v>
      </c>
      <c r="B720">
        <v>91.09</v>
      </c>
    </row>
    <row r="721" spans="1:2" x14ac:dyDescent="0.25">
      <c r="A721" s="2">
        <v>41036</v>
      </c>
      <c r="B721">
        <v>91.82</v>
      </c>
    </row>
    <row r="722" spans="1:2" x14ac:dyDescent="0.25">
      <c r="A722" s="2">
        <v>41037</v>
      </c>
      <c r="B722">
        <v>91.49</v>
      </c>
    </row>
    <row r="723" spans="1:2" x14ac:dyDescent="0.25">
      <c r="A723" s="2">
        <v>41038</v>
      </c>
      <c r="B723">
        <v>91.43</v>
      </c>
    </row>
    <row r="724" spans="1:2" x14ac:dyDescent="0.25">
      <c r="A724" s="2">
        <v>41039</v>
      </c>
      <c r="B724">
        <v>91.61</v>
      </c>
    </row>
    <row r="725" spans="1:2" x14ac:dyDescent="0.25">
      <c r="A725" s="2">
        <v>41040</v>
      </c>
      <c r="B725">
        <v>91.42</v>
      </c>
    </row>
    <row r="726" spans="1:2" x14ac:dyDescent="0.25">
      <c r="A726" s="2">
        <v>41041</v>
      </c>
      <c r="B726">
        <v>91.42</v>
      </c>
    </row>
    <row r="727" spans="1:2" x14ac:dyDescent="0.25">
      <c r="A727" s="2">
        <v>41042</v>
      </c>
      <c r="B727">
        <v>91.42</v>
      </c>
    </row>
    <row r="728" spans="1:2" x14ac:dyDescent="0.25">
      <c r="A728" s="2">
        <v>41043</v>
      </c>
      <c r="B728">
        <v>90.98</v>
      </c>
    </row>
    <row r="729" spans="1:2" x14ac:dyDescent="0.25">
      <c r="A729" s="2">
        <v>41044</v>
      </c>
      <c r="B729">
        <v>90.62</v>
      </c>
    </row>
    <row r="730" spans="1:2" x14ac:dyDescent="0.25">
      <c r="A730" s="2">
        <v>41045</v>
      </c>
      <c r="B730">
        <v>90.99</v>
      </c>
    </row>
    <row r="731" spans="1:2" x14ac:dyDescent="0.25">
      <c r="A731" s="2">
        <v>41046</v>
      </c>
      <c r="B731">
        <v>90.03</v>
      </c>
    </row>
    <row r="732" spans="1:2" x14ac:dyDescent="0.25">
      <c r="A732" s="2">
        <v>41047</v>
      </c>
      <c r="B732">
        <v>89.08</v>
      </c>
    </row>
    <row r="733" spans="1:2" x14ac:dyDescent="0.25">
      <c r="A733" s="2">
        <v>41048</v>
      </c>
      <c r="B733">
        <v>89.08</v>
      </c>
    </row>
    <row r="734" spans="1:2" x14ac:dyDescent="0.25">
      <c r="A734" s="2">
        <v>41049</v>
      </c>
      <c r="B734">
        <v>89.08</v>
      </c>
    </row>
    <row r="735" spans="1:2" x14ac:dyDescent="0.25">
      <c r="A735" s="2">
        <v>41050</v>
      </c>
      <c r="B735">
        <v>90.31</v>
      </c>
    </row>
    <row r="736" spans="1:2" x14ac:dyDescent="0.25">
      <c r="A736" s="2">
        <v>41051</v>
      </c>
      <c r="B736">
        <v>90.23</v>
      </c>
    </row>
    <row r="737" spans="1:2" x14ac:dyDescent="0.25">
      <c r="A737" s="2">
        <v>41052</v>
      </c>
      <c r="B737">
        <v>91.15</v>
      </c>
    </row>
    <row r="738" spans="1:2" x14ac:dyDescent="0.25">
      <c r="A738" s="2">
        <v>41053</v>
      </c>
      <c r="B738">
        <v>92.04</v>
      </c>
    </row>
    <row r="739" spans="1:2" x14ac:dyDescent="0.25">
      <c r="A739" s="2">
        <v>41054</v>
      </c>
      <c r="B739">
        <v>91.91</v>
      </c>
    </row>
    <row r="740" spans="1:2" x14ac:dyDescent="0.25">
      <c r="A740" s="2">
        <v>41055</v>
      </c>
      <c r="B740">
        <v>91.91</v>
      </c>
    </row>
    <row r="741" spans="1:2" x14ac:dyDescent="0.25">
      <c r="A741" s="2">
        <v>41056</v>
      </c>
      <c r="B741">
        <v>91.91</v>
      </c>
    </row>
    <row r="742" spans="1:2" x14ac:dyDescent="0.25">
      <c r="A742" s="2">
        <v>41057</v>
      </c>
      <c r="B742">
        <v>91.76</v>
      </c>
    </row>
    <row r="743" spans="1:2" x14ac:dyDescent="0.25">
      <c r="A743" s="2">
        <v>41058</v>
      </c>
      <c r="B743">
        <v>93.11</v>
      </c>
    </row>
    <row r="744" spans="1:2" x14ac:dyDescent="0.25">
      <c r="A744" s="2">
        <v>41059</v>
      </c>
      <c r="B744">
        <v>92.42</v>
      </c>
    </row>
    <row r="745" spans="1:2" x14ac:dyDescent="0.25">
      <c r="A745" s="2">
        <v>41060</v>
      </c>
      <c r="B745">
        <v>92.48</v>
      </c>
    </row>
    <row r="746" spans="1:2" x14ac:dyDescent="0.25">
      <c r="A746" s="2">
        <v>41061</v>
      </c>
      <c r="B746">
        <v>90.81</v>
      </c>
    </row>
    <row r="747" spans="1:2" x14ac:dyDescent="0.25">
      <c r="A747" s="2">
        <v>41062</v>
      </c>
      <c r="B747">
        <v>90.81</v>
      </c>
    </row>
    <row r="748" spans="1:2" x14ac:dyDescent="0.25">
      <c r="A748" s="2">
        <v>41063</v>
      </c>
      <c r="B748">
        <v>90.81</v>
      </c>
    </row>
    <row r="749" spans="1:2" x14ac:dyDescent="0.25">
      <c r="A749" s="2">
        <v>41064</v>
      </c>
      <c r="B749">
        <v>89.97</v>
      </c>
    </row>
    <row r="750" spans="1:2" x14ac:dyDescent="0.25">
      <c r="A750" s="2">
        <v>41065</v>
      </c>
      <c r="B750">
        <v>90.55</v>
      </c>
    </row>
    <row r="751" spans="1:2" x14ac:dyDescent="0.25">
      <c r="A751" s="2">
        <v>41066</v>
      </c>
      <c r="B751">
        <v>92.24</v>
      </c>
    </row>
    <row r="752" spans="1:2" x14ac:dyDescent="0.25">
      <c r="A752" s="2">
        <v>41067</v>
      </c>
      <c r="B752">
        <v>91.43</v>
      </c>
    </row>
    <row r="753" spans="1:2" x14ac:dyDescent="0.25">
      <c r="A753" s="2">
        <v>41068</v>
      </c>
      <c r="B753">
        <v>93.12</v>
      </c>
    </row>
    <row r="754" spans="1:2" x14ac:dyDescent="0.25">
      <c r="A754" s="2">
        <v>41069</v>
      </c>
      <c r="B754">
        <v>93.12</v>
      </c>
    </row>
    <row r="755" spans="1:2" x14ac:dyDescent="0.25">
      <c r="A755" s="2">
        <v>41070</v>
      </c>
      <c r="B755">
        <v>93.12</v>
      </c>
    </row>
    <row r="756" spans="1:2" x14ac:dyDescent="0.25">
      <c r="A756" s="2">
        <v>41071</v>
      </c>
      <c r="B756">
        <v>91.38</v>
      </c>
    </row>
    <row r="757" spans="1:2" x14ac:dyDescent="0.25">
      <c r="A757" s="2">
        <v>41072</v>
      </c>
      <c r="B757">
        <v>92.84</v>
      </c>
    </row>
    <row r="758" spans="1:2" x14ac:dyDescent="0.25">
      <c r="A758" s="2">
        <v>41073</v>
      </c>
      <c r="B758">
        <v>91.9</v>
      </c>
    </row>
    <row r="759" spans="1:2" x14ac:dyDescent="0.25">
      <c r="A759" s="2">
        <v>41074</v>
      </c>
      <c r="B759">
        <v>92.77</v>
      </c>
    </row>
    <row r="760" spans="1:2" x14ac:dyDescent="0.25">
      <c r="A760" s="2">
        <v>41075</v>
      </c>
      <c r="B760">
        <v>93.39</v>
      </c>
    </row>
    <row r="761" spans="1:2" x14ac:dyDescent="0.25">
      <c r="A761" s="2">
        <v>41076</v>
      </c>
      <c r="B761">
        <v>93.39</v>
      </c>
    </row>
    <row r="762" spans="1:2" x14ac:dyDescent="0.25">
      <c r="A762" s="2">
        <v>41077</v>
      </c>
      <c r="B762">
        <v>93.39</v>
      </c>
    </row>
    <row r="763" spans="1:2" x14ac:dyDescent="0.25">
      <c r="A763" s="2">
        <v>41078</v>
      </c>
      <c r="B763">
        <v>93.37</v>
      </c>
    </row>
    <row r="764" spans="1:2" x14ac:dyDescent="0.25">
      <c r="A764" s="2">
        <v>41079</v>
      </c>
      <c r="B764">
        <v>94.27</v>
      </c>
    </row>
    <row r="765" spans="1:2" x14ac:dyDescent="0.25">
      <c r="A765" s="2">
        <v>41080</v>
      </c>
      <c r="B765">
        <v>93.49</v>
      </c>
    </row>
    <row r="766" spans="1:2" x14ac:dyDescent="0.25">
      <c r="A766" s="2">
        <v>41081</v>
      </c>
      <c r="B766">
        <v>91.67</v>
      </c>
    </row>
    <row r="767" spans="1:2" x14ac:dyDescent="0.25">
      <c r="A767" s="2">
        <v>41082</v>
      </c>
      <c r="B767">
        <v>93.28</v>
      </c>
    </row>
    <row r="768" spans="1:2" x14ac:dyDescent="0.25">
      <c r="A768" s="2">
        <v>41083</v>
      </c>
      <c r="B768">
        <v>93.28</v>
      </c>
    </row>
    <row r="769" spans="1:2" x14ac:dyDescent="0.25">
      <c r="A769" s="2">
        <v>41084</v>
      </c>
      <c r="B769">
        <v>93.28</v>
      </c>
    </row>
    <row r="770" spans="1:2" x14ac:dyDescent="0.25">
      <c r="A770" s="2">
        <v>41085</v>
      </c>
      <c r="B770">
        <v>92.18</v>
      </c>
    </row>
    <row r="771" spans="1:2" x14ac:dyDescent="0.25">
      <c r="A771" s="2">
        <v>41086</v>
      </c>
      <c r="B771">
        <v>92.72</v>
      </c>
    </row>
    <row r="772" spans="1:2" x14ac:dyDescent="0.25">
      <c r="A772" s="2">
        <v>41087</v>
      </c>
      <c r="B772">
        <v>93.55</v>
      </c>
    </row>
    <row r="773" spans="1:2" x14ac:dyDescent="0.25">
      <c r="A773" s="2">
        <v>41088</v>
      </c>
      <c r="B773">
        <v>93.81</v>
      </c>
    </row>
    <row r="774" spans="1:2" x14ac:dyDescent="0.25">
      <c r="A774" s="2">
        <v>41089</v>
      </c>
      <c r="B774">
        <v>94.83</v>
      </c>
    </row>
    <row r="775" spans="1:2" x14ac:dyDescent="0.25">
      <c r="A775" s="2">
        <v>41090</v>
      </c>
      <c r="B775">
        <v>94.83</v>
      </c>
    </row>
    <row r="776" spans="1:2" x14ac:dyDescent="0.25">
      <c r="A776" s="2">
        <v>41091</v>
      </c>
      <c r="B776">
        <v>94.83</v>
      </c>
    </row>
    <row r="777" spans="1:2" x14ac:dyDescent="0.25">
      <c r="A777" s="2">
        <v>41092</v>
      </c>
      <c r="B777">
        <v>95.04</v>
      </c>
    </row>
    <row r="778" spans="1:2" x14ac:dyDescent="0.25">
      <c r="A778" s="2">
        <v>41093</v>
      </c>
      <c r="B778">
        <v>95.79</v>
      </c>
    </row>
    <row r="779" spans="1:2" x14ac:dyDescent="0.25">
      <c r="A779" s="2">
        <v>41094</v>
      </c>
      <c r="B779">
        <v>95.91</v>
      </c>
    </row>
    <row r="780" spans="1:2" x14ac:dyDescent="0.25">
      <c r="A780" s="2">
        <v>41095</v>
      </c>
      <c r="B780">
        <v>96.48</v>
      </c>
    </row>
    <row r="781" spans="1:2" x14ac:dyDescent="0.25">
      <c r="A781" s="2">
        <v>41096</v>
      </c>
      <c r="B781">
        <v>95.98</v>
      </c>
    </row>
    <row r="782" spans="1:2" x14ac:dyDescent="0.25">
      <c r="A782" s="2">
        <v>41097</v>
      </c>
      <c r="B782">
        <v>95.98</v>
      </c>
    </row>
    <row r="783" spans="1:2" x14ac:dyDescent="0.25">
      <c r="A783" s="2">
        <v>41098</v>
      </c>
      <c r="B783">
        <v>95.98</v>
      </c>
    </row>
    <row r="784" spans="1:2" x14ac:dyDescent="0.25">
      <c r="A784" s="2">
        <v>41099</v>
      </c>
      <c r="B784">
        <v>96.48</v>
      </c>
    </row>
    <row r="785" spans="1:2" x14ac:dyDescent="0.25">
      <c r="A785" s="2">
        <v>41100</v>
      </c>
      <c r="B785">
        <v>95.76</v>
      </c>
    </row>
    <row r="786" spans="1:2" x14ac:dyDescent="0.25">
      <c r="A786" s="2">
        <v>41101</v>
      </c>
      <c r="B786">
        <v>95.96</v>
      </c>
    </row>
    <row r="787" spans="1:2" x14ac:dyDescent="0.25">
      <c r="A787" s="2">
        <v>41102</v>
      </c>
      <c r="B787">
        <v>96.12</v>
      </c>
    </row>
    <row r="788" spans="1:2" x14ac:dyDescent="0.25">
      <c r="A788" s="2">
        <v>41103</v>
      </c>
      <c r="B788">
        <v>97.65</v>
      </c>
    </row>
    <row r="789" spans="1:2" x14ac:dyDescent="0.25">
      <c r="A789" s="2">
        <v>41104</v>
      </c>
      <c r="B789">
        <v>97.65</v>
      </c>
    </row>
    <row r="790" spans="1:2" x14ac:dyDescent="0.25">
      <c r="A790" s="2">
        <v>41105</v>
      </c>
      <c r="B790">
        <v>97.65</v>
      </c>
    </row>
    <row r="791" spans="1:2" x14ac:dyDescent="0.25">
      <c r="A791" s="2">
        <v>41106</v>
      </c>
      <c r="B791">
        <v>97.5</v>
      </c>
    </row>
    <row r="792" spans="1:2" x14ac:dyDescent="0.25">
      <c r="A792" s="2">
        <v>41107</v>
      </c>
      <c r="B792">
        <v>97.39</v>
      </c>
    </row>
    <row r="793" spans="1:2" x14ac:dyDescent="0.25">
      <c r="A793" s="2">
        <v>41108</v>
      </c>
      <c r="B793">
        <v>98.42</v>
      </c>
    </row>
    <row r="794" spans="1:2" x14ac:dyDescent="0.25">
      <c r="A794" s="2">
        <v>41109</v>
      </c>
      <c r="B794">
        <v>98.27</v>
      </c>
    </row>
    <row r="795" spans="1:2" x14ac:dyDescent="0.25">
      <c r="A795" s="2">
        <v>41110</v>
      </c>
      <c r="B795">
        <v>97.98</v>
      </c>
    </row>
    <row r="796" spans="1:2" x14ac:dyDescent="0.25">
      <c r="A796" s="2">
        <v>41111</v>
      </c>
      <c r="B796">
        <v>97.98</v>
      </c>
    </row>
    <row r="797" spans="1:2" x14ac:dyDescent="0.25">
      <c r="A797" s="2">
        <v>41112</v>
      </c>
      <c r="B797">
        <v>97.98</v>
      </c>
    </row>
    <row r="798" spans="1:2" x14ac:dyDescent="0.25">
      <c r="A798" s="2">
        <v>41113</v>
      </c>
      <c r="B798">
        <v>97.87</v>
      </c>
    </row>
    <row r="799" spans="1:2" x14ac:dyDescent="0.25">
      <c r="A799" s="2">
        <v>41114</v>
      </c>
      <c r="B799">
        <v>97.1</v>
      </c>
    </row>
    <row r="800" spans="1:2" x14ac:dyDescent="0.25">
      <c r="A800" s="2">
        <v>41115</v>
      </c>
      <c r="B800">
        <v>96.71</v>
      </c>
    </row>
    <row r="801" spans="1:2" x14ac:dyDescent="0.25">
      <c r="A801" s="2">
        <v>41116</v>
      </c>
      <c r="B801">
        <v>97.31</v>
      </c>
    </row>
    <row r="802" spans="1:2" x14ac:dyDescent="0.25">
      <c r="A802" s="2">
        <v>41117</v>
      </c>
      <c r="B802">
        <v>98.71</v>
      </c>
    </row>
    <row r="803" spans="1:2" x14ac:dyDescent="0.25">
      <c r="A803" s="2">
        <v>41118</v>
      </c>
      <c r="B803">
        <v>98.71</v>
      </c>
    </row>
    <row r="804" spans="1:2" x14ac:dyDescent="0.25">
      <c r="A804" s="2">
        <v>41119</v>
      </c>
      <c r="B804">
        <v>98.71</v>
      </c>
    </row>
    <row r="805" spans="1:2" x14ac:dyDescent="0.25">
      <c r="A805" s="2">
        <v>41120</v>
      </c>
      <c r="B805">
        <v>99.23</v>
      </c>
    </row>
    <row r="806" spans="1:2" x14ac:dyDescent="0.25">
      <c r="A806" s="2">
        <v>41121</v>
      </c>
      <c r="B806">
        <v>98.5</v>
      </c>
    </row>
    <row r="807" spans="1:2" x14ac:dyDescent="0.25">
      <c r="A807" s="2">
        <v>41122</v>
      </c>
      <c r="B807">
        <v>98.11</v>
      </c>
    </row>
    <row r="808" spans="1:2" x14ac:dyDescent="0.25">
      <c r="A808" s="2">
        <v>41123</v>
      </c>
      <c r="B808">
        <v>97</v>
      </c>
    </row>
    <row r="809" spans="1:2" x14ac:dyDescent="0.25">
      <c r="A809" s="2">
        <v>41124</v>
      </c>
      <c r="B809">
        <v>99.68</v>
      </c>
    </row>
    <row r="810" spans="1:2" x14ac:dyDescent="0.25">
      <c r="A810" s="2">
        <v>41125</v>
      </c>
      <c r="B810">
        <v>99.68</v>
      </c>
    </row>
    <row r="811" spans="1:2" x14ac:dyDescent="0.25">
      <c r="A811" s="2">
        <v>41126</v>
      </c>
      <c r="B811">
        <v>99.68</v>
      </c>
    </row>
    <row r="812" spans="1:2" x14ac:dyDescent="0.25">
      <c r="A812" s="2">
        <v>41127</v>
      </c>
      <c r="B812">
        <v>98.83</v>
      </c>
    </row>
    <row r="813" spans="1:2" x14ac:dyDescent="0.25">
      <c r="A813" s="2">
        <v>41128</v>
      </c>
      <c r="B813">
        <v>98.88</v>
      </c>
    </row>
    <row r="814" spans="1:2" x14ac:dyDescent="0.25">
      <c r="A814" s="2">
        <v>41129</v>
      </c>
      <c r="B814">
        <v>99.76</v>
      </c>
    </row>
    <row r="815" spans="1:2" x14ac:dyDescent="0.25">
      <c r="A815" s="2">
        <v>41130</v>
      </c>
      <c r="B815">
        <v>100.13</v>
      </c>
    </row>
    <row r="816" spans="1:2" x14ac:dyDescent="0.25">
      <c r="A816" s="2">
        <v>41131</v>
      </c>
      <c r="B816">
        <v>100.67</v>
      </c>
    </row>
    <row r="817" spans="1:2" x14ac:dyDescent="0.25">
      <c r="A817" s="2">
        <v>41132</v>
      </c>
      <c r="B817">
        <v>100.67</v>
      </c>
    </row>
    <row r="818" spans="1:2" x14ac:dyDescent="0.25">
      <c r="A818" s="2">
        <v>41133</v>
      </c>
      <c r="B818">
        <v>100.67</v>
      </c>
    </row>
    <row r="819" spans="1:2" x14ac:dyDescent="0.25">
      <c r="A819" s="2">
        <v>41134</v>
      </c>
      <c r="B819">
        <v>99.94</v>
      </c>
    </row>
    <row r="820" spans="1:2" x14ac:dyDescent="0.25">
      <c r="A820" s="2">
        <v>41135</v>
      </c>
      <c r="B820">
        <v>99.83</v>
      </c>
    </row>
    <row r="821" spans="1:2" x14ac:dyDescent="0.25">
      <c r="A821" s="2">
        <v>41136</v>
      </c>
      <c r="B821">
        <v>100.59</v>
      </c>
    </row>
    <row r="822" spans="1:2" x14ac:dyDescent="0.25">
      <c r="A822" s="2">
        <v>41137</v>
      </c>
      <c r="B822">
        <v>101.29</v>
      </c>
    </row>
    <row r="823" spans="1:2" x14ac:dyDescent="0.25">
      <c r="A823" s="2">
        <v>41138</v>
      </c>
      <c r="B823">
        <v>101</v>
      </c>
    </row>
    <row r="824" spans="1:2" x14ac:dyDescent="0.25">
      <c r="A824" s="2">
        <v>41139</v>
      </c>
      <c r="B824">
        <v>101</v>
      </c>
    </row>
    <row r="825" spans="1:2" x14ac:dyDescent="0.25">
      <c r="A825" s="2">
        <v>41140</v>
      </c>
      <c r="B825">
        <v>101</v>
      </c>
    </row>
    <row r="826" spans="1:2" x14ac:dyDescent="0.25">
      <c r="A826" s="2">
        <v>41141</v>
      </c>
      <c r="B826">
        <v>101.3</v>
      </c>
    </row>
    <row r="827" spans="1:2" x14ac:dyDescent="0.25">
      <c r="A827" s="2">
        <v>41142</v>
      </c>
      <c r="B827">
        <v>99.9</v>
      </c>
    </row>
    <row r="828" spans="1:2" x14ac:dyDescent="0.25">
      <c r="A828" s="2">
        <v>41143</v>
      </c>
      <c r="B828">
        <v>99.78</v>
      </c>
    </row>
    <row r="829" spans="1:2" x14ac:dyDescent="0.25">
      <c r="A829" s="2">
        <v>41144</v>
      </c>
      <c r="B829">
        <v>98.15</v>
      </c>
    </row>
    <row r="830" spans="1:2" x14ac:dyDescent="0.25">
      <c r="A830" s="2">
        <v>41145</v>
      </c>
      <c r="B830">
        <v>99.14</v>
      </c>
    </row>
    <row r="831" spans="1:2" x14ac:dyDescent="0.25">
      <c r="A831" s="2">
        <v>41146</v>
      </c>
      <c r="B831">
        <v>99.14</v>
      </c>
    </row>
    <row r="832" spans="1:2" x14ac:dyDescent="0.25">
      <c r="A832" s="2">
        <v>41147</v>
      </c>
      <c r="B832">
        <v>99.14</v>
      </c>
    </row>
    <row r="833" spans="1:2" x14ac:dyDescent="0.25">
      <c r="A833" s="2">
        <v>41148</v>
      </c>
      <c r="B833">
        <v>98.91</v>
      </c>
    </row>
    <row r="834" spans="1:2" x14ac:dyDescent="0.25">
      <c r="A834" s="2">
        <v>41149</v>
      </c>
      <c r="B834">
        <v>98.7</v>
      </c>
    </row>
    <row r="835" spans="1:2" x14ac:dyDescent="0.25">
      <c r="A835" s="2">
        <v>41150</v>
      </c>
      <c r="B835">
        <v>98.83</v>
      </c>
    </row>
    <row r="836" spans="1:2" x14ac:dyDescent="0.25">
      <c r="A836" s="2">
        <v>41151</v>
      </c>
      <c r="B836">
        <v>98.07</v>
      </c>
    </row>
    <row r="837" spans="1:2" x14ac:dyDescent="0.25">
      <c r="A837" s="2">
        <v>41152</v>
      </c>
      <c r="B837">
        <v>98.05</v>
      </c>
    </row>
    <row r="838" spans="1:2" x14ac:dyDescent="0.25">
      <c r="A838" s="2">
        <v>41153</v>
      </c>
      <c r="B838">
        <v>98.05</v>
      </c>
    </row>
    <row r="839" spans="1:2" x14ac:dyDescent="0.25">
      <c r="A839" s="2">
        <v>41154</v>
      </c>
      <c r="B839">
        <v>98.05</v>
      </c>
    </row>
    <row r="840" spans="1:2" x14ac:dyDescent="0.25">
      <c r="A840" s="2">
        <v>41155</v>
      </c>
      <c r="B840">
        <v>98.38</v>
      </c>
    </row>
    <row r="841" spans="1:2" x14ac:dyDescent="0.25">
      <c r="A841" s="2">
        <v>41156</v>
      </c>
      <c r="B841">
        <v>98.19</v>
      </c>
    </row>
    <row r="842" spans="1:2" x14ac:dyDescent="0.25">
      <c r="A842" s="2">
        <v>41157</v>
      </c>
      <c r="B842">
        <v>98.11</v>
      </c>
    </row>
    <row r="843" spans="1:2" x14ac:dyDescent="0.25">
      <c r="A843" s="2">
        <v>41158</v>
      </c>
      <c r="B843">
        <v>99.64</v>
      </c>
    </row>
    <row r="844" spans="1:2" x14ac:dyDescent="0.25">
      <c r="A844" s="2">
        <v>41159</v>
      </c>
      <c r="B844">
        <v>99.52</v>
      </c>
    </row>
    <row r="845" spans="1:2" x14ac:dyDescent="0.25">
      <c r="A845" s="2">
        <v>41160</v>
      </c>
      <c r="B845">
        <v>99.52</v>
      </c>
    </row>
    <row r="846" spans="1:2" x14ac:dyDescent="0.25">
      <c r="A846" s="2">
        <v>41161</v>
      </c>
      <c r="B846">
        <v>99.52</v>
      </c>
    </row>
    <row r="847" spans="1:2" x14ac:dyDescent="0.25">
      <c r="A847" s="2">
        <v>41162</v>
      </c>
      <c r="B847">
        <v>98.36</v>
      </c>
    </row>
    <row r="848" spans="1:2" x14ac:dyDescent="0.25">
      <c r="A848" s="2">
        <v>41163</v>
      </c>
      <c r="B848">
        <v>98.59</v>
      </c>
    </row>
    <row r="849" spans="1:2" x14ac:dyDescent="0.25">
      <c r="A849" s="2">
        <v>41164</v>
      </c>
      <c r="B849">
        <v>97.98</v>
      </c>
    </row>
    <row r="850" spans="1:2" x14ac:dyDescent="0.25">
      <c r="A850" s="2">
        <v>41165</v>
      </c>
      <c r="B850">
        <v>99.48</v>
      </c>
    </row>
    <row r="851" spans="1:2" x14ac:dyDescent="0.25">
      <c r="A851" s="2">
        <v>41166</v>
      </c>
      <c r="B851">
        <v>98.47</v>
      </c>
    </row>
    <row r="852" spans="1:2" x14ac:dyDescent="0.25">
      <c r="A852" s="2">
        <v>41167</v>
      </c>
      <c r="B852">
        <v>98.47</v>
      </c>
    </row>
    <row r="853" spans="1:2" x14ac:dyDescent="0.25">
      <c r="A853" s="2">
        <v>41168</v>
      </c>
      <c r="B853">
        <v>98.47</v>
      </c>
    </row>
    <row r="854" spans="1:2" x14ac:dyDescent="0.25">
      <c r="A854" s="2">
        <v>41169</v>
      </c>
      <c r="B854">
        <v>98.23</v>
      </c>
    </row>
    <row r="855" spans="1:2" x14ac:dyDescent="0.25">
      <c r="A855" s="2">
        <v>41170</v>
      </c>
      <c r="B855">
        <v>98.35</v>
      </c>
    </row>
    <row r="856" spans="1:2" x14ac:dyDescent="0.25">
      <c r="A856" s="2">
        <v>41171</v>
      </c>
      <c r="B856">
        <v>98.85</v>
      </c>
    </row>
    <row r="857" spans="1:2" x14ac:dyDescent="0.25">
      <c r="A857" s="2">
        <v>41172</v>
      </c>
      <c r="B857">
        <v>99.18</v>
      </c>
    </row>
    <row r="858" spans="1:2" x14ac:dyDescent="0.25">
      <c r="A858" s="2">
        <v>41173</v>
      </c>
      <c r="B858">
        <v>98.91</v>
      </c>
    </row>
    <row r="859" spans="1:2" x14ac:dyDescent="0.25">
      <c r="A859" s="2">
        <v>41174</v>
      </c>
      <c r="B859">
        <v>98.91</v>
      </c>
    </row>
    <row r="860" spans="1:2" x14ac:dyDescent="0.25">
      <c r="A860" s="2">
        <v>41175</v>
      </c>
      <c r="B860">
        <v>98.91</v>
      </c>
    </row>
    <row r="861" spans="1:2" x14ac:dyDescent="0.25">
      <c r="A861" s="2">
        <v>41176</v>
      </c>
      <c r="B861">
        <v>99.23</v>
      </c>
    </row>
    <row r="862" spans="1:2" x14ac:dyDescent="0.25">
      <c r="A862" s="2">
        <v>41177</v>
      </c>
      <c r="B862">
        <v>98.08</v>
      </c>
    </row>
    <row r="863" spans="1:2" x14ac:dyDescent="0.25">
      <c r="A863" s="2">
        <v>41178</v>
      </c>
      <c r="B863">
        <v>98.2</v>
      </c>
    </row>
    <row r="864" spans="1:2" x14ac:dyDescent="0.25">
      <c r="A864" s="2">
        <v>41179</v>
      </c>
      <c r="B864">
        <v>98.93</v>
      </c>
    </row>
    <row r="865" spans="1:2" x14ac:dyDescent="0.25">
      <c r="A865" s="2">
        <v>41180</v>
      </c>
      <c r="B865">
        <v>98.06</v>
      </c>
    </row>
    <row r="866" spans="1:2" x14ac:dyDescent="0.25">
      <c r="A866" s="2">
        <v>41181</v>
      </c>
      <c r="B866">
        <v>98.06</v>
      </c>
    </row>
    <row r="867" spans="1:2" x14ac:dyDescent="0.25">
      <c r="A867" s="2">
        <v>41182</v>
      </c>
      <c r="B867">
        <v>98.06</v>
      </c>
    </row>
    <row r="868" spans="1:2" x14ac:dyDescent="0.25">
      <c r="A868" s="2">
        <v>41183</v>
      </c>
      <c r="B868">
        <v>98.73</v>
      </c>
    </row>
    <row r="869" spans="1:2" x14ac:dyDescent="0.25">
      <c r="A869" s="2">
        <v>41184</v>
      </c>
      <c r="B869">
        <v>98.41</v>
      </c>
    </row>
    <row r="870" spans="1:2" x14ac:dyDescent="0.25">
      <c r="A870" s="2">
        <v>41185</v>
      </c>
      <c r="B870">
        <v>98.98</v>
      </c>
    </row>
    <row r="871" spans="1:2" x14ac:dyDescent="0.25">
      <c r="A871" s="2">
        <v>41186</v>
      </c>
      <c r="B871">
        <v>99.33</v>
      </c>
    </row>
    <row r="872" spans="1:2" x14ac:dyDescent="0.25">
      <c r="A872" s="2">
        <v>41187</v>
      </c>
      <c r="B872">
        <v>98.94</v>
      </c>
    </row>
    <row r="873" spans="1:2" x14ac:dyDescent="0.25">
      <c r="A873" s="2">
        <v>41188</v>
      </c>
      <c r="B873">
        <v>98.94</v>
      </c>
    </row>
    <row r="874" spans="1:2" x14ac:dyDescent="0.25">
      <c r="A874" s="2">
        <v>41189</v>
      </c>
      <c r="B874">
        <v>98.94</v>
      </c>
    </row>
    <row r="875" spans="1:2" x14ac:dyDescent="0.25">
      <c r="A875" s="2">
        <v>41190</v>
      </c>
      <c r="B875">
        <v>98.93</v>
      </c>
    </row>
    <row r="876" spans="1:2" x14ac:dyDescent="0.25">
      <c r="A876" s="2">
        <v>41191</v>
      </c>
      <c r="B876">
        <v>97.99</v>
      </c>
    </row>
    <row r="877" spans="1:2" x14ac:dyDescent="0.25">
      <c r="A877" s="2">
        <v>41192</v>
      </c>
      <c r="B877">
        <v>97.87</v>
      </c>
    </row>
    <row r="878" spans="1:2" x14ac:dyDescent="0.25">
      <c r="A878" s="2">
        <v>41193</v>
      </c>
      <c r="B878">
        <v>97.69</v>
      </c>
    </row>
    <row r="879" spans="1:2" x14ac:dyDescent="0.25">
      <c r="A879" s="2">
        <v>41194</v>
      </c>
      <c r="B879">
        <v>97.01</v>
      </c>
    </row>
    <row r="880" spans="1:2" x14ac:dyDescent="0.25">
      <c r="A880" s="2">
        <v>41195</v>
      </c>
      <c r="B880">
        <v>97.01</v>
      </c>
    </row>
    <row r="881" spans="1:2" x14ac:dyDescent="0.25">
      <c r="A881" s="2">
        <v>41196</v>
      </c>
      <c r="B881">
        <v>97.01</v>
      </c>
    </row>
    <row r="882" spans="1:2" x14ac:dyDescent="0.25">
      <c r="A882" s="2">
        <v>41197</v>
      </c>
      <c r="B882">
        <v>97.79</v>
      </c>
    </row>
    <row r="883" spans="1:2" x14ac:dyDescent="0.25">
      <c r="A883" s="2">
        <v>41198</v>
      </c>
      <c r="B883">
        <v>98.22</v>
      </c>
    </row>
    <row r="884" spans="1:2" x14ac:dyDescent="0.25">
      <c r="A884" s="2">
        <v>41199</v>
      </c>
      <c r="B884">
        <v>98.08</v>
      </c>
    </row>
    <row r="885" spans="1:2" x14ac:dyDescent="0.25">
      <c r="A885" s="2">
        <v>41200</v>
      </c>
      <c r="B885">
        <v>97.86</v>
      </c>
    </row>
    <row r="886" spans="1:2" x14ac:dyDescent="0.25">
      <c r="A886" s="2">
        <v>41201</v>
      </c>
      <c r="B886">
        <v>96.85</v>
      </c>
    </row>
    <row r="887" spans="1:2" x14ac:dyDescent="0.25">
      <c r="A887" s="2">
        <v>41202</v>
      </c>
      <c r="B887">
        <v>96.85</v>
      </c>
    </row>
    <row r="888" spans="1:2" x14ac:dyDescent="0.25">
      <c r="A888" s="2">
        <v>41203</v>
      </c>
      <c r="B888">
        <v>96.85</v>
      </c>
    </row>
    <row r="889" spans="1:2" x14ac:dyDescent="0.25">
      <c r="A889" s="2">
        <v>41204</v>
      </c>
      <c r="B889">
        <v>96.69</v>
      </c>
    </row>
    <row r="890" spans="1:2" x14ac:dyDescent="0.25">
      <c r="A890" s="2">
        <v>41205</v>
      </c>
      <c r="B890">
        <v>95.71</v>
      </c>
    </row>
    <row r="891" spans="1:2" x14ac:dyDescent="0.25">
      <c r="A891" s="2">
        <v>41206</v>
      </c>
      <c r="B891">
        <v>95.88</v>
      </c>
    </row>
    <row r="892" spans="1:2" x14ac:dyDescent="0.25">
      <c r="A892" s="2">
        <v>41207</v>
      </c>
      <c r="B892">
        <v>95.79</v>
      </c>
    </row>
    <row r="893" spans="1:2" x14ac:dyDescent="0.25">
      <c r="A893" s="2">
        <v>41208</v>
      </c>
      <c r="B893">
        <v>96.35</v>
      </c>
    </row>
    <row r="894" spans="1:2" x14ac:dyDescent="0.25">
      <c r="A894" s="2">
        <v>41209</v>
      </c>
      <c r="B894">
        <v>96.35</v>
      </c>
    </row>
    <row r="895" spans="1:2" x14ac:dyDescent="0.25">
      <c r="A895" s="2">
        <v>41210</v>
      </c>
      <c r="B895">
        <v>96.35</v>
      </c>
    </row>
    <row r="896" spans="1:2" x14ac:dyDescent="0.25">
      <c r="A896" s="2">
        <v>41211</v>
      </c>
      <c r="B896">
        <v>96.43</v>
      </c>
    </row>
    <row r="897" spans="1:2" x14ac:dyDescent="0.25">
      <c r="A897" s="2">
        <v>41212</v>
      </c>
      <c r="B897">
        <v>95.95</v>
      </c>
    </row>
    <row r="898" spans="1:2" x14ac:dyDescent="0.25">
      <c r="A898" s="2">
        <v>41213</v>
      </c>
      <c r="B898">
        <v>95.74</v>
      </c>
    </row>
    <row r="899" spans="1:2" x14ac:dyDescent="0.25">
      <c r="A899" s="2">
        <v>41214</v>
      </c>
      <c r="B899">
        <v>96.93</v>
      </c>
    </row>
    <row r="900" spans="1:2" x14ac:dyDescent="0.25">
      <c r="A900" s="2">
        <v>41215</v>
      </c>
      <c r="B900">
        <v>96.96</v>
      </c>
    </row>
    <row r="901" spans="1:2" x14ac:dyDescent="0.25">
      <c r="A901" s="2">
        <v>41216</v>
      </c>
      <c r="B901">
        <v>96.96</v>
      </c>
    </row>
    <row r="902" spans="1:2" x14ac:dyDescent="0.25">
      <c r="A902" s="2">
        <v>41217</v>
      </c>
      <c r="B902">
        <v>96.96</v>
      </c>
    </row>
    <row r="903" spans="1:2" x14ac:dyDescent="0.25">
      <c r="A903" s="2">
        <v>41218</v>
      </c>
      <c r="B903">
        <v>97.73</v>
      </c>
    </row>
    <row r="904" spans="1:2" x14ac:dyDescent="0.25">
      <c r="A904" s="2">
        <v>41219</v>
      </c>
      <c r="B904">
        <v>98.33</v>
      </c>
    </row>
    <row r="905" spans="1:2" x14ac:dyDescent="0.25">
      <c r="A905" s="2">
        <v>41220</v>
      </c>
      <c r="B905">
        <v>96.47</v>
      </c>
    </row>
    <row r="906" spans="1:2" x14ac:dyDescent="0.25">
      <c r="A906" s="2">
        <v>41221</v>
      </c>
      <c r="B906">
        <v>95.38</v>
      </c>
    </row>
    <row r="907" spans="1:2" x14ac:dyDescent="0.25">
      <c r="A907" s="2">
        <v>41222</v>
      </c>
      <c r="B907">
        <v>95.86</v>
      </c>
    </row>
    <row r="908" spans="1:2" x14ac:dyDescent="0.25">
      <c r="A908" s="2">
        <v>41223</v>
      </c>
      <c r="B908">
        <v>95.86</v>
      </c>
    </row>
    <row r="909" spans="1:2" x14ac:dyDescent="0.25">
      <c r="A909" s="2">
        <v>41224</v>
      </c>
      <c r="B909">
        <v>95.86</v>
      </c>
    </row>
    <row r="910" spans="1:2" x14ac:dyDescent="0.25">
      <c r="A910" s="2">
        <v>41225</v>
      </c>
      <c r="B910">
        <v>95.56</v>
      </c>
    </row>
    <row r="911" spans="1:2" x14ac:dyDescent="0.25">
      <c r="A911" s="2">
        <v>41226</v>
      </c>
      <c r="B911">
        <v>95.49</v>
      </c>
    </row>
    <row r="912" spans="1:2" x14ac:dyDescent="0.25">
      <c r="A912" s="2">
        <v>41227</v>
      </c>
      <c r="B912">
        <v>93.98</v>
      </c>
    </row>
    <row r="913" spans="1:2" x14ac:dyDescent="0.25">
      <c r="A913" s="2">
        <v>41228</v>
      </c>
      <c r="B913">
        <v>93.62</v>
      </c>
    </row>
    <row r="914" spans="1:2" x14ac:dyDescent="0.25">
      <c r="A914" s="2">
        <v>41229</v>
      </c>
      <c r="B914">
        <v>94.15</v>
      </c>
    </row>
    <row r="915" spans="1:2" x14ac:dyDescent="0.25">
      <c r="A915" s="2">
        <v>41230</v>
      </c>
      <c r="B915">
        <v>94.15</v>
      </c>
    </row>
    <row r="916" spans="1:2" x14ac:dyDescent="0.25">
      <c r="A916" s="2">
        <v>41231</v>
      </c>
      <c r="B916">
        <v>94.15</v>
      </c>
    </row>
    <row r="917" spans="1:2" x14ac:dyDescent="0.25">
      <c r="A917" s="2">
        <v>41232</v>
      </c>
      <c r="B917">
        <v>95.9</v>
      </c>
    </row>
    <row r="918" spans="1:2" x14ac:dyDescent="0.25">
      <c r="A918" s="2">
        <v>41233</v>
      </c>
      <c r="B918">
        <v>95.62</v>
      </c>
    </row>
    <row r="919" spans="1:2" x14ac:dyDescent="0.25">
      <c r="A919" s="2">
        <v>41234</v>
      </c>
      <c r="B919">
        <v>95.87</v>
      </c>
    </row>
    <row r="920" spans="1:2" x14ac:dyDescent="0.25">
      <c r="A920" s="2">
        <v>41235</v>
      </c>
      <c r="B920">
        <v>95.21</v>
      </c>
    </row>
    <row r="921" spans="1:2" x14ac:dyDescent="0.25">
      <c r="A921" s="2">
        <v>41236</v>
      </c>
      <c r="B921">
        <v>96.34</v>
      </c>
    </row>
    <row r="922" spans="1:2" x14ac:dyDescent="0.25">
      <c r="A922" s="2">
        <v>41237</v>
      </c>
      <c r="B922">
        <v>96.34</v>
      </c>
    </row>
    <row r="923" spans="1:2" x14ac:dyDescent="0.25">
      <c r="A923" s="2">
        <v>41238</v>
      </c>
      <c r="B923">
        <v>96.34</v>
      </c>
    </row>
    <row r="924" spans="1:2" x14ac:dyDescent="0.25">
      <c r="A924" s="2">
        <v>41239</v>
      </c>
      <c r="B924">
        <v>95.74</v>
      </c>
    </row>
    <row r="925" spans="1:2" x14ac:dyDescent="0.25">
      <c r="A925" s="2">
        <v>41240</v>
      </c>
      <c r="B925">
        <v>95.28</v>
      </c>
    </row>
    <row r="926" spans="1:2" x14ac:dyDescent="0.25">
      <c r="A926" s="2">
        <v>41241</v>
      </c>
      <c r="B926">
        <v>96.57</v>
      </c>
    </row>
    <row r="927" spans="1:2" x14ac:dyDescent="0.25">
      <c r="A927" s="2">
        <v>41242</v>
      </c>
      <c r="B927">
        <v>96.23</v>
      </c>
    </row>
    <row r="928" spans="1:2" x14ac:dyDescent="0.25">
      <c r="A928" s="2">
        <v>41243</v>
      </c>
      <c r="B928">
        <v>96.3</v>
      </c>
    </row>
    <row r="929" spans="1:2" x14ac:dyDescent="0.25">
      <c r="A929" s="2">
        <v>41244</v>
      </c>
      <c r="B929">
        <v>96.3</v>
      </c>
    </row>
    <row r="930" spans="1:2" x14ac:dyDescent="0.25">
      <c r="A930" s="2">
        <v>41245</v>
      </c>
      <c r="B930">
        <v>96.3</v>
      </c>
    </row>
    <row r="931" spans="1:2" x14ac:dyDescent="0.25">
      <c r="A931" s="2">
        <v>41246</v>
      </c>
      <c r="B931">
        <v>95.33</v>
      </c>
    </row>
    <row r="932" spans="1:2" x14ac:dyDescent="0.25">
      <c r="A932" s="2">
        <v>41247</v>
      </c>
      <c r="B932">
        <v>94.91</v>
      </c>
    </row>
    <row r="933" spans="1:2" x14ac:dyDescent="0.25">
      <c r="A933" s="2">
        <v>41248</v>
      </c>
      <c r="B933">
        <v>95.28</v>
      </c>
    </row>
    <row r="934" spans="1:2" x14ac:dyDescent="0.25">
      <c r="A934" s="2">
        <v>41249</v>
      </c>
      <c r="B934">
        <v>95.56</v>
      </c>
    </row>
    <row r="935" spans="1:2" x14ac:dyDescent="0.25">
      <c r="A935" s="2">
        <v>41250</v>
      </c>
      <c r="B935">
        <v>97.09</v>
      </c>
    </row>
    <row r="936" spans="1:2" x14ac:dyDescent="0.25">
      <c r="A936" s="2">
        <v>41251</v>
      </c>
      <c r="B936">
        <v>97.09</v>
      </c>
    </row>
    <row r="937" spans="1:2" x14ac:dyDescent="0.25">
      <c r="A937" s="2">
        <v>41252</v>
      </c>
      <c r="B937">
        <v>97.09</v>
      </c>
    </row>
    <row r="938" spans="1:2" x14ac:dyDescent="0.25">
      <c r="A938" s="2">
        <v>41253</v>
      </c>
      <c r="B938">
        <v>96.93</v>
      </c>
    </row>
    <row r="939" spans="1:2" x14ac:dyDescent="0.25">
      <c r="A939" s="2">
        <v>41254</v>
      </c>
      <c r="B939">
        <v>97.09</v>
      </c>
    </row>
    <row r="940" spans="1:2" x14ac:dyDescent="0.25">
      <c r="A940" s="2">
        <v>41255</v>
      </c>
      <c r="B940">
        <v>96.8</v>
      </c>
    </row>
    <row r="941" spans="1:2" x14ac:dyDescent="0.25">
      <c r="A941" s="2">
        <v>41256</v>
      </c>
      <c r="B941">
        <v>95.94</v>
      </c>
    </row>
    <row r="942" spans="1:2" x14ac:dyDescent="0.25">
      <c r="A942" s="2">
        <v>41257</v>
      </c>
      <c r="B942">
        <v>95.52</v>
      </c>
    </row>
    <row r="943" spans="1:2" x14ac:dyDescent="0.25">
      <c r="A943" s="2">
        <v>41258</v>
      </c>
      <c r="B943">
        <v>95.52</v>
      </c>
    </row>
    <row r="944" spans="1:2" x14ac:dyDescent="0.25">
      <c r="A944" s="2">
        <v>41259</v>
      </c>
      <c r="B944">
        <v>95.52</v>
      </c>
    </row>
    <row r="945" spans="1:2" x14ac:dyDescent="0.25">
      <c r="A945" s="2">
        <v>41260</v>
      </c>
      <c r="B945">
        <v>96.07</v>
      </c>
    </row>
    <row r="946" spans="1:2" x14ac:dyDescent="0.25">
      <c r="A946" s="2">
        <v>41261</v>
      </c>
      <c r="B946">
        <v>97.04</v>
      </c>
    </row>
    <row r="947" spans="1:2" x14ac:dyDescent="0.25">
      <c r="A947" s="2">
        <v>41262</v>
      </c>
      <c r="B947">
        <v>95.41</v>
      </c>
    </row>
    <row r="948" spans="1:2" x14ac:dyDescent="0.25">
      <c r="A948" s="2">
        <v>41263</v>
      </c>
      <c r="B948">
        <v>96.35</v>
      </c>
    </row>
    <row r="949" spans="1:2" x14ac:dyDescent="0.25">
      <c r="A949" s="2">
        <v>41264</v>
      </c>
      <c r="B949">
        <v>95.72</v>
      </c>
    </row>
    <row r="950" spans="1:2" x14ac:dyDescent="0.25">
      <c r="A950" s="2">
        <v>41265</v>
      </c>
      <c r="B950">
        <v>95.72</v>
      </c>
    </row>
    <row r="951" spans="1:2" x14ac:dyDescent="0.25">
      <c r="A951" s="2">
        <v>41266</v>
      </c>
      <c r="B951">
        <v>95.72</v>
      </c>
    </row>
    <row r="952" spans="1:2" x14ac:dyDescent="0.25">
      <c r="A952" s="2">
        <v>41267</v>
      </c>
      <c r="B952">
        <v>95.43</v>
      </c>
    </row>
    <row r="953" spans="1:2" x14ac:dyDescent="0.25">
      <c r="A953" s="2">
        <v>41268</v>
      </c>
      <c r="B953">
        <v>95.79</v>
      </c>
    </row>
    <row r="954" spans="1:2" x14ac:dyDescent="0.25">
      <c r="A954" s="2">
        <v>41269</v>
      </c>
      <c r="B954">
        <v>95.79</v>
      </c>
    </row>
    <row r="955" spans="1:2" x14ac:dyDescent="0.25">
      <c r="A955" s="2">
        <v>41270</v>
      </c>
      <c r="B955">
        <v>94.53</v>
      </c>
    </row>
    <row r="956" spans="1:2" x14ac:dyDescent="0.25">
      <c r="A956" s="2">
        <v>41271</v>
      </c>
      <c r="B956">
        <v>94.08</v>
      </c>
    </row>
    <row r="957" spans="1:2" x14ac:dyDescent="0.25">
      <c r="A957" s="2">
        <v>41272</v>
      </c>
      <c r="B957">
        <v>94.08</v>
      </c>
    </row>
    <row r="958" spans="1:2" x14ac:dyDescent="0.25">
      <c r="A958" s="2">
        <v>41273</v>
      </c>
      <c r="B958">
        <v>94.08</v>
      </c>
    </row>
    <row r="959" spans="1:2" x14ac:dyDescent="0.25">
      <c r="A959" s="2">
        <v>41274</v>
      </c>
      <c r="B959">
        <v>95.6</v>
      </c>
    </row>
    <row r="960" spans="1:2" x14ac:dyDescent="0.25">
      <c r="A960" s="2">
        <v>41275</v>
      </c>
      <c r="B960">
        <v>94.43</v>
      </c>
    </row>
    <row r="961" spans="1:2" x14ac:dyDescent="0.25">
      <c r="A961" s="2">
        <v>41276</v>
      </c>
      <c r="B961">
        <v>97.53</v>
      </c>
    </row>
    <row r="962" spans="1:2" x14ac:dyDescent="0.25">
      <c r="A962" s="2">
        <v>41277</v>
      </c>
      <c r="B962">
        <v>98.52</v>
      </c>
    </row>
    <row r="963" spans="1:2" x14ac:dyDescent="0.25">
      <c r="A963" s="2">
        <v>41278</v>
      </c>
      <c r="B963">
        <v>99.68</v>
      </c>
    </row>
    <row r="964" spans="1:2" x14ac:dyDescent="0.25">
      <c r="A964" s="2">
        <v>41279</v>
      </c>
      <c r="B964">
        <v>99.68</v>
      </c>
    </row>
    <row r="965" spans="1:2" x14ac:dyDescent="0.25">
      <c r="A965" s="2">
        <v>41280</v>
      </c>
      <c r="B965">
        <v>99.68</v>
      </c>
    </row>
    <row r="966" spans="1:2" x14ac:dyDescent="0.25">
      <c r="A966" s="2">
        <v>41281</v>
      </c>
      <c r="B966">
        <v>99.17</v>
      </c>
    </row>
    <row r="967" spans="1:2" x14ac:dyDescent="0.25">
      <c r="A967" s="2">
        <v>41282</v>
      </c>
      <c r="B967">
        <v>98.52</v>
      </c>
    </row>
    <row r="968" spans="1:2" x14ac:dyDescent="0.25">
      <c r="A968" s="2">
        <v>41283</v>
      </c>
      <c r="B968">
        <v>99.01</v>
      </c>
    </row>
    <row r="969" spans="1:2" x14ac:dyDescent="0.25">
      <c r="A969" s="2">
        <v>41284</v>
      </c>
      <c r="B969">
        <v>99.33</v>
      </c>
    </row>
    <row r="970" spans="1:2" x14ac:dyDescent="0.25">
      <c r="A970" s="2">
        <v>41285</v>
      </c>
      <c r="B970">
        <v>98.12</v>
      </c>
    </row>
    <row r="971" spans="1:2" x14ac:dyDescent="0.25">
      <c r="A971" s="2">
        <v>41286</v>
      </c>
      <c r="B971">
        <v>98.12</v>
      </c>
    </row>
    <row r="972" spans="1:2" x14ac:dyDescent="0.25">
      <c r="A972" s="2">
        <v>41287</v>
      </c>
      <c r="B972">
        <v>98.12</v>
      </c>
    </row>
    <row r="973" spans="1:2" x14ac:dyDescent="0.25">
      <c r="A973" s="2">
        <v>41288</v>
      </c>
      <c r="B973">
        <v>97.54</v>
      </c>
    </row>
    <row r="974" spans="1:2" x14ac:dyDescent="0.25">
      <c r="A974" s="2">
        <v>41289</v>
      </c>
      <c r="B974">
        <v>97.75</v>
      </c>
    </row>
    <row r="975" spans="1:2" x14ac:dyDescent="0.25">
      <c r="A975" s="2">
        <v>41290</v>
      </c>
      <c r="B975">
        <v>98.15</v>
      </c>
    </row>
    <row r="976" spans="1:2" x14ac:dyDescent="0.25">
      <c r="A976" s="2">
        <v>41291</v>
      </c>
      <c r="B976">
        <v>98.03</v>
      </c>
    </row>
    <row r="977" spans="1:2" x14ac:dyDescent="0.25">
      <c r="A977" s="2">
        <v>41292</v>
      </c>
      <c r="B977">
        <v>98.69</v>
      </c>
    </row>
    <row r="978" spans="1:2" x14ac:dyDescent="0.25">
      <c r="A978" s="2">
        <v>41293</v>
      </c>
      <c r="B978">
        <v>98.69</v>
      </c>
    </row>
    <row r="979" spans="1:2" x14ac:dyDescent="0.25">
      <c r="A979" s="2">
        <v>41294</v>
      </c>
      <c r="B979">
        <v>98.69</v>
      </c>
    </row>
    <row r="980" spans="1:2" x14ac:dyDescent="0.25">
      <c r="A980" s="2">
        <v>41295</v>
      </c>
      <c r="B980">
        <v>98.69</v>
      </c>
    </row>
    <row r="981" spans="1:2" x14ac:dyDescent="0.25">
      <c r="A981" s="2">
        <v>41296</v>
      </c>
      <c r="B981">
        <v>99.18</v>
      </c>
    </row>
    <row r="982" spans="1:2" x14ac:dyDescent="0.25">
      <c r="A982" s="2">
        <v>41297</v>
      </c>
      <c r="B982">
        <v>99.23</v>
      </c>
    </row>
    <row r="983" spans="1:2" x14ac:dyDescent="0.25">
      <c r="A983" s="2">
        <v>41298</v>
      </c>
      <c r="B983">
        <v>99.09</v>
      </c>
    </row>
    <row r="984" spans="1:2" x14ac:dyDescent="0.25">
      <c r="A984" s="2">
        <v>41299</v>
      </c>
      <c r="B984">
        <v>98.75</v>
      </c>
    </row>
    <row r="985" spans="1:2" x14ac:dyDescent="0.25">
      <c r="A985" s="2">
        <v>41300</v>
      </c>
      <c r="B985">
        <v>98.75</v>
      </c>
    </row>
    <row r="986" spans="1:2" x14ac:dyDescent="0.25">
      <c r="A986" s="2">
        <v>41301</v>
      </c>
      <c r="B986">
        <v>98.75</v>
      </c>
    </row>
    <row r="987" spans="1:2" x14ac:dyDescent="0.25">
      <c r="A987" s="2">
        <v>41302</v>
      </c>
      <c r="B987">
        <v>98.75</v>
      </c>
    </row>
    <row r="988" spans="1:2" x14ac:dyDescent="0.25">
      <c r="A988" s="2">
        <v>41303</v>
      </c>
      <c r="B988">
        <v>99.34</v>
      </c>
    </row>
    <row r="989" spans="1:2" x14ac:dyDescent="0.25">
      <c r="A989" s="2">
        <v>41304</v>
      </c>
      <c r="B989">
        <v>98.18</v>
      </c>
    </row>
    <row r="990" spans="1:2" x14ac:dyDescent="0.25">
      <c r="A990" s="2">
        <v>41305</v>
      </c>
      <c r="B990">
        <v>97.87</v>
      </c>
    </row>
    <row r="991" spans="1:2" x14ac:dyDescent="0.25">
      <c r="A991" s="2">
        <v>41306</v>
      </c>
      <c r="B991">
        <v>98.18</v>
      </c>
    </row>
    <row r="992" spans="1:2" x14ac:dyDescent="0.25">
      <c r="A992" s="2">
        <v>41307</v>
      </c>
      <c r="B992">
        <v>98.18</v>
      </c>
    </row>
    <row r="993" spans="1:2" x14ac:dyDescent="0.25">
      <c r="A993" s="2">
        <v>41308</v>
      </c>
      <c r="B993">
        <v>98.18</v>
      </c>
    </row>
    <row r="994" spans="1:2" x14ac:dyDescent="0.25">
      <c r="A994" s="2">
        <v>41309</v>
      </c>
      <c r="B994">
        <v>97.71</v>
      </c>
    </row>
    <row r="995" spans="1:2" x14ac:dyDescent="0.25">
      <c r="A995" s="2">
        <v>41310</v>
      </c>
      <c r="B995">
        <v>98.84</v>
      </c>
    </row>
    <row r="996" spans="1:2" x14ac:dyDescent="0.25">
      <c r="A996" s="2">
        <v>41311</v>
      </c>
      <c r="B996">
        <v>99.05</v>
      </c>
    </row>
    <row r="997" spans="1:2" x14ac:dyDescent="0.25">
      <c r="A997" s="2">
        <v>41312</v>
      </c>
      <c r="B997">
        <v>98.69</v>
      </c>
    </row>
    <row r="998" spans="1:2" x14ac:dyDescent="0.25">
      <c r="A998" s="2">
        <v>41313</v>
      </c>
      <c r="B998">
        <v>100.52</v>
      </c>
    </row>
    <row r="999" spans="1:2" x14ac:dyDescent="0.25">
      <c r="A999" s="2">
        <v>41314</v>
      </c>
      <c r="B999">
        <v>100.52</v>
      </c>
    </row>
    <row r="1000" spans="1:2" x14ac:dyDescent="0.25">
      <c r="A1000" s="2">
        <v>41315</v>
      </c>
      <c r="B1000">
        <v>100.52</v>
      </c>
    </row>
    <row r="1001" spans="1:2" x14ac:dyDescent="0.25">
      <c r="A1001" s="2">
        <v>41316</v>
      </c>
      <c r="B1001">
        <v>100.34</v>
      </c>
    </row>
    <row r="1002" spans="1:2" x14ac:dyDescent="0.25">
      <c r="A1002" s="2">
        <v>41317</v>
      </c>
      <c r="B1002">
        <v>100.15</v>
      </c>
    </row>
    <row r="1003" spans="1:2" x14ac:dyDescent="0.25">
      <c r="A1003" s="2">
        <v>41318</v>
      </c>
      <c r="B1003">
        <v>99.94</v>
      </c>
    </row>
    <row r="1004" spans="1:2" x14ac:dyDescent="0.25">
      <c r="A1004" s="2">
        <v>41319</v>
      </c>
      <c r="B1004">
        <v>101.16</v>
      </c>
    </row>
    <row r="1005" spans="1:2" x14ac:dyDescent="0.25">
      <c r="A1005" s="2">
        <v>41320</v>
      </c>
      <c r="B1005">
        <v>101.08</v>
      </c>
    </row>
    <row r="1006" spans="1:2" x14ac:dyDescent="0.25">
      <c r="A1006" s="2">
        <v>41321</v>
      </c>
      <c r="B1006">
        <v>101.08</v>
      </c>
    </row>
    <row r="1007" spans="1:2" x14ac:dyDescent="0.25">
      <c r="A1007" s="2">
        <v>41322</v>
      </c>
      <c r="B1007">
        <v>101.08</v>
      </c>
    </row>
    <row r="1008" spans="1:2" x14ac:dyDescent="0.25">
      <c r="A1008" s="2">
        <v>41323</v>
      </c>
      <c r="B1008">
        <v>100.88</v>
      </c>
    </row>
    <row r="1009" spans="1:2" x14ac:dyDescent="0.25">
      <c r="A1009" s="2">
        <v>41324</v>
      </c>
      <c r="B1009">
        <v>101.65</v>
      </c>
    </row>
    <row r="1010" spans="1:2" x14ac:dyDescent="0.25">
      <c r="A1010" s="2">
        <v>41325</v>
      </c>
      <c r="B1010">
        <v>100.23</v>
      </c>
    </row>
    <row r="1011" spans="1:2" x14ac:dyDescent="0.25">
      <c r="A1011" s="2">
        <v>41326</v>
      </c>
      <c r="B1011">
        <v>101.02</v>
      </c>
    </row>
    <row r="1012" spans="1:2" x14ac:dyDescent="0.25">
      <c r="A1012" s="2">
        <v>41327</v>
      </c>
      <c r="B1012">
        <v>101.91</v>
      </c>
    </row>
    <row r="1013" spans="1:2" x14ac:dyDescent="0.25">
      <c r="A1013" s="2">
        <v>41328</v>
      </c>
      <c r="B1013">
        <v>101.91</v>
      </c>
    </row>
    <row r="1014" spans="1:2" x14ac:dyDescent="0.25">
      <c r="A1014" s="2">
        <v>41329</v>
      </c>
      <c r="B1014">
        <v>101.91</v>
      </c>
    </row>
    <row r="1015" spans="1:2" x14ac:dyDescent="0.25">
      <c r="A1015" s="2">
        <v>41330</v>
      </c>
      <c r="B1015">
        <v>99.16</v>
      </c>
    </row>
    <row r="1016" spans="1:2" x14ac:dyDescent="0.25">
      <c r="A1016" s="2">
        <v>41331</v>
      </c>
      <c r="B1016">
        <v>101.51</v>
      </c>
    </row>
    <row r="1017" spans="1:2" x14ac:dyDescent="0.25">
      <c r="A1017" s="2">
        <v>41332</v>
      </c>
      <c r="B1017">
        <v>102.66</v>
      </c>
    </row>
    <row r="1018" spans="1:2" x14ac:dyDescent="0.25">
      <c r="A1018" s="2">
        <v>41333</v>
      </c>
      <c r="B1018">
        <v>102.32</v>
      </c>
    </row>
    <row r="1019" spans="1:2" x14ac:dyDescent="0.25">
      <c r="A1019" s="2">
        <v>41334</v>
      </c>
      <c r="B1019">
        <v>103.58</v>
      </c>
    </row>
    <row r="1020" spans="1:2" x14ac:dyDescent="0.25">
      <c r="A1020" s="2">
        <v>41335</v>
      </c>
      <c r="B1020">
        <v>103.58</v>
      </c>
    </row>
    <row r="1021" spans="1:2" x14ac:dyDescent="0.25">
      <c r="A1021" s="2">
        <v>41336</v>
      </c>
      <c r="B1021">
        <v>103.58</v>
      </c>
    </row>
    <row r="1022" spans="1:2" x14ac:dyDescent="0.25">
      <c r="A1022" s="2">
        <v>41337</v>
      </c>
      <c r="B1022">
        <v>104.01</v>
      </c>
    </row>
    <row r="1023" spans="1:2" x14ac:dyDescent="0.25">
      <c r="A1023" s="2">
        <v>41338</v>
      </c>
      <c r="B1023">
        <v>104.78</v>
      </c>
    </row>
    <row r="1024" spans="1:2" x14ac:dyDescent="0.25">
      <c r="A1024" s="2">
        <v>41339</v>
      </c>
      <c r="B1024">
        <v>104.91</v>
      </c>
    </row>
    <row r="1025" spans="1:2" x14ac:dyDescent="0.25">
      <c r="A1025" s="2">
        <v>41340</v>
      </c>
      <c r="B1025">
        <v>105.31</v>
      </c>
    </row>
    <row r="1026" spans="1:2" x14ac:dyDescent="0.25">
      <c r="A1026" s="2">
        <v>41341</v>
      </c>
      <c r="B1026">
        <v>105.14</v>
      </c>
    </row>
    <row r="1027" spans="1:2" x14ac:dyDescent="0.25">
      <c r="A1027" s="2">
        <v>41342</v>
      </c>
      <c r="B1027">
        <v>105.14</v>
      </c>
    </row>
    <row r="1028" spans="1:2" x14ac:dyDescent="0.25">
      <c r="A1028" s="2">
        <v>41343</v>
      </c>
      <c r="B1028">
        <v>105.14</v>
      </c>
    </row>
    <row r="1029" spans="1:2" x14ac:dyDescent="0.25">
      <c r="A1029" s="2">
        <v>41344</v>
      </c>
      <c r="B1029">
        <v>106.27</v>
      </c>
    </row>
    <row r="1030" spans="1:2" x14ac:dyDescent="0.25">
      <c r="A1030" s="2">
        <v>41345</v>
      </c>
      <c r="B1030">
        <v>105.55</v>
      </c>
    </row>
    <row r="1031" spans="1:2" x14ac:dyDescent="0.25">
      <c r="A1031" s="2">
        <v>41346</v>
      </c>
      <c r="B1031">
        <v>106.3</v>
      </c>
    </row>
    <row r="1032" spans="1:2" x14ac:dyDescent="0.25">
      <c r="A1032" s="2">
        <v>41347</v>
      </c>
      <c r="B1032">
        <v>107.26</v>
      </c>
    </row>
    <row r="1033" spans="1:2" x14ac:dyDescent="0.25">
      <c r="A1033" s="2">
        <v>41348</v>
      </c>
      <c r="B1033">
        <v>105.86</v>
      </c>
    </row>
    <row r="1034" spans="1:2" x14ac:dyDescent="0.25">
      <c r="A1034" s="2">
        <v>41349</v>
      </c>
      <c r="B1034">
        <v>105.86</v>
      </c>
    </row>
    <row r="1035" spans="1:2" x14ac:dyDescent="0.25">
      <c r="A1035" s="2">
        <v>41350</v>
      </c>
      <c r="B1035">
        <v>105.86</v>
      </c>
    </row>
    <row r="1036" spans="1:2" x14ac:dyDescent="0.25">
      <c r="A1036" s="2">
        <v>41351</v>
      </c>
      <c r="B1036">
        <v>106.56</v>
      </c>
    </row>
    <row r="1037" spans="1:2" x14ac:dyDescent="0.25">
      <c r="A1037" s="2">
        <v>41352</v>
      </c>
      <c r="B1037">
        <v>106.18</v>
      </c>
    </row>
    <row r="1038" spans="1:2" x14ac:dyDescent="0.25">
      <c r="A1038" s="2">
        <v>41353</v>
      </c>
      <c r="B1038">
        <v>106.88</v>
      </c>
    </row>
    <row r="1039" spans="1:2" x14ac:dyDescent="0.25">
      <c r="A1039" s="2">
        <v>41354</v>
      </c>
      <c r="B1039">
        <v>106.28</v>
      </c>
    </row>
    <row r="1040" spans="1:2" x14ac:dyDescent="0.25">
      <c r="A1040" s="2">
        <v>41355</v>
      </c>
      <c r="B1040">
        <v>106.73</v>
      </c>
    </row>
    <row r="1041" spans="1:2" x14ac:dyDescent="0.25">
      <c r="A1041" s="2">
        <v>41356</v>
      </c>
      <c r="B1041">
        <v>106.73</v>
      </c>
    </row>
    <row r="1042" spans="1:2" x14ac:dyDescent="0.25">
      <c r="A1042" s="2">
        <v>41357</v>
      </c>
      <c r="B1042">
        <v>106.73</v>
      </c>
    </row>
    <row r="1043" spans="1:2" x14ac:dyDescent="0.25">
      <c r="A1043" s="2">
        <v>41358</v>
      </c>
      <c r="B1043">
        <v>106.48</v>
      </c>
    </row>
    <row r="1044" spans="1:2" x14ac:dyDescent="0.25">
      <c r="A1044" s="2">
        <v>41359</v>
      </c>
      <c r="B1044">
        <v>107.95</v>
      </c>
    </row>
    <row r="1045" spans="1:2" x14ac:dyDescent="0.25">
      <c r="A1045" s="2">
        <v>41360</v>
      </c>
      <c r="B1045">
        <v>108.69</v>
      </c>
    </row>
    <row r="1046" spans="1:2" x14ac:dyDescent="0.25">
      <c r="A1046" s="2">
        <v>41361</v>
      </c>
      <c r="B1046">
        <v>108.81</v>
      </c>
    </row>
    <row r="1047" spans="1:2" x14ac:dyDescent="0.25">
      <c r="A1047" s="2">
        <v>41362</v>
      </c>
      <c r="B1047">
        <v>108.74</v>
      </c>
    </row>
    <row r="1048" spans="1:2" x14ac:dyDescent="0.25">
      <c r="A1048" s="2">
        <v>41363</v>
      </c>
      <c r="B1048">
        <v>108.74</v>
      </c>
    </row>
    <row r="1049" spans="1:2" x14ac:dyDescent="0.25">
      <c r="A1049" s="2">
        <v>41364</v>
      </c>
      <c r="B1049">
        <v>108.74</v>
      </c>
    </row>
    <row r="1050" spans="1:2" x14ac:dyDescent="0.25">
      <c r="A1050" s="2">
        <v>41365</v>
      </c>
      <c r="B1050">
        <v>108.74</v>
      </c>
    </row>
    <row r="1051" spans="1:2" x14ac:dyDescent="0.25">
      <c r="A1051" s="2">
        <v>41366</v>
      </c>
      <c r="B1051">
        <v>108.59</v>
      </c>
    </row>
    <row r="1052" spans="1:2" x14ac:dyDescent="0.25">
      <c r="A1052" s="2">
        <v>41367</v>
      </c>
      <c r="B1052">
        <v>107.56</v>
      </c>
    </row>
    <row r="1053" spans="1:2" x14ac:dyDescent="0.25">
      <c r="A1053" s="2">
        <v>41368</v>
      </c>
      <c r="B1053">
        <v>108.08</v>
      </c>
    </row>
    <row r="1054" spans="1:2" x14ac:dyDescent="0.25">
      <c r="A1054" s="2">
        <v>41369</v>
      </c>
      <c r="B1054">
        <v>106.57</v>
      </c>
    </row>
    <row r="1055" spans="1:2" x14ac:dyDescent="0.25">
      <c r="A1055" s="2">
        <v>41370</v>
      </c>
      <c r="B1055">
        <v>106.57</v>
      </c>
    </row>
    <row r="1056" spans="1:2" x14ac:dyDescent="0.25">
      <c r="A1056" s="2">
        <v>41371</v>
      </c>
      <c r="B1056">
        <v>106.57</v>
      </c>
    </row>
    <row r="1057" spans="1:2" x14ac:dyDescent="0.25">
      <c r="A1057" s="2">
        <v>41372</v>
      </c>
      <c r="B1057">
        <v>106.62</v>
      </c>
    </row>
    <row r="1058" spans="1:2" x14ac:dyDescent="0.25">
      <c r="A1058" s="2">
        <v>41373</v>
      </c>
      <c r="B1058">
        <v>106.86</v>
      </c>
    </row>
    <row r="1059" spans="1:2" x14ac:dyDescent="0.25">
      <c r="A1059" s="2">
        <v>41374</v>
      </c>
      <c r="B1059">
        <v>107.79</v>
      </c>
    </row>
    <row r="1060" spans="1:2" x14ac:dyDescent="0.25">
      <c r="A1060" s="2">
        <v>41375</v>
      </c>
      <c r="B1060">
        <v>107.9</v>
      </c>
    </row>
    <row r="1061" spans="1:2" x14ac:dyDescent="0.25">
      <c r="A1061" s="2">
        <v>41376</v>
      </c>
      <c r="B1061">
        <v>108.15</v>
      </c>
    </row>
    <row r="1062" spans="1:2" x14ac:dyDescent="0.25">
      <c r="A1062" s="2">
        <v>41377</v>
      </c>
      <c r="B1062">
        <v>108.15</v>
      </c>
    </row>
    <row r="1063" spans="1:2" x14ac:dyDescent="0.25">
      <c r="A1063" s="2">
        <v>41378</v>
      </c>
      <c r="B1063">
        <v>108.15</v>
      </c>
    </row>
    <row r="1064" spans="1:2" x14ac:dyDescent="0.25">
      <c r="A1064" s="2">
        <v>41379</v>
      </c>
      <c r="B1064">
        <v>105.44</v>
      </c>
    </row>
    <row r="1065" spans="1:2" x14ac:dyDescent="0.25">
      <c r="A1065" s="2">
        <v>41380</v>
      </c>
      <c r="B1065">
        <v>106.55</v>
      </c>
    </row>
    <row r="1066" spans="1:2" x14ac:dyDescent="0.25">
      <c r="A1066" s="2">
        <v>41381</v>
      </c>
      <c r="B1066">
        <v>105.03</v>
      </c>
    </row>
    <row r="1067" spans="1:2" x14ac:dyDescent="0.25">
      <c r="A1067" s="2">
        <v>41382</v>
      </c>
      <c r="B1067">
        <v>105</v>
      </c>
    </row>
    <row r="1068" spans="1:2" x14ac:dyDescent="0.25">
      <c r="A1068" s="2">
        <v>41383</v>
      </c>
      <c r="B1068">
        <v>105.36</v>
      </c>
    </row>
    <row r="1069" spans="1:2" x14ac:dyDescent="0.25">
      <c r="A1069" s="2">
        <v>41384</v>
      </c>
      <c r="B1069">
        <v>105.36</v>
      </c>
    </row>
    <row r="1070" spans="1:2" x14ac:dyDescent="0.25">
      <c r="A1070" s="2">
        <v>41385</v>
      </c>
      <c r="B1070">
        <v>105.36</v>
      </c>
    </row>
    <row r="1071" spans="1:2" x14ac:dyDescent="0.25">
      <c r="A1071" s="2">
        <v>41386</v>
      </c>
      <c r="B1071">
        <v>106.49</v>
      </c>
    </row>
    <row r="1072" spans="1:2" x14ac:dyDescent="0.25">
      <c r="A1072" s="2">
        <v>41387</v>
      </c>
      <c r="B1072">
        <v>107.98</v>
      </c>
    </row>
    <row r="1073" spans="1:2" x14ac:dyDescent="0.25">
      <c r="A1073" s="2">
        <v>41388</v>
      </c>
      <c r="B1073">
        <v>107.87</v>
      </c>
    </row>
    <row r="1074" spans="1:2" x14ac:dyDescent="0.25">
      <c r="A1074" s="2">
        <v>41389</v>
      </c>
      <c r="B1074">
        <v>107.69</v>
      </c>
    </row>
    <row r="1075" spans="1:2" x14ac:dyDescent="0.25">
      <c r="A1075" s="2">
        <v>41390</v>
      </c>
      <c r="B1075">
        <v>108.16</v>
      </c>
    </row>
    <row r="1076" spans="1:2" x14ac:dyDescent="0.25">
      <c r="A1076" s="2">
        <v>41391</v>
      </c>
      <c r="B1076">
        <v>108.16</v>
      </c>
    </row>
    <row r="1077" spans="1:2" x14ac:dyDescent="0.25">
      <c r="A1077" s="2">
        <v>41392</v>
      </c>
      <c r="B1077">
        <v>108.16</v>
      </c>
    </row>
    <row r="1078" spans="1:2" x14ac:dyDescent="0.25">
      <c r="A1078" s="2">
        <v>41393</v>
      </c>
      <c r="B1078">
        <v>107.99</v>
      </c>
    </row>
    <row r="1079" spans="1:2" x14ac:dyDescent="0.25">
      <c r="A1079" s="2">
        <v>41394</v>
      </c>
      <c r="B1079">
        <v>108.61</v>
      </c>
    </row>
    <row r="1080" spans="1:2" x14ac:dyDescent="0.25">
      <c r="A1080" s="2">
        <v>41395</v>
      </c>
      <c r="B1080">
        <v>107.58</v>
      </c>
    </row>
    <row r="1081" spans="1:2" x14ac:dyDescent="0.25">
      <c r="A1081" s="2">
        <v>41396</v>
      </c>
      <c r="B1081">
        <v>107.63</v>
      </c>
    </row>
    <row r="1082" spans="1:2" x14ac:dyDescent="0.25">
      <c r="A1082" s="2">
        <v>41397</v>
      </c>
      <c r="B1082">
        <v>109.42</v>
      </c>
    </row>
    <row r="1083" spans="1:2" x14ac:dyDescent="0.25">
      <c r="A1083" s="2">
        <v>41398</v>
      </c>
      <c r="B1083">
        <v>109.42</v>
      </c>
    </row>
    <row r="1084" spans="1:2" x14ac:dyDescent="0.25">
      <c r="A1084" s="2">
        <v>41399</v>
      </c>
      <c r="B1084">
        <v>109.42</v>
      </c>
    </row>
    <row r="1085" spans="1:2" x14ac:dyDescent="0.25">
      <c r="A1085" s="2">
        <v>41400</v>
      </c>
      <c r="B1085">
        <v>109.68</v>
      </c>
    </row>
    <row r="1086" spans="1:2" x14ac:dyDescent="0.25">
      <c r="A1086" s="2">
        <v>41401</v>
      </c>
      <c r="B1086">
        <v>110.26</v>
      </c>
    </row>
    <row r="1087" spans="1:2" x14ac:dyDescent="0.25">
      <c r="A1087" s="2">
        <v>41402</v>
      </c>
      <c r="B1087">
        <v>110.52</v>
      </c>
    </row>
    <row r="1088" spans="1:2" x14ac:dyDescent="0.25">
      <c r="A1088" s="2">
        <v>41403</v>
      </c>
      <c r="B1088">
        <v>110.1</v>
      </c>
    </row>
    <row r="1089" spans="1:2" x14ac:dyDescent="0.25">
      <c r="A1089" s="2">
        <v>41404</v>
      </c>
      <c r="B1089">
        <v>111.88</v>
      </c>
    </row>
    <row r="1090" spans="1:2" x14ac:dyDescent="0.25">
      <c r="A1090" s="2">
        <v>41405</v>
      </c>
      <c r="B1090">
        <v>111.88</v>
      </c>
    </row>
    <row r="1091" spans="1:2" x14ac:dyDescent="0.25">
      <c r="A1091" s="2">
        <v>41406</v>
      </c>
      <c r="B1091">
        <v>111.88</v>
      </c>
    </row>
    <row r="1092" spans="1:2" x14ac:dyDescent="0.25">
      <c r="A1092" s="2">
        <v>41407</v>
      </c>
      <c r="B1092">
        <v>112.02</v>
      </c>
    </row>
    <row r="1093" spans="1:2" x14ac:dyDescent="0.25">
      <c r="A1093" s="2">
        <v>41408</v>
      </c>
      <c r="B1093">
        <v>113.15</v>
      </c>
    </row>
    <row r="1094" spans="1:2" x14ac:dyDescent="0.25">
      <c r="A1094" s="2">
        <v>41409</v>
      </c>
      <c r="B1094">
        <v>114.75</v>
      </c>
    </row>
    <row r="1095" spans="1:2" x14ac:dyDescent="0.25">
      <c r="A1095" s="2">
        <v>41410</v>
      </c>
      <c r="B1095">
        <v>113.95</v>
      </c>
    </row>
    <row r="1096" spans="1:2" x14ac:dyDescent="0.25">
      <c r="A1096" s="2">
        <v>41411</v>
      </c>
      <c r="B1096">
        <v>115.32</v>
      </c>
    </row>
    <row r="1097" spans="1:2" x14ac:dyDescent="0.25">
      <c r="A1097" s="2">
        <v>41412</v>
      </c>
      <c r="B1097">
        <v>115.32</v>
      </c>
    </row>
    <row r="1098" spans="1:2" x14ac:dyDescent="0.25">
      <c r="A1098" s="2">
        <v>41413</v>
      </c>
      <c r="B1098">
        <v>115.32</v>
      </c>
    </row>
    <row r="1099" spans="1:2" x14ac:dyDescent="0.25">
      <c r="A1099" s="2">
        <v>41414</v>
      </c>
      <c r="B1099">
        <v>115.37</v>
      </c>
    </row>
    <row r="1100" spans="1:2" x14ac:dyDescent="0.25">
      <c r="A1100" s="2">
        <v>41415</v>
      </c>
      <c r="B1100">
        <v>115.46</v>
      </c>
    </row>
    <row r="1101" spans="1:2" x14ac:dyDescent="0.25">
      <c r="A1101" s="2">
        <v>41416</v>
      </c>
      <c r="B1101">
        <v>114.01</v>
      </c>
    </row>
    <row r="1102" spans="1:2" x14ac:dyDescent="0.25">
      <c r="A1102" s="2">
        <v>41417</v>
      </c>
      <c r="B1102">
        <v>114</v>
      </c>
    </row>
    <row r="1103" spans="1:2" x14ac:dyDescent="0.25">
      <c r="A1103" s="2">
        <v>41418</v>
      </c>
      <c r="B1103">
        <v>113.49</v>
      </c>
    </row>
    <row r="1104" spans="1:2" x14ac:dyDescent="0.25">
      <c r="A1104" s="2">
        <v>41419</v>
      </c>
      <c r="B1104">
        <v>113.49</v>
      </c>
    </row>
    <row r="1105" spans="1:2" x14ac:dyDescent="0.25">
      <c r="A1105" s="2">
        <v>41420</v>
      </c>
      <c r="B1105">
        <v>113.49</v>
      </c>
    </row>
    <row r="1106" spans="1:2" x14ac:dyDescent="0.25">
      <c r="A1106" s="2">
        <v>41421</v>
      </c>
      <c r="B1106">
        <v>113.49</v>
      </c>
    </row>
    <row r="1107" spans="1:2" x14ac:dyDescent="0.25">
      <c r="A1107" s="2">
        <v>41422</v>
      </c>
      <c r="B1107">
        <v>114.21</v>
      </c>
    </row>
    <row r="1108" spans="1:2" x14ac:dyDescent="0.25">
      <c r="A1108" s="2">
        <v>41423</v>
      </c>
      <c r="B1108">
        <v>113.3</v>
      </c>
    </row>
    <row r="1109" spans="1:2" x14ac:dyDescent="0.25">
      <c r="A1109" s="2">
        <v>41424</v>
      </c>
      <c r="B1109">
        <v>113.81</v>
      </c>
    </row>
    <row r="1110" spans="1:2" x14ac:dyDescent="0.25">
      <c r="A1110" s="2">
        <v>41425</v>
      </c>
      <c r="B1110">
        <v>111.65</v>
      </c>
    </row>
    <row r="1111" spans="1:2" x14ac:dyDescent="0.25">
      <c r="A1111" s="2">
        <v>41426</v>
      </c>
      <c r="B1111">
        <v>111.65</v>
      </c>
    </row>
    <row r="1112" spans="1:2" x14ac:dyDescent="0.25">
      <c r="A1112" s="2">
        <v>41427</v>
      </c>
      <c r="B1112">
        <v>111.65</v>
      </c>
    </row>
    <row r="1113" spans="1:2" x14ac:dyDescent="0.25">
      <c r="A1113" s="2">
        <v>41428</v>
      </c>
      <c r="B1113">
        <v>112.3</v>
      </c>
    </row>
    <row r="1114" spans="1:2" x14ac:dyDescent="0.25">
      <c r="A1114" s="2">
        <v>41429</v>
      </c>
      <c r="B1114">
        <v>110.97</v>
      </c>
    </row>
    <row r="1115" spans="1:2" x14ac:dyDescent="0.25">
      <c r="A1115" s="2">
        <v>41430</v>
      </c>
      <c r="B1115">
        <v>109.67</v>
      </c>
    </row>
    <row r="1116" spans="1:2" x14ac:dyDescent="0.25">
      <c r="A1116" s="2">
        <v>41431</v>
      </c>
      <c r="B1116">
        <v>110.18</v>
      </c>
    </row>
    <row r="1117" spans="1:2" x14ac:dyDescent="0.25">
      <c r="A1117" s="2">
        <v>41432</v>
      </c>
      <c r="B1117">
        <v>110.4</v>
      </c>
    </row>
    <row r="1118" spans="1:2" x14ac:dyDescent="0.25">
      <c r="A1118" s="2">
        <v>41433</v>
      </c>
      <c r="B1118">
        <v>110.4</v>
      </c>
    </row>
    <row r="1119" spans="1:2" x14ac:dyDescent="0.25">
      <c r="A1119" s="2">
        <v>41434</v>
      </c>
      <c r="B1119">
        <v>110.4</v>
      </c>
    </row>
    <row r="1120" spans="1:2" x14ac:dyDescent="0.25">
      <c r="A1120" s="2">
        <v>41435</v>
      </c>
      <c r="B1120">
        <v>110.8</v>
      </c>
    </row>
    <row r="1121" spans="1:2" x14ac:dyDescent="0.25">
      <c r="A1121" s="2">
        <v>41436</v>
      </c>
      <c r="B1121">
        <v>109.14</v>
      </c>
    </row>
    <row r="1122" spans="1:2" x14ac:dyDescent="0.25">
      <c r="A1122" s="2">
        <v>41437</v>
      </c>
      <c r="B1122">
        <v>108.21</v>
      </c>
    </row>
    <row r="1123" spans="1:2" x14ac:dyDescent="0.25">
      <c r="A1123" s="2">
        <v>41438</v>
      </c>
      <c r="B1123">
        <v>109.52</v>
      </c>
    </row>
    <row r="1124" spans="1:2" x14ac:dyDescent="0.25">
      <c r="A1124" s="2">
        <v>41439</v>
      </c>
      <c r="B1124">
        <v>108.97</v>
      </c>
    </row>
    <row r="1125" spans="1:2" x14ac:dyDescent="0.25">
      <c r="A1125" s="2">
        <v>41440</v>
      </c>
      <c r="B1125">
        <v>108.97</v>
      </c>
    </row>
    <row r="1126" spans="1:2" x14ac:dyDescent="0.25">
      <c r="A1126" s="2">
        <v>41441</v>
      </c>
      <c r="B1126">
        <v>108.97</v>
      </c>
    </row>
    <row r="1127" spans="1:2" x14ac:dyDescent="0.25">
      <c r="A1127" s="2">
        <v>41442</v>
      </c>
      <c r="B1127">
        <v>109.51</v>
      </c>
    </row>
    <row r="1128" spans="1:2" x14ac:dyDescent="0.25">
      <c r="A1128" s="2">
        <v>41443</v>
      </c>
      <c r="B1128">
        <v>110.06</v>
      </c>
    </row>
    <row r="1129" spans="1:2" x14ac:dyDescent="0.25">
      <c r="A1129" s="2">
        <v>41444</v>
      </c>
      <c r="B1129">
        <v>108.28</v>
      </c>
    </row>
    <row r="1130" spans="1:2" x14ac:dyDescent="0.25">
      <c r="A1130" s="2">
        <v>41445</v>
      </c>
      <c r="B1130">
        <v>107.23</v>
      </c>
    </row>
    <row r="1131" spans="1:2" x14ac:dyDescent="0.25">
      <c r="A1131" s="2">
        <v>41446</v>
      </c>
      <c r="B1131">
        <v>107.68</v>
      </c>
    </row>
    <row r="1132" spans="1:2" x14ac:dyDescent="0.25">
      <c r="A1132" s="2">
        <v>41447</v>
      </c>
      <c r="B1132">
        <v>107.68</v>
      </c>
    </row>
    <row r="1133" spans="1:2" x14ac:dyDescent="0.25">
      <c r="A1133" s="2">
        <v>41448</v>
      </c>
      <c r="B1133">
        <v>107.68</v>
      </c>
    </row>
    <row r="1134" spans="1:2" x14ac:dyDescent="0.25">
      <c r="A1134" s="2">
        <v>41449</v>
      </c>
      <c r="B1134">
        <v>107.14</v>
      </c>
    </row>
    <row r="1135" spans="1:2" x14ac:dyDescent="0.25">
      <c r="A1135" s="2">
        <v>41450</v>
      </c>
      <c r="B1135">
        <v>107.77</v>
      </c>
    </row>
    <row r="1136" spans="1:2" x14ac:dyDescent="0.25">
      <c r="A1136" s="2">
        <v>41451</v>
      </c>
      <c r="B1136">
        <v>109.74</v>
      </c>
    </row>
    <row r="1137" spans="1:2" x14ac:dyDescent="0.25">
      <c r="A1137" s="2">
        <v>41452</v>
      </c>
      <c r="B1137">
        <v>110.36</v>
      </c>
    </row>
    <row r="1138" spans="1:2" x14ac:dyDescent="0.25">
      <c r="A1138" s="2">
        <v>41453</v>
      </c>
      <c r="B1138">
        <v>109.48</v>
      </c>
    </row>
    <row r="1139" spans="1:2" x14ac:dyDescent="0.25">
      <c r="A1139" s="2">
        <v>41454</v>
      </c>
      <c r="B1139">
        <v>109.48</v>
      </c>
    </row>
    <row r="1140" spans="1:2" x14ac:dyDescent="0.25">
      <c r="A1140" s="2">
        <v>41455</v>
      </c>
      <c r="B1140">
        <v>109.48</v>
      </c>
    </row>
    <row r="1141" spans="1:2" x14ac:dyDescent="0.25">
      <c r="A1141" s="2">
        <v>41456</v>
      </c>
      <c r="B1141">
        <v>110.44</v>
      </c>
    </row>
    <row r="1142" spans="1:2" x14ac:dyDescent="0.25">
      <c r="A1142" s="2">
        <v>41457</v>
      </c>
      <c r="B1142">
        <v>110.57</v>
      </c>
    </row>
    <row r="1143" spans="1:2" x14ac:dyDescent="0.25">
      <c r="A1143" s="2">
        <v>41458</v>
      </c>
      <c r="B1143">
        <v>111.16</v>
      </c>
    </row>
    <row r="1144" spans="1:2" x14ac:dyDescent="0.25">
      <c r="A1144" s="2">
        <v>41459</v>
      </c>
      <c r="B1144">
        <v>110.94</v>
      </c>
    </row>
    <row r="1145" spans="1:2" x14ac:dyDescent="0.25">
      <c r="A1145" s="2">
        <v>41460</v>
      </c>
      <c r="B1145">
        <v>112.96</v>
      </c>
    </row>
    <row r="1146" spans="1:2" x14ac:dyDescent="0.25">
      <c r="A1146" s="2">
        <v>41461</v>
      </c>
      <c r="B1146">
        <v>112.96</v>
      </c>
    </row>
    <row r="1147" spans="1:2" x14ac:dyDescent="0.25">
      <c r="A1147" s="2">
        <v>41462</v>
      </c>
      <c r="B1147">
        <v>112.96</v>
      </c>
    </row>
    <row r="1148" spans="1:2" x14ac:dyDescent="0.25">
      <c r="A1148" s="2">
        <v>41463</v>
      </c>
      <c r="B1148">
        <v>113.87</v>
      </c>
    </row>
    <row r="1149" spans="1:2" x14ac:dyDescent="0.25">
      <c r="A1149" s="2">
        <v>41464</v>
      </c>
      <c r="B1149">
        <v>114.62</v>
      </c>
    </row>
    <row r="1150" spans="1:2" x14ac:dyDescent="0.25">
      <c r="A1150" s="2">
        <v>41465</v>
      </c>
      <c r="B1150">
        <v>115.05</v>
      </c>
    </row>
    <row r="1151" spans="1:2" x14ac:dyDescent="0.25">
      <c r="A1151" s="2">
        <v>41466</v>
      </c>
      <c r="B1151">
        <v>114.55</v>
      </c>
    </row>
    <row r="1152" spans="1:2" x14ac:dyDescent="0.25">
      <c r="A1152" s="2">
        <v>41467</v>
      </c>
      <c r="B1152">
        <v>114.99</v>
      </c>
    </row>
    <row r="1153" spans="1:2" x14ac:dyDescent="0.25">
      <c r="A1153" s="2">
        <v>41468</v>
      </c>
      <c r="B1153">
        <v>114.99</v>
      </c>
    </row>
    <row r="1154" spans="1:2" x14ac:dyDescent="0.25">
      <c r="A1154" s="2">
        <v>41469</v>
      </c>
      <c r="B1154">
        <v>114.99</v>
      </c>
    </row>
    <row r="1155" spans="1:2" x14ac:dyDescent="0.25">
      <c r="A1155" s="2">
        <v>41470</v>
      </c>
      <c r="B1155">
        <v>115.34</v>
      </c>
    </row>
    <row r="1156" spans="1:2" x14ac:dyDescent="0.25">
      <c r="A1156" s="2">
        <v>41471</v>
      </c>
      <c r="B1156">
        <v>113.99</v>
      </c>
    </row>
    <row r="1157" spans="1:2" x14ac:dyDescent="0.25">
      <c r="A1157" s="2">
        <v>41472</v>
      </c>
      <c r="B1157">
        <v>114.15</v>
      </c>
    </row>
    <row r="1158" spans="1:2" x14ac:dyDescent="0.25">
      <c r="A1158" s="2">
        <v>41473</v>
      </c>
      <c r="B1158">
        <v>115.11</v>
      </c>
    </row>
    <row r="1159" spans="1:2" x14ac:dyDescent="0.25">
      <c r="A1159" s="2">
        <v>41474</v>
      </c>
      <c r="B1159">
        <v>115.04</v>
      </c>
    </row>
    <row r="1160" spans="1:2" x14ac:dyDescent="0.25">
      <c r="A1160" s="2">
        <v>41475</v>
      </c>
      <c r="B1160">
        <v>115.04</v>
      </c>
    </row>
    <row r="1161" spans="1:2" x14ac:dyDescent="0.25">
      <c r="A1161" s="2">
        <v>41476</v>
      </c>
      <c r="B1161">
        <v>115.04</v>
      </c>
    </row>
    <row r="1162" spans="1:2" x14ac:dyDescent="0.25">
      <c r="A1162" s="2">
        <v>41477</v>
      </c>
      <c r="B1162">
        <v>114.89</v>
      </c>
    </row>
    <row r="1163" spans="1:2" x14ac:dyDescent="0.25">
      <c r="A1163" s="2">
        <v>41478</v>
      </c>
      <c r="B1163">
        <v>114.56</v>
      </c>
    </row>
    <row r="1164" spans="1:2" x14ac:dyDescent="0.25">
      <c r="A1164" s="2">
        <v>41479</v>
      </c>
      <c r="B1164">
        <v>113.56</v>
      </c>
    </row>
    <row r="1165" spans="1:2" x14ac:dyDescent="0.25">
      <c r="A1165" s="2">
        <v>41480</v>
      </c>
      <c r="B1165">
        <v>114.23</v>
      </c>
    </row>
    <row r="1166" spans="1:2" x14ac:dyDescent="0.25">
      <c r="A1166" s="2">
        <v>41481</v>
      </c>
      <c r="B1166">
        <v>113.82</v>
      </c>
    </row>
    <row r="1167" spans="1:2" x14ac:dyDescent="0.25">
      <c r="A1167" s="2">
        <v>41482</v>
      </c>
      <c r="B1167">
        <v>113.82</v>
      </c>
    </row>
    <row r="1168" spans="1:2" x14ac:dyDescent="0.25">
      <c r="A1168" s="2">
        <v>41483</v>
      </c>
      <c r="B1168">
        <v>113.82</v>
      </c>
    </row>
    <row r="1169" spans="1:2" x14ac:dyDescent="0.25">
      <c r="A1169" s="2">
        <v>41484</v>
      </c>
      <c r="B1169">
        <v>113.32</v>
      </c>
    </row>
    <row r="1170" spans="1:2" x14ac:dyDescent="0.25">
      <c r="A1170" s="2">
        <v>41485</v>
      </c>
      <c r="B1170">
        <v>113.24</v>
      </c>
    </row>
    <row r="1171" spans="1:2" x14ac:dyDescent="0.25">
      <c r="A1171" s="2">
        <v>41486</v>
      </c>
      <c r="B1171">
        <v>113.32</v>
      </c>
    </row>
    <row r="1172" spans="1:2" x14ac:dyDescent="0.25">
      <c r="A1172" s="2">
        <v>41487</v>
      </c>
      <c r="B1172">
        <v>115.08</v>
      </c>
    </row>
    <row r="1173" spans="1:2" x14ac:dyDescent="0.25">
      <c r="A1173" s="2">
        <v>41488</v>
      </c>
      <c r="B1173">
        <v>115.56</v>
      </c>
    </row>
    <row r="1174" spans="1:2" x14ac:dyDescent="0.25">
      <c r="A1174" s="2">
        <v>41489</v>
      </c>
      <c r="B1174">
        <v>115.56</v>
      </c>
    </row>
    <row r="1175" spans="1:2" x14ac:dyDescent="0.25">
      <c r="A1175" s="2">
        <v>41490</v>
      </c>
      <c r="B1175">
        <v>115.56</v>
      </c>
    </row>
    <row r="1176" spans="1:2" x14ac:dyDescent="0.25">
      <c r="A1176" s="2">
        <v>41491</v>
      </c>
      <c r="B1176">
        <v>114.93</v>
      </c>
    </row>
    <row r="1177" spans="1:2" x14ac:dyDescent="0.25">
      <c r="A1177" s="2">
        <v>41492</v>
      </c>
      <c r="B1177">
        <v>114.07</v>
      </c>
    </row>
    <row r="1178" spans="1:2" x14ac:dyDescent="0.25">
      <c r="A1178" s="2">
        <v>41493</v>
      </c>
      <c r="B1178">
        <v>113.46</v>
      </c>
    </row>
    <row r="1179" spans="1:2" x14ac:dyDescent="0.25">
      <c r="A1179" s="2">
        <v>41494</v>
      </c>
      <c r="B1179">
        <v>113.45</v>
      </c>
    </row>
    <row r="1180" spans="1:2" x14ac:dyDescent="0.25">
      <c r="A1180" s="2">
        <v>41495</v>
      </c>
      <c r="B1180">
        <v>112.95</v>
      </c>
    </row>
    <row r="1181" spans="1:2" x14ac:dyDescent="0.25">
      <c r="A1181" s="2">
        <v>41496</v>
      </c>
      <c r="B1181">
        <v>112.95</v>
      </c>
    </row>
    <row r="1182" spans="1:2" x14ac:dyDescent="0.25">
      <c r="A1182" s="2">
        <v>41497</v>
      </c>
      <c r="B1182">
        <v>112.95</v>
      </c>
    </row>
    <row r="1183" spans="1:2" x14ac:dyDescent="0.25">
      <c r="A1183" s="2">
        <v>41498</v>
      </c>
      <c r="B1183">
        <v>113.61</v>
      </c>
    </row>
    <row r="1184" spans="1:2" x14ac:dyDescent="0.25">
      <c r="A1184" s="2">
        <v>41499</v>
      </c>
      <c r="B1184">
        <v>113.87</v>
      </c>
    </row>
    <row r="1185" spans="1:2" x14ac:dyDescent="0.25">
      <c r="A1185" s="2">
        <v>41500</v>
      </c>
      <c r="B1185">
        <v>113.7</v>
      </c>
    </row>
    <row r="1186" spans="1:2" x14ac:dyDescent="0.25">
      <c r="A1186" s="2">
        <v>41501</v>
      </c>
      <c r="B1186">
        <v>111.63</v>
      </c>
    </row>
    <row r="1187" spans="1:2" x14ac:dyDescent="0.25">
      <c r="A1187" s="2">
        <v>41502</v>
      </c>
      <c r="B1187">
        <v>110.91</v>
      </c>
    </row>
    <row r="1188" spans="1:2" x14ac:dyDescent="0.25">
      <c r="A1188" s="2">
        <v>41503</v>
      </c>
      <c r="B1188">
        <v>110.91</v>
      </c>
    </row>
    <row r="1189" spans="1:2" x14ac:dyDescent="0.25">
      <c r="A1189" s="2">
        <v>41504</v>
      </c>
      <c r="B1189">
        <v>110.91</v>
      </c>
    </row>
    <row r="1190" spans="1:2" x14ac:dyDescent="0.25">
      <c r="A1190" s="2">
        <v>41505</v>
      </c>
      <c r="B1190">
        <v>110.23</v>
      </c>
    </row>
    <row r="1191" spans="1:2" x14ac:dyDescent="0.25">
      <c r="A1191" s="2">
        <v>41506</v>
      </c>
      <c r="B1191">
        <v>110.26</v>
      </c>
    </row>
    <row r="1192" spans="1:2" x14ac:dyDescent="0.25">
      <c r="A1192" s="2">
        <v>41507</v>
      </c>
      <c r="B1192">
        <v>109.69</v>
      </c>
    </row>
    <row r="1193" spans="1:2" x14ac:dyDescent="0.25">
      <c r="A1193" s="2">
        <v>41508</v>
      </c>
      <c r="B1193">
        <v>111.14</v>
      </c>
    </row>
    <row r="1194" spans="1:2" x14ac:dyDescent="0.25">
      <c r="A1194" s="2">
        <v>41509</v>
      </c>
      <c r="B1194">
        <v>111.33</v>
      </c>
    </row>
    <row r="1195" spans="1:2" x14ac:dyDescent="0.25">
      <c r="A1195" s="2">
        <v>41510</v>
      </c>
      <c r="B1195">
        <v>111.33</v>
      </c>
    </row>
    <row r="1196" spans="1:2" x14ac:dyDescent="0.25">
      <c r="A1196" s="2">
        <v>41511</v>
      </c>
      <c r="B1196">
        <v>111.33</v>
      </c>
    </row>
    <row r="1197" spans="1:2" x14ac:dyDescent="0.25">
      <c r="A1197" s="2">
        <v>41512</v>
      </c>
      <c r="B1197">
        <v>110.83</v>
      </c>
    </row>
    <row r="1198" spans="1:2" x14ac:dyDescent="0.25">
      <c r="A1198" s="2">
        <v>41513</v>
      </c>
      <c r="B1198">
        <v>109.26</v>
      </c>
    </row>
    <row r="1199" spans="1:2" x14ac:dyDescent="0.25">
      <c r="A1199" s="2">
        <v>41514</v>
      </c>
      <c r="B1199">
        <v>109.5</v>
      </c>
    </row>
    <row r="1200" spans="1:2" x14ac:dyDescent="0.25">
      <c r="A1200" s="2">
        <v>41515</v>
      </c>
      <c r="B1200">
        <v>110.39</v>
      </c>
    </row>
    <row r="1201" spans="1:2" x14ac:dyDescent="0.25">
      <c r="A1201" s="2">
        <v>41516</v>
      </c>
      <c r="B1201">
        <v>110.31</v>
      </c>
    </row>
    <row r="1202" spans="1:2" x14ac:dyDescent="0.25">
      <c r="A1202" s="2">
        <v>41517</v>
      </c>
      <c r="B1202">
        <v>110.31</v>
      </c>
    </row>
    <row r="1203" spans="1:2" x14ac:dyDescent="0.25">
      <c r="A1203" s="2">
        <v>41518</v>
      </c>
      <c r="B1203">
        <v>110.31</v>
      </c>
    </row>
    <row r="1204" spans="1:2" x14ac:dyDescent="0.25">
      <c r="A1204" s="2">
        <v>41519</v>
      </c>
      <c r="B1204">
        <v>110.55</v>
      </c>
    </row>
    <row r="1205" spans="1:2" x14ac:dyDescent="0.25">
      <c r="A1205" s="2">
        <v>41520</v>
      </c>
      <c r="B1205">
        <v>111.3</v>
      </c>
    </row>
    <row r="1206" spans="1:2" x14ac:dyDescent="0.25">
      <c r="A1206" s="2">
        <v>41521</v>
      </c>
      <c r="B1206">
        <v>112.24</v>
      </c>
    </row>
    <row r="1207" spans="1:2" x14ac:dyDescent="0.25">
      <c r="A1207" s="2">
        <v>41522</v>
      </c>
      <c r="B1207">
        <v>112.11</v>
      </c>
    </row>
    <row r="1208" spans="1:2" x14ac:dyDescent="0.25">
      <c r="A1208" s="2">
        <v>41523</v>
      </c>
      <c r="B1208">
        <v>112.85</v>
      </c>
    </row>
    <row r="1209" spans="1:2" x14ac:dyDescent="0.25">
      <c r="A1209" s="2">
        <v>41524</v>
      </c>
      <c r="B1209">
        <v>112.85</v>
      </c>
    </row>
    <row r="1210" spans="1:2" x14ac:dyDescent="0.25">
      <c r="A1210" s="2">
        <v>41525</v>
      </c>
      <c r="B1210">
        <v>112.85</v>
      </c>
    </row>
    <row r="1211" spans="1:2" x14ac:dyDescent="0.25">
      <c r="A1211" s="2">
        <v>41526</v>
      </c>
      <c r="B1211">
        <v>113.32</v>
      </c>
    </row>
    <row r="1212" spans="1:2" x14ac:dyDescent="0.25">
      <c r="A1212" s="2">
        <v>41527</v>
      </c>
      <c r="B1212">
        <v>113.75</v>
      </c>
    </row>
    <row r="1213" spans="1:2" x14ac:dyDescent="0.25">
      <c r="A1213" s="2">
        <v>41528</v>
      </c>
      <c r="B1213">
        <v>113.88</v>
      </c>
    </row>
    <row r="1214" spans="1:2" x14ac:dyDescent="0.25">
      <c r="A1214" s="2">
        <v>41529</v>
      </c>
      <c r="B1214">
        <v>113.33</v>
      </c>
    </row>
    <row r="1215" spans="1:2" x14ac:dyDescent="0.25">
      <c r="A1215" s="2">
        <v>41530</v>
      </c>
      <c r="B1215">
        <v>113.59</v>
      </c>
    </row>
    <row r="1216" spans="1:2" x14ac:dyDescent="0.25">
      <c r="A1216" s="2">
        <v>41531</v>
      </c>
      <c r="B1216">
        <v>113.59</v>
      </c>
    </row>
    <row r="1217" spans="1:2" x14ac:dyDescent="0.25">
      <c r="A1217" s="2">
        <v>41532</v>
      </c>
      <c r="B1217">
        <v>113.59</v>
      </c>
    </row>
    <row r="1218" spans="1:2" x14ac:dyDescent="0.25">
      <c r="A1218" s="2">
        <v>41533</v>
      </c>
      <c r="B1218">
        <v>113.71</v>
      </c>
    </row>
    <row r="1219" spans="1:2" x14ac:dyDescent="0.25">
      <c r="A1219" s="2">
        <v>41534</v>
      </c>
      <c r="B1219">
        <v>114.2</v>
      </c>
    </row>
    <row r="1220" spans="1:2" x14ac:dyDescent="0.25">
      <c r="A1220" s="2">
        <v>41535</v>
      </c>
      <c r="B1220">
        <v>115.62</v>
      </c>
    </row>
    <row r="1221" spans="1:2" x14ac:dyDescent="0.25">
      <c r="A1221" s="2">
        <v>41536</v>
      </c>
      <c r="B1221">
        <v>113.78</v>
      </c>
    </row>
    <row r="1222" spans="1:2" x14ac:dyDescent="0.25">
      <c r="A1222" s="2">
        <v>41537</v>
      </c>
      <c r="B1222">
        <v>113.22</v>
      </c>
    </row>
    <row r="1223" spans="1:2" x14ac:dyDescent="0.25">
      <c r="A1223" s="2">
        <v>41538</v>
      </c>
      <c r="B1223">
        <v>113.22</v>
      </c>
    </row>
    <row r="1224" spans="1:2" x14ac:dyDescent="0.25">
      <c r="A1224" s="2">
        <v>41539</v>
      </c>
      <c r="B1224">
        <v>113.22</v>
      </c>
    </row>
    <row r="1225" spans="1:2" x14ac:dyDescent="0.25">
      <c r="A1225" s="2">
        <v>41540</v>
      </c>
      <c r="B1225">
        <v>112.73</v>
      </c>
    </row>
    <row r="1226" spans="1:2" x14ac:dyDescent="0.25">
      <c r="A1226" s="2">
        <v>41541</v>
      </c>
      <c r="B1226">
        <v>112.74</v>
      </c>
    </row>
    <row r="1227" spans="1:2" x14ac:dyDescent="0.25">
      <c r="A1227" s="2">
        <v>41542</v>
      </c>
      <c r="B1227">
        <v>112.17</v>
      </c>
    </row>
    <row r="1228" spans="1:2" x14ac:dyDescent="0.25">
      <c r="A1228" s="2">
        <v>41543</v>
      </c>
      <c r="B1228">
        <v>112.62</v>
      </c>
    </row>
    <row r="1229" spans="1:2" x14ac:dyDescent="0.25">
      <c r="A1229" s="2">
        <v>41544</v>
      </c>
      <c r="B1229">
        <v>111.86</v>
      </c>
    </row>
    <row r="1230" spans="1:2" x14ac:dyDescent="0.25">
      <c r="A1230" s="2">
        <v>41545</v>
      </c>
      <c r="B1230">
        <v>111.86</v>
      </c>
    </row>
    <row r="1231" spans="1:2" x14ac:dyDescent="0.25">
      <c r="A1231" s="2">
        <v>41546</v>
      </c>
      <c r="B1231">
        <v>111.86</v>
      </c>
    </row>
    <row r="1232" spans="1:2" x14ac:dyDescent="0.25">
      <c r="A1232" s="2">
        <v>41547</v>
      </c>
      <c r="B1232">
        <v>111.45</v>
      </c>
    </row>
    <row r="1233" spans="1:2" x14ac:dyDescent="0.25">
      <c r="A1233" s="2">
        <v>41548</v>
      </c>
      <c r="B1233">
        <v>111.94</v>
      </c>
    </row>
    <row r="1234" spans="1:2" x14ac:dyDescent="0.25">
      <c r="A1234" s="2">
        <v>41549</v>
      </c>
      <c r="B1234">
        <v>112.21</v>
      </c>
    </row>
    <row r="1235" spans="1:2" x14ac:dyDescent="0.25">
      <c r="A1235" s="2">
        <v>41550</v>
      </c>
      <c r="B1235">
        <v>110.56</v>
      </c>
    </row>
    <row r="1236" spans="1:2" x14ac:dyDescent="0.25">
      <c r="A1236" s="2">
        <v>41551</v>
      </c>
      <c r="B1236">
        <v>111.34</v>
      </c>
    </row>
    <row r="1237" spans="1:2" x14ac:dyDescent="0.25">
      <c r="A1237" s="2">
        <v>41552</v>
      </c>
      <c r="B1237">
        <v>111.34</v>
      </c>
    </row>
    <row r="1238" spans="1:2" x14ac:dyDescent="0.25">
      <c r="A1238" s="2">
        <v>41553</v>
      </c>
      <c r="B1238">
        <v>111.34</v>
      </c>
    </row>
    <row r="1239" spans="1:2" x14ac:dyDescent="0.25">
      <c r="A1239" s="2">
        <v>41554</v>
      </c>
      <c r="B1239">
        <v>110.57</v>
      </c>
    </row>
    <row r="1240" spans="1:2" x14ac:dyDescent="0.25">
      <c r="A1240" s="2">
        <v>41555</v>
      </c>
      <c r="B1240">
        <v>109.2</v>
      </c>
    </row>
    <row r="1241" spans="1:2" x14ac:dyDescent="0.25">
      <c r="A1241" s="2">
        <v>41556</v>
      </c>
      <c r="B1241">
        <v>109.77</v>
      </c>
    </row>
    <row r="1242" spans="1:2" x14ac:dyDescent="0.25">
      <c r="A1242" s="2">
        <v>41557</v>
      </c>
      <c r="B1242">
        <v>112.03</v>
      </c>
    </row>
    <row r="1243" spans="1:2" x14ac:dyDescent="0.25">
      <c r="A1243" s="2">
        <v>41558</v>
      </c>
      <c r="B1243">
        <v>112.46</v>
      </c>
    </row>
    <row r="1244" spans="1:2" x14ac:dyDescent="0.25">
      <c r="A1244" s="2">
        <v>41559</v>
      </c>
      <c r="B1244">
        <v>112.46</v>
      </c>
    </row>
    <row r="1245" spans="1:2" x14ac:dyDescent="0.25">
      <c r="A1245" s="2">
        <v>41560</v>
      </c>
      <c r="B1245">
        <v>112.46</v>
      </c>
    </row>
    <row r="1246" spans="1:2" x14ac:dyDescent="0.25">
      <c r="A1246" s="2">
        <v>41561</v>
      </c>
      <c r="B1246">
        <v>112.93</v>
      </c>
    </row>
    <row r="1247" spans="1:2" x14ac:dyDescent="0.25">
      <c r="A1247" s="2">
        <v>41562</v>
      </c>
      <c r="B1247">
        <v>112.73</v>
      </c>
    </row>
    <row r="1248" spans="1:2" x14ac:dyDescent="0.25">
      <c r="A1248" s="2">
        <v>41563</v>
      </c>
      <c r="B1248">
        <v>113.72</v>
      </c>
    </row>
    <row r="1249" spans="1:2" x14ac:dyDescent="0.25">
      <c r="A1249" s="2">
        <v>41564</v>
      </c>
      <c r="B1249">
        <v>113.64</v>
      </c>
    </row>
    <row r="1250" spans="1:2" x14ac:dyDescent="0.25">
      <c r="A1250" s="2">
        <v>41565</v>
      </c>
      <c r="B1250">
        <v>114.21</v>
      </c>
    </row>
    <row r="1251" spans="1:2" x14ac:dyDescent="0.25">
      <c r="A1251" s="2">
        <v>41566</v>
      </c>
      <c r="B1251">
        <v>114.21</v>
      </c>
    </row>
    <row r="1252" spans="1:2" x14ac:dyDescent="0.25">
      <c r="A1252" s="2">
        <v>41567</v>
      </c>
      <c r="B1252">
        <v>114.21</v>
      </c>
    </row>
    <row r="1253" spans="1:2" x14ac:dyDescent="0.25">
      <c r="A1253" s="2">
        <v>41568</v>
      </c>
      <c r="B1253">
        <v>114.36</v>
      </c>
    </row>
    <row r="1254" spans="1:2" x14ac:dyDescent="0.25">
      <c r="A1254" s="2">
        <v>41569</v>
      </c>
      <c r="B1254">
        <v>114.96</v>
      </c>
    </row>
    <row r="1255" spans="1:2" x14ac:dyDescent="0.25">
      <c r="A1255" s="2">
        <v>41570</v>
      </c>
      <c r="B1255">
        <v>113.77</v>
      </c>
    </row>
    <row r="1256" spans="1:2" x14ac:dyDescent="0.25">
      <c r="A1256" s="2">
        <v>41571</v>
      </c>
      <c r="B1256">
        <v>113.7</v>
      </c>
    </row>
    <row r="1257" spans="1:2" x14ac:dyDescent="0.25">
      <c r="A1257" s="2">
        <v>41572</v>
      </c>
      <c r="B1257">
        <v>114.42</v>
      </c>
    </row>
    <row r="1258" spans="1:2" x14ac:dyDescent="0.25">
      <c r="A1258" s="2">
        <v>41573</v>
      </c>
      <c r="B1258">
        <v>114.42</v>
      </c>
    </row>
    <row r="1259" spans="1:2" x14ac:dyDescent="0.25">
      <c r="A1259" s="2">
        <v>41574</v>
      </c>
      <c r="B1259">
        <v>114.42</v>
      </c>
    </row>
    <row r="1260" spans="1:2" x14ac:dyDescent="0.25">
      <c r="A1260" s="2">
        <v>41575</v>
      </c>
      <c r="B1260">
        <v>114.52</v>
      </c>
    </row>
    <row r="1261" spans="1:2" x14ac:dyDescent="0.25">
      <c r="A1261" s="2">
        <v>41576</v>
      </c>
      <c r="B1261">
        <v>115.3</v>
      </c>
    </row>
    <row r="1262" spans="1:2" x14ac:dyDescent="0.25">
      <c r="A1262" s="2">
        <v>41577</v>
      </c>
      <c r="B1262">
        <v>114.85</v>
      </c>
    </row>
    <row r="1263" spans="1:2" x14ac:dyDescent="0.25">
      <c r="A1263" s="2">
        <v>41578</v>
      </c>
      <c r="B1263">
        <v>115.37</v>
      </c>
    </row>
    <row r="1264" spans="1:2" x14ac:dyDescent="0.25">
      <c r="A1264" s="2">
        <v>41579</v>
      </c>
      <c r="B1264">
        <v>116.88</v>
      </c>
    </row>
    <row r="1265" spans="1:2" x14ac:dyDescent="0.25">
      <c r="A1265" s="2">
        <v>41580</v>
      </c>
      <c r="B1265">
        <v>116.88</v>
      </c>
    </row>
    <row r="1266" spans="1:2" x14ac:dyDescent="0.25">
      <c r="A1266" s="2">
        <v>41581</v>
      </c>
      <c r="B1266">
        <v>116.88</v>
      </c>
    </row>
    <row r="1267" spans="1:2" x14ac:dyDescent="0.25">
      <c r="A1267" s="2">
        <v>41582</v>
      </c>
      <c r="B1267">
        <v>117.28</v>
      </c>
    </row>
    <row r="1268" spans="1:2" x14ac:dyDescent="0.25">
      <c r="A1268" s="2">
        <v>41583</v>
      </c>
      <c r="B1268">
        <v>117.07</v>
      </c>
    </row>
    <row r="1269" spans="1:2" x14ac:dyDescent="0.25">
      <c r="A1269" s="2">
        <v>41584</v>
      </c>
      <c r="B1269">
        <v>117.42</v>
      </c>
    </row>
    <row r="1270" spans="1:2" x14ac:dyDescent="0.25">
      <c r="A1270" s="2">
        <v>41585</v>
      </c>
      <c r="B1270">
        <v>117.22</v>
      </c>
    </row>
    <row r="1271" spans="1:2" x14ac:dyDescent="0.25">
      <c r="A1271" s="2">
        <v>41586</v>
      </c>
      <c r="B1271">
        <v>118.2</v>
      </c>
    </row>
    <row r="1272" spans="1:2" x14ac:dyDescent="0.25">
      <c r="A1272" s="2">
        <v>41587</v>
      </c>
      <c r="B1272">
        <v>118.2</v>
      </c>
    </row>
    <row r="1273" spans="1:2" x14ac:dyDescent="0.25">
      <c r="A1273" s="2">
        <v>41588</v>
      </c>
      <c r="B1273">
        <v>118.2</v>
      </c>
    </row>
    <row r="1274" spans="1:2" x14ac:dyDescent="0.25">
      <c r="A1274" s="2">
        <v>41589</v>
      </c>
      <c r="B1274">
        <v>118.61</v>
      </c>
    </row>
    <row r="1275" spans="1:2" x14ac:dyDescent="0.25">
      <c r="A1275" s="2">
        <v>41590</v>
      </c>
      <c r="B1275">
        <v>118.01</v>
      </c>
    </row>
    <row r="1276" spans="1:2" x14ac:dyDescent="0.25">
      <c r="A1276" s="2">
        <v>41591</v>
      </c>
      <c r="B1276">
        <v>119.14</v>
      </c>
    </row>
    <row r="1277" spans="1:2" x14ac:dyDescent="0.25">
      <c r="A1277" s="2">
        <v>41592</v>
      </c>
      <c r="B1277">
        <v>119.54</v>
      </c>
    </row>
    <row r="1278" spans="1:2" x14ac:dyDescent="0.25">
      <c r="A1278" s="2">
        <v>41593</v>
      </c>
      <c r="B1278">
        <v>119.84</v>
      </c>
    </row>
    <row r="1279" spans="1:2" x14ac:dyDescent="0.25">
      <c r="A1279" s="2">
        <v>41594</v>
      </c>
      <c r="B1279">
        <v>119.84</v>
      </c>
    </row>
    <row r="1280" spans="1:2" x14ac:dyDescent="0.25">
      <c r="A1280" s="2">
        <v>41595</v>
      </c>
      <c r="B1280">
        <v>119.84</v>
      </c>
    </row>
    <row r="1281" spans="1:2" x14ac:dyDescent="0.25">
      <c r="A1281" s="2">
        <v>41596</v>
      </c>
      <c r="B1281">
        <v>118.89</v>
      </c>
    </row>
    <row r="1282" spans="1:2" x14ac:dyDescent="0.25">
      <c r="A1282" s="2">
        <v>41597</v>
      </c>
      <c r="B1282">
        <v>118.8</v>
      </c>
    </row>
    <row r="1283" spans="1:2" x14ac:dyDescent="0.25">
      <c r="A1283" s="2">
        <v>41598</v>
      </c>
      <c r="B1283">
        <v>118.16</v>
      </c>
    </row>
    <row r="1284" spans="1:2" x14ac:dyDescent="0.25">
      <c r="A1284" s="2">
        <v>41599</v>
      </c>
      <c r="B1284">
        <v>119.61</v>
      </c>
    </row>
    <row r="1285" spans="1:2" x14ac:dyDescent="0.25">
      <c r="A1285" s="2">
        <v>41600</v>
      </c>
      <c r="B1285">
        <v>119.8</v>
      </c>
    </row>
    <row r="1286" spans="1:2" x14ac:dyDescent="0.25">
      <c r="A1286" s="2">
        <v>41601</v>
      </c>
      <c r="B1286">
        <v>119.8</v>
      </c>
    </row>
    <row r="1287" spans="1:2" x14ac:dyDescent="0.25">
      <c r="A1287" s="2">
        <v>41602</v>
      </c>
      <c r="B1287">
        <v>119.8</v>
      </c>
    </row>
    <row r="1288" spans="1:2" x14ac:dyDescent="0.25">
      <c r="A1288" s="2">
        <v>41603</v>
      </c>
      <c r="B1288">
        <v>119.69</v>
      </c>
    </row>
    <row r="1289" spans="1:2" x14ac:dyDescent="0.25">
      <c r="A1289" s="2">
        <v>41604</v>
      </c>
      <c r="B1289">
        <v>119.43</v>
      </c>
    </row>
    <row r="1290" spans="1:2" x14ac:dyDescent="0.25">
      <c r="A1290" s="2">
        <v>41605</v>
      </c>
      <c r="B1290">
        <v>119.31</v>
      </c>
    </row>
    <row r="1291" spans="1:2" x14ac:dyDescent="0.25">
      <c r="A1291" s="2">
        <v>41606</v>
      </c>
      <c r="B1291">
        <v>119.35</v>
      </c>
    </row>
    <row r="1292" spans="1:2" x14ac:dyDescent="0.25">
      <c r="A1292" s="2">
        <v>41607</v>
      </c>
      <c r="B1292">
        <v>119.09</v>
      </c>
    </row>
    <row r="1293" spans="1:2" x14ac:dyDescent="0.25">
      <c r="A1293" s="2">
        <v>41608</v>
      </c>
      <c r="B1293">
        <v>119.09</v>
      </c>
    </row>
    <row r="1294" spans="1:2" x14ac:dyDescent="0.25">
      <c r="A1294" s="2">
        <v>41609</v>
      </c>
      <c r="B1294">
        <v>119.09</v>
      </c>
    </row>
    <row r="1295" spans="1:2" x14ac:dyDescent="0.25">
      <c r="A1295" s="2">
        <v>41610</v>
      </c>
      <c r="B1295">
        <v>119.43</v>
      </c>
    </row>
    <row r="1296" spans="1:2" x14ac:dyDescent="0.25">
      <c r="A1296" s="2">
        <v>41611</v>
      </c>
      <c r="B1296">
        <v>118.68</v>
      </c>
    </row>
    <row r="1297" spans="1:2" x14ac:dyDescent="0.25">
      <c r="A1297" s="2">
        <v>41612</v>
      </c>
      <c r="B1297">
        <v>118.44</v>
      </c>
    </row>
    <row r="1298" spans="1:2" x14ac:dyDescent="0.25">
      <c r="A1298" s="2">
        <v>41613</v>
      </c>
      <c r="B1298">
        <v>117.9</v>
      </c>
    </row>
    <row r="1299" spans="1:2" x14ac:dyDescent="0.25">
      <c r="A1299" s="2">
        <v>41614</v>
      </c>
      <c r="B1299">
        <v>118.65</v>
      </c>
    </row>
    <row r="1300" spans="1:2" x14ac:dyDescent="0.25">
      <c r="A1300" s="2">
        <v>41615</v>
      </c>
      <c r="B1300">
        <v>118.65</v>
      </c>
    </row>
    <row r="1301" spans="1:2" x14ac:dyDescent="0.25">
      <c r="A1301" s="2">
        <v>41616</v>
      </c>
      <c r="B1301">
        <v>118.65</v>
      </c>
    </row>
    <row r="1302" spans="1:2" x14ac:dyDescent="0.25">
      <c r="A1302" s="2">
        <v>41617</v>
      </c>
      <c r="B1302">
        <v>118.34</v>
      </c>
    </row>
    <row r="1303" spans="1:2" x14ac:dyDescent="0.25">
      <c r="A1303" s="2">
        <v>41618</v>
      </c>
      <c r="B1303">
        <v>117.73</v>
      </c>
    </row>
    <row r="1304" spans="1:2" x14ac:dyDescent="0.25">
      <c r="A1304" s="2">
        <v>41619</v>
      </c>
      <c r="B1304">
        <v>116.26</v>
      </c>
    </row>
    <row r="1305" spans="1:2" x14ac:dyDescent="0.25">
      <c r="A1305" s="2">
        <v>41620</v>
      </c>
      <c r="B1305">
        <v>115.78</v>
      </c>
    </row>
    <row r="1306" spans="1:2" x14ac:dyDescent="0.25">
      <c r="A1306" s="2">
        <v>41621</v>
      </c>
      <c r="B1306">
        <v>116.18</v>
      </c>
    </row>
    <row r="1307" spans="1:2" x14ac:dyDescent="0.25">
      <c r="A1307" s="2">
        <v>41622</v>
      </c>
      <c r="B1307">
        <v>116.18</v>
      </c>
    </row>
    <row r="1308" spans="1:2" x14ac:dyDescent="0.25">
      <c r="A1308" s="2">
        <v>41623</v>
      </c>
      <c r="B1308">
        <v>116.18</v>
      </c>
    </row>
    <row r="1309" spans="1:2" x14ac:dyDescent="0.25">
      <c r="A1309" s="2">
        <v>41624</v>
      </c>
      <c r="B1309">
        <v>116.49</v>
      </c>
    </row>
    <row r="1310" spans="1:2" x14ac:dyDescent="0.25">
      <c r="A1310" s="2">
        <v>41625</v>
      </c>
      <c r="B1310">
        <v>116.36</v>
      </c>
    </row>
    <row r="1311" spans="1:2" x14ac:dyDescent="0.25">
      <c r="A1311" s="2">
        <v>41626</v>
      </c>
      <c r="B1311">
        <v>118.3</v>
      </c>
    </row>
    <row r="1312" spans="1:2" x14ac:dyDescent="0.25">
      <c r="A1312" s="2">
        <v>41627</v>
      </c>
      <c r="B1312">
        <v>118.96</v>
      </c>
    </row>
    <row r="1313" spans="1:2" x14ac:dyDescent="0.25">
      <c r="A1313" s="2">
        <v>41628</v>
      </c>
      <c r="B1313">
        <v>119.63</v>
      </c>
    </row>
    <row r="1314" spans="1:2" x14ac:dyDescent="0.25">
      <c r="A1314" s="2">
        <v>41629</v>
      </c>
      <c r="B1314">
        <v>119.63</v>
      </c>
    </row>
    <row r="1315" spans="1:2" x14ac:dyDescent="0.25">
      <c r="A1315" s="2">
        <v>41630</v>
      </c>
      <c r="B1315">
        <v>119.63</v>
      </c>
    </row>
    <row r="1316" spans="1:2" x14ac:dyDescent="0.25">
      <c r="A1316" s="2">
        <v>41631</v>
      </c>
      <c r="B1316">
        <v>119.87</v>
      </c>
    </row>
    <row r="1317" spans="1:2" x14ac:dyDescent="0.25">
      <c r="A1317" s="2">
        <v>41632</v>
      </c>
      <c r="B1317">
        <v>120.4</v>
      </c>
    </row>
    <row r="1318" spans="1:2" x14ac:dyDescent="0.25">
      <c r="A1318" s="2">
        <v>41633</v>
      </c>
      <c r="B1318">
        <v>119.97</v>
      </c>
    </row>
    <row r="1319" spans="1:2" x14ac:dyDescent="0.25">
      <c r="A1319" s="2">
        <v>41634</v>
      </c>
      <c r="B1319">
        <v>119.97</v>
      </c>
    </row>
    <row r="1320" spans="1:2" x14ac:dyDescent="0.25">
      <c r="A1320" s="2">
        <v>41635</v>
      </c>
      <c r="B1320">
        <v>119.8</v>
      </c>
    </row>
    <row r="1321" spans="1:2" x14ac:dyDescent="0.25">
      <c r="A1321" s="2">
        <v>41636</v>
      </c>
      <c r="B1321">
        <v>119.8</v>
      </c>
    </row>
    <row r="1322" spans="1:2" x14ac:dyDescent="0.25">
      <c r="A1322" s="2">
        <v>41637</v>
      </c>
      <c r="B1322">
        <v>119.8</v>
      </c>
    </row>
    <row r="1323" spans="1:2" x14ac:dyDescent="0.25">
      <c r="A1323" s="2">
        <v>41638</v>
      </c>
      <c r="B1323">
        <v>120.05</v>
      </c>
    </row>
    <row r="1324" spans="1:2" x14ac:dyDescent="0.25">
      <c r="A1324" s="2">
        <v>41639</v>
      </c>
      <c r="B1324">
        <v>120.46</v>
      </c>
    </row>
    <row r="1325" spans="1:2" x14ac:dyDescent="0.25">
      <c r="A1325" s="2">
        <v>41640</v>
      </c>
      <c r="B1325">
        <v>120.3</v>
      </c>
    </row>
    <row r="1326" spans="1:2" x14ac:dyDescent="0.25">
      <c r="A1326" s="2">
        <v>41641</v>
      </c>
      <c r="B1326">
        <v>120.57</v>
      </c>
    </row>
    <row r="1327" spans="1:2" x14ac:dyDescent="0.25">
      <c r="A1327" s="2">
        <v>41642</v>
      </c>
      <c r="B1327">
        <v>120.75</v>
      </c>
    </row>
    <row r="1328" spans="1:2" x14ac:dyDescent="0.25">
      <c r="A1328" s="2">
        <v>41643</v>
      </c>
      <c r="B1328">
        <v>120.75</v>
      </c>
    </row>
    <row r="1329" spans="1:2" x14ac:dyDescent="0.25">
      <c r="A1329" s="2">
        <v>41644</v>
      </c>
      <c r="B1329">
        <v>120.75</v>
      </c>
    </row>
    <row r="1330" spans="1:2" x14ac:dyDescent="0.25">
      <c r="A1330" s="2">
        <v>41645</v>
      </c>
      <c r="B1330">
        <v>120.73</v>
      </c>
    </row>
    <row r="1331" spans="1:2" x14ac:dyDescent="0.25">
      <c r="A1331" s="2">
        <v>41646</v>
      </c>
      <c r="B1331">
        <v>121.12</v>
      </c>
    </row>
    <row r="1332" spans="1:2" x14ac:dyDescent="0.25">
      <c r="A1332" s="2">
        <v>41647</v>
      </c>
      <c r="B1332">
        <v>121.55</v>
      </c>
    </row>
    <row r="1333" spans="1:2" x14ac:dyDescent="0.25">
      <c r="A1333" s="2">
        <v>41648</v>
      </c>
      <c r="B1333">
        <v>121.43</v>
      </c>
    </row>
    <row r="1334" spans="1:2" x14ac:dyDescent="0.25">
      <c r="A1334" s="2">
        <v>41649</v>
      </c>
      <c r="B1334">
        <v>121.93</v>
      </c>
    </row>
    <row r="1335" spans="1:2" x14ac:dyDescent="0.25">
      <c r="A1335" s="2">
        <v>41650</v>
      </c>
      <c r="B1335">
        <v>121.93</v>
      </c>
    </row>
    <row r="1336" spans="1:2" x14ac:dyDescent="0.25">
      <c r="A1336" s="2">
        <v>41651</v>
      </c>
      <c r="B1336">
        <v>121.93</v>
      </c>
    </row>
    <row r="1337" spans="1:2" x14ac:dyDescent="0.25">
      <c r="A1337" s="2">
        <v>41652</v>
      </c>
      <c r="B1337">
        <v>119.82</v>
      </c>
    </row>
    <row r="1338" spans="1:2" x14ac:dyDescent="0.25">
      <c r="A1338" s="2">
        <v>41653</v>
      </c>
      <c r="B1338">
        <v>120.99</v>
      </c>
    </row>
    <row r="1339" spans="1:2" x14ac:dyDescent="0.25">
      <c r="A1339" s="2">
        <v>41654</v>
      </c>
      <c r="B1339">
        <v>122.17</v>
      </c>
    </row>
    <row r="1340" spans="1:2" x14ac:dyDescent="0.25">
      <c r="A1340" s="2">
        <v>41655</v>
      </c>
      <c r="B1340">
        <v>122.09</v>
      </c>
    </row>
    <row r="1341" spans="1:2" x14ac:dyDescent="0.25">
      <c r="A1341" s="2">
        <v>41656</v>
      </c>
      <c r="B1341">
        <v>121.73</v>
      </c>
    </row>
    <row r="1342" spans="1:2" x14ac:dyDescent="0.25">
      <c r="A1342" s="2">
        <v>41657</v>
      </c>
      <c r="B1342">
        <v>121.73</v>
      </c>
    </row>
    <row r="1343" spans="1:2" x14ac:dyDescent="0.25">
      <c r="A1343" s="2">
        <v>41658</v>
      </c>
      <c r="B1343">
        <v>121.73</v>
      </c>
    </row>
    <row r="1344" spans="1:2" x14ac:dyDescent="0.25">
      <c r="A1344" s="2">
        <v>41659</v>
      </c>
      <c r="B1344">
        <v>121.89</v>
      </c>
    </row>
    <row r="1345" spans="1:2" x14ac:dyDescent="0.25">
      <c r="A1345" s="2">
        <v>41660</v>
      </c>
      <c r="B1345">
        <v>122.59</v>
      </c>
    </row>
    <row r="1346" spans="1:2" x14ac:dyDescent="0.25">
      <c r="A1346" s="2">
        <v>41661</v>
      </c>
      <c r="B1346">
        <v>122.31</v>
      </c>
    </row>
    <row r="1347" spans="1:2" x14ac:dyDescent="0.25">
      <c r="A1347" s="2">
        <v>41662</v>
      </c>
      <c r="B1347">
        <v>120.58</v>
      </c>
    </row>
    <row r="1348" spans="1:2" x14ac:dyDescent="0.25">
      <c r="A1348" s="2">
        <v>41663</v>
      </c>
      <c r="B1348">
        <v>117.65</v>
      </c>
    </row>
    <row r="1349" spans="1:2" x14ac:dyDescent="0.25">
      <c r="A1349" s="2">
        <v>41664</v>
      </c>
      <c r="B1349">
        <v>117.65</v>
      </c>
    </row>
    <row r="1350" spans="1:2" x14ac:dyDescent="0.25">
      <c r="A1350" s="2">
        <v>41665</v>
      </c>
      <c r="B1350">
        <v>117.65</v>
      </c>
    </row>
    <row r="1351" spans="1:2" x14ac:dyDescent="0.25">
      <c r="A1351" s="2">
        <v>41666</v>
      </c>
      <c r="B1351">
        <v>117.32</v>
      </c>
    </row>
    <row r="1352" spans="1:2" x14ac:dyDescent="0.25">
      <c r="A1352" s="2">
        <v>41667</v>
      </c>
      <c r="B1352">
        <v>118.13</v>
      </c>
    </row>
    <row r="1353" spans="1:2" x14ac:dyDescent="0.25">
      <c r="A1353" s="2">
        <v>41668</v>
      </c>
      <c r="B1353">
        <v>117.28</v>
      </c>
    </row>
    <row r="1354" spans="1:2" x14ac:dyDescent="0.25">
      <c r="A1354" s="2">
        <v>41669</v>
      </c>
      <c r="B1354">
        <v>118.9</v>
      </c>
    </row>
    <row r="1355" spans="1:2" x14ac:dyDescent="0.25">
      <c r="A1355" s="2">
        <v>41670</v>
      </c>
      <c r="B1355">
        <v>118.64</v>
      </c>
    </row>
    <row r="1356" spans="1:2" x14ac:dyDescent="0.25">
      <c r="A1356" s="2">
        <v>41671</v>
      </c>
      <c r="B1356">
        <v>118.64</v>
      </c>
    </row>
    <row r="1357" spans="1:2" x14ac:dyDescent="0.25">
      <c r="A1357" s="2">
        <v>41672</v>
      </c>
      <c r="B1357">
        <v>118.64</v>
      </c>
    </row>
    <row r="1358" spans="1:2" x14ac:dyDescent="0.25">
      <c r="A1358" s="2">
        <v>41673</v>
      </c>
      <c r="B1358">
        <v>116.08</v>
      </c>
    </row>
    <row r="1359" spans="1:2" x14ac:dyDescent="0.25">
      <c r="A1359" s="2">
        <v>41674</v>
      </c>
      <c r="B1359">
        <v>116.8</v>
      </c>
    </row>
    <row r="1360" spans="1:2" x14ac:dyDescent="0.25">
      <c r="A1360" s="2">
        <v>41675</v>
      </c>
      <c r="B1360">
        <v>116.38</v>
      </c>
    </row>
    <row r="1361" spans="1:2" x14ac:dyDescent="0.25">
      <c r="A1361" s="2">
        <v>41676</v>
      </c>
      <c r="B1361">
        <v>118.3</v>
      </c>
    </row>
    <row r="1362" spans="1:2" x14ac:dyDescent="0.25">
      <c r="A1362" s="2">
        <v>41677</v>
      </c>
      <c r="B1362">
        <v>119.18</v>
      </c>
    </row>
    <row r="1363" spans="1:2" x14ac:dyDescent="0.25">
      <c r="A1363" s="2">
        <v>41678</v>
      </c>
      <c r="B1363">
        <v>119.18</v>
      </c>
    </row>
    <row r="1364" spans="1:2" x14ac:dyDescent="0.25">
      <c r="A1364" s="2">
        <v>41679</v>
      </c>
      <c r="B1364">
        <v>119.18</v>
      </c>
    </row>
    <row r="1365" spans="1:2" x14ac:dyDescent="0.25">
      <c r="A1365" s="2">
        <v>41680</v>
      </c>
      <c r="B1365">
        <v>118.8</v>
      </c>
    </row>
    <row r="1366" spans="1:2" x14ac:dyDescent="0.25">
      <c r="A1366" s="2">
        <v>41681</v>
      </c>
      <c r="B1366">
        <v>119.79</v>
      </c>
    </row>
    <row r="1367" spans="1:2" x14ac:dyDescent="0.25">
      <c r="A1367" s="2">
        <v>41682</v>
      </c>
      <c r="B1367">
        <v>120.71</v>
      </c>
    </row>
    <row r="1368" spans="1:2" x14ac:dyDescent="0.25">
      <c r="A1368" s="2">
        <v>41683</v>
      </c>
      <c r="B1368">
        <v>120.52</v>
      </c>
    </row>
    <row r="1369" spans="1:2" x14ac:dyDescent="0.25">
      <c r="A1369" s="2">
        <v>41684</v>
      </c>
      <c r="B1369">
        <v>120.82</v>
      </c>
    </row>
    <row r="1370" spans="1:2" x14ac:dyDescent="0.25">
      <c r="A1370" s="2">
        <v>41685</v>
      </c>
      <c r="B1370">
        <v>120.82</v>
      </c>
    </row>
    <row r="1371" spans="1:2" x14ac:dyDescent="0.25">
      <c r="A1371" s="2">
        <v>41686</v>
      </c>
      <c r="B1371">
        <v>120.82</v>
      </c>
    </row>
    <row r="1372" spans="1:2" x14ac:dyDescent="0.25">
      <c r="A1372" s="2">
        <v>41687</v>
      </c>
      <c r="B1372">
        <v>120.89</v>
      </c>
    </row>
    <row r="1373" spans="1:2" x14ac:dyDescent="0.25">
      <c r="A1373" s="2">
        <v>41688</v>
      </c>
      <c r="B1373">
        <v>120.76</v>
      </c>
    </row>
    <row r="1374" spans="1:2" x14ac:dyDescent="0.25">
      <c r="A1374" s="2">
        <v>41689</v>
      </c>
      <c r="B1374">
        <v>119.85</v>
      </c>
    </row>
    <row r="1375" spans="1:2" x14ac:dyDescent="0.25">
      <c r="A1375" s="2">
        <v>41690</v>
      </c>
      <c r="B1375">
        <v>120.94</v>
      </c>
    </row>
    <row r="1376" spans="1:2" x14ac:dyDescent="0.25">
      <c r="A1376" s="2">
        <v>41691</v>
      </c>
      <c r="B1376">
        <v>120.71</v>
      </c>
    </row>
    <row r="1377" spans="1:2" x14ac:dyDescent="0.25">
      <c r="A1377" s="2">
        <v>41692</v>
      </c>
      <c r="B1377">
        <v>120.71</v>
      </c>
    </row>
    <row r="1378" spans="1:2" x14ac:dyDescent="0.25">
      <c r="A1378" s="2">
        <v>41693</v>
      </c>
      <c r="B1378">
        <v>120.71</v>
      </c>
    </row>
    <row r="1379" spans="1:2" x14ac:dyDescent="0.25">
      <c r="A1379" s="2">
        <v>41694</v>
      </c>
      <c r="B1379">
        <v>121.21</v>
      </c>
    </row>
    <row r="1380" spans="1:2" x14ac:dyDescent="0.25">
      <c r="A1380" s="2">
        <v>41695</v>
      </c>
      <c r="B1380">
        <v>120.88</v>
      </c>
    </row>
    <row r="1381" spans="1:2" x14ac:dyDescent="0.25">
      <c r="A1381" s="2">
        <v>41696</v>
      </c>
      <c r="B1381">
        <v>121.15</v>
      </c>
    </row>
    <row r="1382" spans="1:2" x14ac:dyDescent="0.25">
      <c r="A1382" s="2">
        <v>41697</v>
      </c>
      <c r="B1382">
        <v>122.39</v>
      </c>
    </row>
    <row r="1383" spans="1:2" x14ac:dyDescent="0.25">
      <c r="A1383" s="2">
        <v>41698</v>
      </c>
      <c r="B1383">
        <v>121.33</v>
      </c>
    </row>
    <row r="1384" spans="1:2" x14ac:dyDescent="0.25">
      <c r="A1384" s="2">
        <v>41699</v>
      </c>
      <c r="B1384">
        <v>121.33</v>
      </c>
    </row>
    <row r="1385" spans="1:2" x14ac:dyDescent="0.25">
      <c r="A1385" s="2">
        <v>41700</v>
      </c>
      <c r="B1385">
        <v>121.33</v>
      </c>
    </row>
    <row r="1386" spans="1:2" x14ac:dyDescent="0.25">
      <c r="A1386" s="2">
        <v>41701</v>
      </c>
      <c r="B1386">
        <v>120.84</v>
      </c>
    </row>
    <row r="1387" spans="1:2" x14ac:dyDescent="0.25">
      <c r="A1387" s="2">
        <v>41702</v>
      </c>
      <c r="B1387">
        <v>122.68</v>
      </c>
    </row>
    <row r="1388" spans="1:2" x14ac:dyDescent="0.25">
      <c r="A1388" s="2">
        <v>41703</v>
      </c>
      <c r="B1388">
        <v>123.01</v>
      </c>
    </row>
    <row r="1389" spans="1:2" x14ac:dyDescent="0.25">
      <c r="A1389" s="2">
        <v>41704</v>
      </c>
      <c r="B1389">
        <v>123.13</v>
      </c>
    </row>
    <row r="1390" spans="1:2" x14ac:dyDescent="0.25">
      <c r="A1390" s="2">
        <v>41705</v>
      </c>
      <c r="B1390">
        <v>121.88</v>
      </c>
    </row>
    <row r="1391" spans="1:2" x14ac:dyDescent="0.25">
      <c r="A1391" s="2">
        <v>41706</v>
      </c>
      <c r="B1391">
        <v>121.88</v>
      </c>
    </row>
    <row r="1392" spans="1:2" x14ac:dyDescent="0.25">
      <c r="A1392" s="2">
        <v>41707</v>
      </c>
      <c r="B1392">
        <v>121.88</v>
      </c>
    </row>
    <row r="1393" spans="1:2" x14ac:dyDescent="0.25">
      <c r="A1393" s="2">
        <v>41708</v>
      </c>
      <c r="B1393">
        <v>121.94</v>
      </c>
    </row>
    <row r="1394" spans="1:2" x14ac:dyDescent="0.25">
      <c r="A1394" s="2">
        <v>41709</v>
      </c>
      <c r="B1394">
        <v>121.6</v>
      </c>
    </row>
    <row r="1395" spans="1:2" x14ac:dyDescent="0.25">
      <c r="A1395" s="2">
        <v>41710</v>
      </c>
      <c r="B1395">
        <v>121.34</v>
      </c>
    </row>
    <row r="1396" spans="1:2" x14ac:dyDescent="0.25">
      <c r="A1396" s="2">
        <v>41711</v>
      </c>
      <c r="B1396">
        <v>119.46</v>
      </c>
    </row>
    <row r="1397" spans="1:2" x14ac:dyDescent="0.25">
      <c r="A1397" s="2">
        <v>41712</v>
      </c>
      <c r="B1397">
        <v>119.62</v>
      </c>
    </row>
    <row r="1398" spans="1:2" x14ac:dyDescent="0.25">
      <c r="A1398" s="2">
        <v>41713</v>
      </c>
      <c r="B1398">
        <v>119.62</v>
      </c>
    </row>
    <row r="1399" spans="1:2" x14ac:dyDescent="0.25">
      <c r="A1399" s="2">
        <v>41714</v>
      </c>
      <c r="B1399">
        <v>119.62</v>
      </c>
    </row>
    <row r="1400" spans="1:2" x14ac:dyDescent="0.25">
      <c r="A1400" s="2">
        <v>41715</v>
      </c>
      <c r="B1400">
        <v>120.57</v>
      </c>
    </row>
    <row r="1401" spans="1:2" x14ac:dyDescent="0.25">
      <c r="A1401" s="2">
        <v>41716</v>
      </c>
      <c r="B1401">
        <v>121.49</v>
      </c>
    </row>
    <row r="1402" spans="1:2" x14ac:dyDescent="0.25">
      <c r="A1402" s="2">
        <v>41717</v>
      </c>
      <c r="B1402">
        <v>120.64</v>
      </c>
    </row>
    <row r="1403" spans="1:2" x14ac:dyDescent="0.25">
      <c r="A1403" s="2">
        <v>41718</v>
      </c>
      <c r="B1403">
        <v>122.71</v>
      </c>
    </row>
    <row r="1404" spans="1:2" x14ac:dyDescent="0.25">
      <c r="A1404" s="2">
        <v>41719</v>
      </c>
      <c r="B1404">
        <v>122.18</v>
      </c>
    </row>
    <row r="1405" spans="1:2" x14ac:dyDescent="0.25">
      <c r="A1405" s="2">
        <v>41720</v>
      </c>
      <c r="B1405">
        <v>122.18</v>
      </c>
    </row>
    <row r="1406" spans="1:2" x14ac:dyDescent="0.25">
      <c r="A1406" s="2">
        <v>41721</v>
      </c>
      <c r="B1406">
        <v>122.18</v>
      </c>
    </row>
    <row r="1407" spans="1:2" x14ac:dyDescent="0.25">
      <c r="A1407" s="2">
        <v>41722</v>
      </c>
      <c r="B1407">
        <v>121.64</v>
      </c>
    </row>
    <row r="1408" spans="1:2" x14ac:dyDescent="0.25">
      <c r="A1408" s="2">
        <v>41723</v>
      </c>
      <c r="B1408">
        <v>122.05</v>
      </c>
    </row>
    <row r="1409" spans="1:2" x14ac:dyDescent="0.25">
      <c r="A1409" s="2">
        <v>41724</v>
      </c>
      <c r="B1409">
        <v>121.19</v>
      </c>
    </row>
    <row r="1410" spans="1:2" x14ac:dyDescent="0.25">
      <c r="A1410" s="2">
        <v>41725</v>
      </c>
      <c r="B1410">
        <v>121.26</v>
      </c>
    </row>
    <row r="1411" spans="1:2" x14ac:dyDescent="0.25">
      <c r="A1411" s="2">
        <v>41726</v>
      </c>
      <c r="B1411">
        <v>121.82</v>
      </c>
    </row>
    <row r="1412" spans="1:2" x14ac:dyDescent="0.25">
      <c r="A1412" s="2">
        <v>41727</v>
      </c>
      <c r="B1412">
        <v>121.82</v>
      </c>
    </row>
    <row r="1413" spans="1:2" x14ac:dyDescent="0.25">
      <c r="A1413" s="2">
        <v>41728</v>
      </c>
      <c r="B1413">
        <v>121.82</v>
      </c>
    </row>
    <row r="1414" spans="1:2" x14ac:dyDescent="0.25">
      <c r="A1414" s="2">
        <v>41729</v>
      </c>
      <c r="B1414">
        <v>122.53</v>
      </c>
    </row>
    <row r="1415" spans="1:2" x14ac:dyDescent="0.25">
      <c r="A1415" s="2">
        <v>41730</v>
      </c>
      <c r="B1415">
        <v>123.38</v>
      </c>
    </row>
    <row r="1416" spans="1:2" x14ac:dyDescent="0.25">
      <c r="A1416" s="2">
        <v>41731</v>
      </c>
      <c r="B1416">
        <v>123.7</v>
      </c>
    </row>
    <row r="1417" spans="1:2" x14ac:dyDescent="0.25">
      <c r="A1417" s="2">
        <v>41732</v>
      </c>
      <c r="B1417">
        <v>123.78</v>
      </c>
    </row>
    <row r="1418" spans="1:2" x14ac:dyDescent="0.25">
      <c r="A1418" s="2">
        <v>41733</v>
      </c>
      <c r="B1418">
        <v>122.87</v>
      </c>
    </row>
    <row r="1419" spans="1:2" x14ac:dyDescent="0.25">
      <c r="A1419" s="2">
        <v>41734</v>
      </c>
      <c r="B1419">
        <v>122.87</v>
      </c>
    </row>
    <row r="1420" spans="1:2" x14ac:dyDescent="0.25">
      <c r="A1420" s="2">
        <v>41735</v>
      </c>
      <c r="B1420">
        <v>122.87</v>
      </c>
    </row>
    <row r="1421" spans="1:2" x14ac:dyDescent="0.25">
      <c r="A1421" s="2">
        <v>41736</v>
      </c>
      <c r="B1421">
        <v>121.34</v>
      </c>
    </row>
    <row r="1422" spans="1:2" x14ac:dyDescent="0.25">
      <c r="A1422" s="2">
        <v>41737</v>
      </c>
      <c r="B1422">
        <v>121.38</v>
      </c>
    </row>
    <row r="1423" spans="1:2" x14ac:dyDescent="0.25">
      <c r="A1423" s="2">
        <v>41738</v>
      </c>
      <c r="B1423">
        <v>122.54</v>
      </c>
    </row>
    <row r="1424" spans="1:2" x14ac:dyDescent="0.25">
      <c r="A1424" s="2">
        <v>41739</v>
      </c>
      <c r="B1424">
        <v>119.35</v>
      </c>
    </row>
    <row r="1425" spans="1:2" x14ac:dyDescent="0.25">
      <c r="A1425" s="2">
        <v>41740</v>
      </c>
      <c r="B1425">
        <v>118.18</v>
      </c>
    </row>
    <row r="1426" spans="1:2" x14ac:dyDescent="0.25">
      <c r="A1426" s="2">
        <v>41741</v>
      </c>
      <c r="B1426">
        <v>118.18</v>
      </c>
    </row>
    <row r="1427" spans="1:2" x14ac:dyDescent="0.25">
      <c r="A1427" s="2">
        <v>41742</v>
      </c>
      <c r="B1427">
        <v>118.18</v>
      </c>
    </row>
    <row r="1428" spans="1:2" x14ac:dyDescent="0.25">
      <c r="A1428" s="2">
        <v>41743</v>
      </c>
      <c r="B1428">
        <v>119.54</v>
      </c>
    </row>
    <row r="1429" spans="1:2" x14ac:dyDescent="0.25">
      <c r="A1429" s="2">
        <v>41744</v>
      </c>
      <c r="B1429">
        <v>120.56</v>
      </c>
    </row>
    <row r="1430" spans="1:2" x14ac:dyDescent="0.25">
      <c r="A1430" s="2">
        <v>41745</v>
      </c>
      <c r="B1430">
        <v>121.5</v>
      </c>
    </row>
    <row r="1431" spans="1:2" x14ac:dyDescent="0.25">
      <c r="A1431" s="2">
        <v>41746</v>
      </c>
      <c r="B1431">
        <v>121.54</v>
      </c>
    </row>
    <row r="1432" spans="1:2" x14ac:dyDescent="0.25">
      <c r="A1432" s="2">
        <v>41747</v>
      </c>
      <c r="B1432">
        <v>122.03</v>
      </c>
    </row>
    <row r="1433" spans="1:2" x14ac:dyDescent="0.25">
      <c r="A1433" s="2">
        <v>41748</v>
      </c>
      <c r="B1433">
        <v>122.03</v>
      </c>
    </row>
    <row r="1434" spans="1:2" x14ac:dyDescent="0.25">
      <c r="A1434" s="2">
        <v>41749</v>
      </c>
      <c r="B1434">
        <v>122.03</v>
      </c>
    </row>
    <row r="1435" spans="1:2" x14ac:dyDescent="0.25">
      <c r="A1435" s="2">
        <v>41750</v>
      </c>
      <c r="B1435">
        <v>122.03</v>
      </c>
    </row>
    <row r="1436" spans="1:2" x14ac:dyDescent="0.25">
      <c r="A1436" s="2">
        <v>41751</v>
      </c>
      <c r="B1436">
        <v>122.83</v>
      </c>
    </row>
    <row r="1437" spans="1:2" x14ac:dyDescent="0.25">
      <c r="A1437" s="2">
        <v>41752</v>
      </c>
      <c r="B1437">
        <v>122.43</v>
      </c>
    </row>
    <row r="1438" spans="1:2" x14ac:dyDescent="0.25">
      <c r="A1438" s="2">
        <v>41753</v>
      </c>
      <c r="B1438">
        <v>122.76</v>
      </c>
    </row>
    <row r="1439" spans="1:2" x14ac:dyDescent="0.25">
      <c r="A1439" s="2">
        <v>41754</v>
      </c>
      <c r="B1439">
        <v>121.68</v>
      </c>
    </row>
    <row r="1440" spans="1:2" x14ac:dyDescent="0.25">
      <c r="A1440" s="2">
        <v>41755</v>
      </c>
      <c r="B1440">
        <v>121.68</v>
      </c>
    </row>
    <row r="1441" spans="1:2" x14ac:dyDescent="0.25">
      <c r="A1441" s="2">
        <v>41756</v>
      </c>
      <c r="B1441">
        <v>121.68</v>
      </c>
    </row>
    <row r="1442" spans="1:2" x14ac:dyDescent="0.25">
      <c r="A1442" s="2">
        <v>41757</v>
      </c>
      <c r="B1442">
        <v>121.81</v>
      </c>
    </row>
    <row r="1443" spans="1:2" x14ac:dyDescent="0.25">
      <c r="A1443" s="2">
        <v>41758</v>
      </c>
      <c r="B1443">
        <v>122.7</v>
      </c>
    </row>
    <row r="1444" spans="1:2" x14ac:dyDescent="0.25">
      <c r="A1444" s="2">
        <v>41759</v>
      </c>
      <c r="B1444">
        <v>122.86</v>
      </c>
    </row>
    <row r="1445" spans="1:2" x14ac:dyDescent="0.25">
      <c r="A1445" s="2">
        <v>41760</v>
      </c>
      <c r="B1445">
        <v>122.63</v>
      </c>
    </row>
    <row r="1446" spans="1:2" x14ac:dyDescent="0.25">
      <c r="A1446" s="2">
        <v>41761</v>
      </c>
      <c r="B1446">
        <v>122.57</v>
      </c>
    </row>
    <row r="1447" spans="1:2" x14ac:dyDescent="0.25">
      <c r="A1447" s="2">
        <v>41762</v>
      </c>
      <c r="B1447">
        <v>122.57</v>
      </c>
    </row>
    <row r="1448" spans="1:2" x14ac:dyDescent="0.25">
      <c r="A1448" s="2">
        <v>41763</v>
      </c>
      <c r="B1448">
        <v>122.57</v>
      </c>
    </row>
    <row r="1449" spans="1:2" x14ac:dyDescent="0.25">
      <c r="A1449" s="2">
        <v>41764</v>
      </c>
      <c r="B1449">
        <v>122.45</v>
      </c>
    </row>
    <row r="1450" spans="1:2" x14ac:dyDescent="0.25">
      <c r="A1450" s="2">
        <v>41765</v>
      </c>
      <c r="B1450">
        <v>120.98</v>
      </c>
    </row>
    <row r="1451" spans="1:2" x14ac:dyDescent="0.25">
      <c r="A1451" s="2">
        <v>41766</v>
      </c>
      <c r="B1451">
        <v>121.86</v>
      </c>
    </row>
    <row r="1452" spans="1:2" x14ac:dyDescent="0.25">
      <c r="A1452" s="2">
        <v>41767</v>
      </c>
      <c r="B1452">
        <v>121.49</v>
      </c>
    </row>
    <row r="1453" spans="1:2" x14ac:dyDescent="0.25">
      <c r="A1453" s="2">
        <v>41768</v>
      </c>
      <c r="B1453">
        <v>123.22</v>
      </c>
    </row>
    <row r="1454" spans="1:2" x14ac:dyDescent="0.25">
      <c r="A1454" s="2">
        <v>41769</v>
      </c>
      <c r="B1454">
        <v>123.22</v>
      </c>
    </row>
    <row r="1455" spans="1:2" x14ac:dyDescent="0.25">
      <c r="A1455" s="2">
        <v>41770</v>
      </c>
      <c r="B1455">
        <v>123.22</v>
      </c>
    </row>
    <row r="1456" spans="1:2" x14ac:dyDescent="0.25">
      <c r="A1456" s="2">
        <v>41771</v>
      </c>
      <c r="B1456">
        <v>124.56</v>
      </c>
    </row>
    <row r="1457" spans="1:2" x14ac:dyDescent="0.25">
      <c r="A1457" s="2">
        <v>41772</v>
      </c>
      <c r="B1457">
        <v>125.2</v>
      </c>
    </row>
    <row r="1458" spans="1:2" x14ac:dyDescent="0.25">
      <c r="A1458" s="2">
        <v>41773</v>
      </c>
      <c r="B1458">
        <v>124.48</v>
      </c>
    </row>
    <row r="1459" spans="1:2" x14ac:dyDescent="0.25">
      <c r="A1459" s="2">
        <v>41774</v>
      </c>
      <c r="B1459">
        <v>123.88</v>
      </c>
    </row>
    <row r="1460" spans="1:2" x14ac:dyDescent="0.25">
      <c r="A1460" s="2">
        <v>41775</v>
      </c>
      <c r="B1460">
        <v>124.01</v>
      </c>
    </row>
    <row r="1461" spans="1:2" x14ac:dyDescent="0.25">
      <c r="A1461" s="2">
        <v>41776</v>
      </c>
      <c r="B1461">
        <v>124.01</v>
      </c>
    </row>
    <row r="1462" spans="1:2" x14ac:dyDescent="0.25">
      <c r="A1462" s="2">
        <v>41777</v>
      </c>
      <c r="B1462">
        <v>124.01</v>
      </c>
    </row>
    <row r="1463" spans="1:2" x14ac:dyDescent="0.25">
      <c r="A1463" s="2">
        <v>41778</v>
      </c>
      <c r="B1463">
        <v>124.32</v>
      </c>
    </row>
    <row r="1464" spans="1:2" x14ac:dyDescent="0.25">
      <c r="A1464" s="2">
        <v>41779</v>
      </c>
      <c r="B1464">
        <v>123.64</v>
      </c>
    </row>
    <row r="1465" spans="1:2" x14ac:dyDescent="0.25">
      <c r="A1465" s="2">
        <v>41780</v>
      </c>
      <c r="B1465">
        <v>124.89</v>
      </c>
    </row>
    <row r="1466" spans="1:2" x14ac:dyDescent="0.25">
      <c r="A1466" s="2">
        <v>41781</v>
      </c>
      <c r="B1466">
        <v>125.28</v>
      </c>
    </row>
    <row r="1467" spans="1:2" x14ac:dyDescent="0.25">
      <c r="A1467" s="2">
        <v>41782</v>
      </c>
      <c r="B1467">
        <v>126.16</v>
      </c>
    </row>
    <row r="1468" spans="1:2" x14ac:dyDescent="0.25">
      <c r="A1468" s="2">
        <v>41783</v>
      </c>
      <c r="B1468">
        <v>126.16</v>
      </c>
    </row>
    <row r="1469" spans="1:2" x14ac:dyDescent="0.25">
      <c r="A1469" s="2">
        <v>41784</v>
      </c>
      <c r="B1469">
        <v>126.16</v>
      </c>
    </row>
    <row r="1470" spans="1:2" x14ac:dyDescent="0.25">
      <c r="A1470" s="2">
        <v>41785</v>
      </c>
      <c r="B1470">
        <v>126.38</v>
      </c>
    </row>
    <row r="1471" spans="1:2" x14ac:dyDescent="0.25">
      <c r="A1471" s="2">
        <v>41786</v>
      </c>
      <c r="B1471">
        <v>126.84</v>
      </c>
    </row>
    <row r="1472" spans="1:2" x14ac:dyDescent="0.25">
      <c r="A1472" s="2">
        <v>41787</v>
      </c>
      <c r="B1472">
        <v>126.99</v>
      </c>
    </row>
    <row r="1473" spans="1:2" x14ac:dyDescent="0.25">
      <c r="A1473" s="2">
        <v>41788</v>
      </c>
      <c r="B1473">
        <v>127.65</v>
      </c>
    </row>
    <row r="1474" spans="1:2" x14ac:dyDescent="0.25">
      <c r="A1474" s="2">
        <v>41789</v>
      </c>
      <c r="B1474">
        <v>127.93</v>
      </c>
    </row>
    <row r="1475" spans="1:2" x14ac:dyDescent="0.25">
      <c r="A1475" s="2">
        <v>41790</v>
      </c>
      <c r="B1475">
        <v>127.93</v>
      </c>
    </row>
    <row r="1476" spans="1:2" x14ac:dyDescent="0.25">
      <c r="A1476" s="2">
        <v>41791</v>
      </c>
      <c r="B1476">
        <v>127.93</v>
      </c>
    </row>
    <row r="1477" spans="1:2" x14ac:dyDescent="0.25">
      <c r="A1477" s="2">
        <v>41792</v>
      </c>
      <c r="B1477">
        <v>128</v>
      </c>
    </row>
    <row r="1478" spans="1:2" x14ac:dyDescent="0.25">
      <c r="A1478" s="2">
        <v>41793</v>
      </c>
      <c r="B1478">
        <v>127.64</v>
      </c>
    </row>
    <row r="1479" spans="1:2" x14ac:dyDescent="0.25">
      <c r="A1479" s="2">
        <v>41794</v>
      </c>
      <c r="B1479">
        <v>128.07</v>
      </c>
    </row>
    <row r="1480" spans="1:2" x14ac:dyDescent="0.25">
      <c r="A1480" s="2">
        <v>41795</v>
      </c>
      <c r="B1480">
        <v>129.47999999999999</v>
      </c>
    </row>
    <row r="1481" spans="1:2" x14ac:dyDescent="0.25">
      <c r="A1481" s="2">
        <v>41796</v>
      </c>
      <c r="B1481">
        <v>129.38</v>
      </c>
    </row>
    <row r="1482" spans="1:2" x14ac:dyDescent="0.25">
      <c r="A1482" s="2">
        <v>41797</v>
      </c>
      <c r="B1482">
        <v>129.38</v>
      </c>
    </row>
    <row r="1483" spans="1:2" x14ac:dyDescent="0.25">
      <c r="A1483" s="2">
        <v>41798</v>
      </c>
      <c r="B1483">
        <v>129.38</v>
      </c>
    </row>
    <row r="1484" spans="1:2" x14ac:dyDescent="0.25">
      <c r="A1484" s="2">
        <v>41799</v>
      </c>
      <c r="B1484">
        <v>129.83000000000001</v>
      </c>
    </row>
    <row r="1485" spans="1:2" x14ac:dyDescent="0.25">
      <c r="A1485" s="2">
        <v>41800</v>
      </c>
      <c r="B1485">
        <v>130.38</v>
      </c>
    </row>
    <row r="1486" spans="1:2" x14ac:dyDescent="0.25">
      <c r="A1486" s="2">
        <v>41801</v>
      </c>
      <c r="B1486">
        <v>129.93</v>
      </c>
    </row>
    <row r="1487" spans="1:2" x14ac:dyDescent="0.25">
      <c r="A1487" s="2">
        <v>41802</v>
      </c>
      <c r="B1487">
        <v>129.22</v>
      </c>
    </row>
    <row r="1488" spans="1:2" x14ac:dyDescent="0.25">
      <c r="A1488" s="2">
        <v>41803</v>
      </c>
      <c r="B1488">
        <v>129.57</v>
      </c>
    </row>
    <row r="1489" spans="1:2" x14ac:dyDescent="0.25">
      <c r="A1489" s="2">
        <v>41804</v>
      </c>
      <c r="B1489">
        <v>129.57</v>
      </c>
    </row>
    <row r="1490" spans="1:2" x14ac:dyDescent="0.25">
      <c r="A1490" s="2">
        <v>41805</v>
      </c>
      <c r="B1490">
        <v>129.57</v>
      </c>
    </row>
    <row r="1491" spans="1:2" x14ac:dyDescent="0.25">
      <c r="A1491" s="2">
        <v>41806</v>
      </c>
      <c r="B1491">
        <v>129.69999999999999</v>
      </c>
    </row>
    <row r="1492" spans="1:2" x14ac:dyDescent="0.25">
      <c r="A1492" s="2">
        <v>41807</v>
      </c>
      <c r="B1492">
        <v>129.63999999999999</v>
      </c>
    </row>
    <row r="1493" spans="1:2" x14ac:dyDescent="0.25">
      <c r="A1493" s="2">
        <v>41808</v>
      </c>
      <c r="B1493">
        <v>130.69</v>
      </c>
    </row>
    <row r="1494" spans="1:2" x14ac:dyDescent="0.25">
      <c r="A1494" s="2">
        <v>41809</v>
      </c>
      <c r="B1494">
        <v>130.32</v>
      </c>
    </row>
    <row r="1495" spans="1:2" x14ac:dyDescent="0.25">
      <c r="A1495" s="2">
        <v>41810</v>
      </c>
      <c r="B1495">
        <v>130.86000000000001</v>
      </c>
    </row>
    <row r="1496" spans="1:2" x14ac:dyDescent="0.25">
      <c r="A1496" s="2">
        <v>41811</v>
      </c>
      <c r="B1496">
        <v>130.86000000000001</v>
      </c>
    </row>
    <row r="1497" spans="1:2" x14ac:dyDescent="0.25">
      <c r="A1497" s="2">
        <v>41812</v>
      </c>
      <c r="B1497">
        <v>130.86000000000001</v>
      </c>
    </row>
    <row r="1498" spans="1:2" x14ac:dyDescent="0.25">
      <c r="A1498" s="2">
        <v>41813</v>
      </c>
      <c r="B1498">
        <v>130.76</v>
      </c>
    </row>
    <row r="1499" spans="1:2" x14ac:dyDescent="0.25">
      <c r="A1499" s="2">
        <v>41814</v>
      </c>
      <c r="B1499">
        <v>129.72</v>
      </c>
    </row>
    <row r="1500" spans="1:2" x14ac:dyDescent="0.25">
      <c r="A1500" s="2">
        <v>41815</v>
      </c>
      <c r="B1500">
        <v>130.38999999999999</v>
      </c>
    </row>
    <row r="1501" spans="1:2" x14ac:dyDescent="0.25">
      <c r="A1501" s="2">
        <v>41816</v>
      </c>
      <c r="B1501">
        <v>130.34</v>
      </c>
    </row>
    <row r="1502" spans="1:2" x14ac:dyDescent="0.25">
      <c r="A1502" s="2">
        <v>41817</v>
      </c>
      <c r="B1502">
        <v>130.46</v>
      </c>
    </row>
    <row r="1503" spans="1:2" x14ac:dyDescent="0.25">
      <c r="A1503" s="2">
        <v>41818</v>
      </c>
      <c r="B1503">
        <v>130.46</v>
      </c>
    </row>
    <row r="1504" spans="1:2" x14ac:dyDescent="0.25">
      <c r="A1504" s="2">
        <v>41819</v>
      </c>
      <c r="B1504">
        <v>130.46</v>
      </c>
    </row>
    <row r="1505" spans="1:2" x14ac:dyDescent="0.25">
      <c r="A1505" s="2">
        <v>41820</v>
      </c>
      <c r="B1505">
        <v>130.05000000000001</v>
      </c>
    </row>
    <row r="1506" spans="1:2" x14ac:dyDescent="0.25">
      <c r="A1506" s="2">
        <v>41821</v>
      </c>
      <c r="B1506">
        <v>130.65</v>
      </c>
    </row>
    <row r="1507" spans="1:2" x14ac:dyDescent="0.25">
      <c r="A1507" s="2">
        <v>41822</v>
      </c>
      <c r="B1507">
        <v>131.06</v>
      </c>
    </row>
    <row r="1508" spans="1:2" x14ac:dyDescent="0.25">
      <c r="A1508" s="2">
        <v>41823</v>
      </c>
      <c r="B1508">
        <v>131.87</v>
      </c>
    </row>
    <row r="1509" spans="1:2" x14ac:dyDescent="0.25">
      <c r="A1509" s="2">
        <v>41824</v>
      </c>
      <c r="B1509">
        <v>132.43</v>
      </c>
    </row>
    <row r="1510" spans="1:2" x14ac:dyDescent="0.25">
      <c r="A1510" s="2">
        <v>41825</v>
      </c>
      <c r="B1510">
        <v>132.43</v>
      </c>
    </row>
    <row r="1511" spans="1:2" x14ac:dyDescent="0.25">
      <c r="A1511" s="2">
        <v>41826</v>
      </c>
      <c r="B1511">
        <v>132.43</v>
      </c>
    </row>
    <row r="1512" spans="1:2" x14ac:dyDescent="0.25">
      <c r="A1512" s="2">
        <v>41827</v>
      </c>
      <c r="B1512">
        <v>131.88</v>
      </c>
    </row>
    <row r="1513" spans="1:2" x14ac:dyDescent="0.25">
      <c r="A1513" s="2">
        <v>41828</v>
      </c>
      <c r="B1513">
        <v>131.01</v>
      </c>
    </row>
    <row r="1514" spans="1:2" x14ac:dyDescent="0.25">
      <c r="A1514" s="2">
        <v>41829</v>
      </c>
      <c r="B1514">
        <v>131.49</v>
      </c>
    </row>
    <row r="1515" spans="1:2" x14ac:dyDescent="0.25">
      <c r="A1515" s="2">
        <v>41830</v>
      </c>
      <c r="B1515">
        <v>130.93</v>
      </c>
    </row>
    <row r="1516" spans="1:2" x14ac:dyDescent="0.25">
      <c r="A1516" s="2">
        <v>41831</v>
      </c>
      <c r="B1516">
        <v>131.22</v>
      </c>
    </row>
    <row r="1517" spans="1:2" x14ac:dyDescent="0.25">
      <c r="A1517" s="2">
        <v>41832</v>
      </c>
      <c r="B1517">
        <v>131.22</v>
      </c>
    </row>
    <row r="1518" spans="1:2" x14ac:dyDescent="0.25">
      <c r="A1518" s="2">
        <v>41833</v>
      </c>
      <c r="B1518">
        <v>131.22</v>
      </c>
    </row>
    <row r="1519" spans="1:2" x14ac:dyDescent="0.25">
      <c r="A1519" s="2">
        <v>41834</v>
      </c>
      <c r="B1519">
        <v>131.55000000000001</v>
      </c>
    </row>
    <row r="1520" spans="1:2" x14ac:dyDescent="0.25">
      <c r="A1520" s="2">
        <v>41835</v>
      </c>
      <c r="B1520">
        <v>131.43</v>
      </c>
    </row>
    <row r="1521" spans="1:2" x14ac:dyDescent="0.25">
      <c r="A1521" s="2">
        <v>41836</v>
      </c>
      <c r="B1521">
        <v>132.79</v>
      </c>
    </row>
    <row r="1522" spans="1:2" x14ac:dyDescent="0.25">
      <c r="A1522" s="2">
        <v>41837</v>
      </c>
      <c r="B1522">
        <v>131.30000000000001</v>
      </c>
    </row>
    <row r="1523" spans="1:2" x14ac:dyDescent="0.25">
      <c r="A1523" s="2">
        <v>41838</v>
      </c>
      <c r="B1523">
        <v>132.63999999999999</v>
      </c>
    </row>
    <row r="1524" spans="1:2" x14ac:dyDescent="0.25">
      <c r="A1524" s="2">
        <v>41839</v>
      </c>
      <c r="B1524">
        <v>132.63999999999999</v>
      </c>
    </row>
    <row r="1525" spans="1:2" x14ac:dyDescent="0.25">
      <c r="A1525" s="2">
        <v>41840</v>
      </c>
      <c r="B1525">
        <v>132.63999999999999</v>
      </c>
    </row>
    <row r="1526" spans="1:2" x14ac:dyDescent="0.25">
      <c r="A1526" s="2">
        <v>41841</v>
      </c>
      <c r="B1526">
        <v>132.41</v>
      </c>
    </row>
    <row r="1527" spans="1:2" x14ac:dyDescent="0.25">
      <c r="A1527" s="2">
        <v>41842</v>
      </c>
      <c r="B1527">
        <v>133.44</v>
      </c>
    </row>
    <row r="1528" spans="1:2" x14ac:dyDescent="0.25">
      <c r="A1528" s="2">
        <v>41843</v>
      </c>
      <c r="B1528">
        <v>133.84</v>
      </c>
    </row>
    <row r="1529" spans="1:2" x14ac:dyDescent="0.25">
      <c r="A1529" s="2">
        <v>41844</v>
      </c>
      <c r="B1529">
        <v>133.83000000000001</v>
      </c>
    </row>
    <row r="1530" spans="1:2" x14ac:dyDescent="0.25">
      <c r="A1530" s="2">
        <v>41845</v>
      </c>
      <c r="B1530">
        <v>133.5</v>
      </c>
    </row>
    <row r="1531" spans="1:2" x14ac:dyDescent="0.25">
      <c r="A1531" s="2">
        <v>41846</v>
      </c>
      <c r="B1531">
        <v>133.5</v>
      </c>
    </row>
    <row r="1532" spans="1:2" x14ac:dyDescent="0.25">
      <c r="A1532" s="2">
        <v>41847</v>
      </c>
      <c r="B1532">
        <v>133.5</v>
      </c>
    </row>
    <row r="1533" spans="1:2" x14ac:dyDescent="0.25">
      <c r="A1533" s="2">
        <v>41848</v>
      </c>
      <c r="B1533">
        <v>133.61000000000001</v>
      </c>
    </row>
    <row r="1534" spans="1:2" x14ac:dyDescent="0.25">
      <c r="A1534" s="2">
        <v>41849</v>
      </c>
      <c r="B1534">
        <v>133.05000000000001</v>
      </c>
    </row>
    <row r="1535" spans="1:2" x14ac:dyDescent="0.25">
      <c r="A1535" s="2">
        <v>41850</v>
      </c>
      <c r="B1535">
        <v>133.36000000000001</v>
      </c>
    </row>
    <row r="1536" spans="1:2" x14ac:dyDescent="0.25">
      <c r="A1536" s="2">
        <v>41851</v>
      </c>
      <c r="B1536">
        <v>130.91</v>
      </c>
    </row>
    <row r="1537" spans="1:2" x14ac:dyDescent="0.25">
      <c r="A1537" s="2">
        <v>41852</v>
      </c>
      <c r="B1537">
        <v>130.38</v>
      </c>
    </row>
    <row r="1538" spans="1:2" x14ac:dyDescent="0.25">
      <c r="A1538" s="2">
        <v>41853</v>
      </c>
      <c r="B1538">
        <v>130.38</v>
      </c>
    </row>
    <row r="1539" spans="1:2" x14ac:dyDescent="0.25">
      <c r="A1539" s="2">
        <v>41854</v>
      </c>
      <c r="B1539">
        <v>130.38</v>
      </c>
    </row>
    <row r="1540" spans="1:2" x14ac:dyDescent="0.25">
      <c r="A1540" s="2">
        <v>41855</v>
      </c>
      <c r="B1540">
        <v>131.05000000000001</v>
      </c>
    </row>
    <row r="1541" spans="1:2" x14ac:dyDescent="0.25">
      <c r="A1541" s="2">
        <v>41856</v>
      </c>
      <c r="B1541">
        <v>130.16999999999999</v>
      </c>
    </row>
    <row r="1542" spans="1:2" x14ac:dyDescent="0.25">
      <c r="A1542" s="2">
        <v>41857</v>
      </c>
      <c r="B1542">
        <v>130.57</v>
      </c>
    </row>
    <row r="1543" spans="1:2" x14ac:dyDescent="0.25">
      <c r="A1543" s="2">
        <v>41858</v>
      </c>
      <c r="B1543">
        <v>129.65</v>
      </c>
    </row>
    <row r="1544" spans="1:2" x14ac:dyDescent="0.25">
      <c r="A1544" s="2">
        <v>41859</v>
      </c>
      <c r="B1544">
        <v>130.94999999999999</v>
      </c>
    </row>
    <row r="1545" spans="1:2" x14ac:dyDescent="0.25">
      <c r="A1545" s="2">
        <v>41860</v>
      </c>
      <c r="B1545">
        <v>130.94999999999999</v>
      </c>
    </row>
    <row r="1546" spans="1:2" x14ac:dyDescent="0.25">
      <c r="A1546" s="2">
        <v>41861</v>
      </c>
      <c r="B1546">
        <v>130.94999999999999</v>
      </c>
    </row>
    <row r="1547" spans="1:2" x14ac:dyDescent="0.25">
      <c r="A1547" s="2">
        <v>41862</v>
      </c>
      <c r="B1547">
        <v>131.35</v>
      </c>
    </row>
    <row r="1548" spans="1:2" x14ac:dyDescent="0.25">
      <c r="A1548" s="2">
        <v>41863</v>
      </c>
      <c r="B1548">
        <v>131.54</v>
      </c>
    </row>
    <row r="1549" spans="1:2" x14ac:dyDescent="0.25">
      <c r="A1549" s="2">
        <v>41864</v>
      </c>
      <c r="B1549">
        <v>132.31</v>
      </c>
    </row>
    <row r="1550" spans="1:2" x14ac:dyDescent="0.25">
      <c r="A1550" s="2">
        <v>41865</v>
      </c>
      <c r="B1550">
        <v>132.76</v>
      </c>
    </row>
    <row r="1551" spans="1:2" x14ac:dyDescent="0.25">
      <c r="A1551" s="2">
        <v>41866</v>
      </c>
      <c r="B1551">
        <v>132.62</v>
      </c>
    </row>
    <row r="1552" spans="1:2" x14ac:dyDescent="0.25">
      <c r="A1552" s="2">
        <v>41867</v>
      </c>
      <c r="B1552">
        <v>132.62</v>
      </c>
    </row>
    <row r="1553" spans="1:2" x14ac:dyDescent="0.25">
      <c r="A1553" s="2">
        <v>41868</v>
      </c>
      <c r="B1553">
        <v>132.62</v>
      </c>
    </row>
    <row r="1554" spans="1:2" x14ac:dyDescent="0.25">
      <c r="A1554" s="2">
        <v>41869</v>
      </c>
      <c r="B1554">
        <v>133.80000000000001</v>
      </c>
    </row>
    <row r="1555" spans="1:2" x14ac:dyDescent="0.25">
      <c r="A1555" s="2">
        <v>41870</v>
      </c>
      <c r="B1555">
        <v>134.78</v>
      </c>
    </row>
    <row r="1556" spans="1:2" x14ac:dyDescent="0.25">
      <c r="A1556" s="2">
        <v>41871</v>
      </c>
      <c r="B1556">
        <v>135.84</v>
      </c>
    </row>
    <row r="1557" spans="1:2" x14ac:dyDescent="0.25">
      <c r="A1557" s="2">
        <v>41872</v>
      </c>
      <c r="B1557">
        <v>136.47</v>
      </c>
    </row>
    <row r="1558" spans="1:2" x14ac:dyDescent="0.25">
      <c r="A1558" s="2">
        <v>41873</v>
      </c>
      <c r="B1558">
        <v>136.16</v>
      </c>
    </row>
    <row r="1559" spans="1:2" x14ac:dyDescent="0.25">
      <c r="A1559" s="2">
        <v>41874</v>
      </c>
      <c r="B1559">
        <v>136.16</v>
      </c>
    </row>
    <row r="1560" spans="1:2" x14ac:dyDescent="0.25">
      <c r="A1560" s="2">
        <v>41875</v>
      </c>
      <c r="B1560">
        <v>136.16</v>
      </c>
    </row>
    <row r="1561" spans="1:2" x14ac:dyDescent="0.25">
      <c r="A1561" s="2">
        <v>41876</v>
      </c>
      <c r="B1561">
        <v>137.54</v>
      </c>
    </row>
    <row r="1562" spans="1:2" x14ac:dyDescent="0.25">
      <c r="A1562" s="2">
        <v>41877</v>
      </c>
      <c r="B1562">
        <v>137.72999999999999</v>
      </c>
    </row>
    <row r="1563" spans="1:2" x14ac:dyDescent="0.25">
      <c r="A1563" s="2">
        <v>41878</v>
      </c>
      <c r="B1563">
        <v>137.91999999999999</v>
      </c>
    </row>
    <row r="1564" spans="1:2" x14ac:dyDescent="0.25">
      <c r="A1564" s="2">
        <v>41879</v>
      </c>
      <c r="B1564">
        <v>137.69999999999999</v>
      </c>
    </row>
    <row r="1565" spans="1:2" x14ac:dyDescent="0.25">
      <c r="A1565" s="2">
        <v>41880</v>
      </c>
      <c r="B1565">
        <v>138.06</v>
      </c>
    </row>
    <row r="1566" spans="1:2" x14ac:dyDescent="0.25">
      <c r="A1566" s="2">
        <v>41881</v>
      </c>
      <c r="B1566">
        <v>138.06</v>
      </c>
    </row>
    <row r="1567" spans="1:2" x14ac:dyDescent="0.25">
      <c r="A1567" s="2">
        <v>41882</v>
      </c>
      <c r="B1567">
        <v>138.06</v>
      </c>
    </row>
    <row r="1568" spans="1:2" x14ac:dyDescent="0.25">
      <c r="A1568" s="2">
        <v>41883</v>
      </c>
      <c r="B1568">
        <v>138.63999999999999</v>
      </c>
    </row>
    <row r="1569" spans="1:2" x14ac:dyDescent="0.25">
      <c r="A1569" s="2">
        <v>41884</v>
      </c>
      <c r="B1569">
        <v>138.76</v>
      </c>
    </row>
    <row r="1570" spans="1:2" x14ac:dyDescent="0.25">
      <c r="A1570" s="2">
        <v>41885</v>
      </c>
      <c r="B1570">
        <v>138.29</v>
      </c>
    </row>
    <row r="1571" spans="1:2" x14ac:dyDescent="0.25">
      <c r="A1571" s="2">
        <v>41886</v>
      </c>
      <c r="B1571">
        <v>139.52000000000001</v>
      </c>
    </row>
    <row r="1572" spans="1:2" x14ac:dyDescent="0.25">
      <c r="A1572" s="2">
        <v>41887</v>
      </c>
      <c r="B1572">
        <v>140.96</v>
      </c>
    </row>
    <row r="1573" spans="1:2" x14ac:dyDescent="0.25">
      <c r="A1573" s="2">
        <v>41888</v>
      </c>
      <c r="B1573">
        <v>140.96</v>
      </c>
    </row>
    <row r="1574" spans="1:2" x14ac:dyDescent="0.25">
      <c r="A1574" s="2">
        <v>41889</v>
      </c>
      <c r="B1574">
        <v>140.96</v>
      </c>
    </row>
    <row r="1575" spans="1:2" x14ac:dyDescent="0.25">
      <c r="A1575" s="2">
        <v>41890</v>
      </c>
      <c r="B1575">
        <v>140.56</v>
      </c>
    </row>
    <row r="1576" spans="1:2" x14ac:dyDescent="0.25">
      <c r="A1576" s="2">
        <v>41891</v>
      </c>
      <c r="B1576">
        <v>140.13</v>
      </c>
    </row>
    <row r="1577" spans="1:2" x14ac:dyDescent="0.25">
      <c r="A1577" s="2">
        <v>41892</v>
      </c>
      <c r="B1577">
        <v>140.35</v>
      </c>
    </row>
    <row r="1578" spans="1:2" x14ac:dyDescent="0.25">
      <c r="A1578" s="2">
        <v>41893</v>
      </c>
      <c r="B1578">
        <v>140.52000000000001</v>
      </c>
    </row>
    <row r="1579" spans="1:2" x14ac:dyDescent="0.25">
      <c r="A1579" s="2">
        <v>41894</v>
      </c>
      <c r="B1579">
        <v>139.65</v>
      </c>
    </row>
    <row r="1580" spans="1:2" x14ac:dyDescent="0.25">
      <c r="A1580" s="2">
        <v>41895</v>
      </c>
      <c r="B1580">
        <v>139.65</v>
      </c>
    </row>
    <row r="1581" spans="1:2" x14ac:dyDescent="0.25">
      <c r="A1581" s="2">
        <v>41896</v>
      </c>
      <c r="B1581">
        <v>139.65</v>
      </c>
    </row>
    <row r="1582" spans="1:2" x14ac:dyDescent="0.25">
      <c r="A1582" s="2">
        <v>41897</v>
      </c>
      <c r="B1582">
        <v>139.77000000000001</v>
      </c>
    </row>
    <row r="1583" spans="1:2" x14ac:dyDescent="0.25">
      <c r="A1583" s="2">
        <v>41898</v>
      </c>
      <c r="B1583">
        <v>140.4</v>
      </c>
    </row>
    <row r="1584" spans="1:2" x14ac:dyDescent="0.25">
      <c r="A1584" s="2">
        <v>41899</v>
      </c>
      <c r="B1584">
        <v>140.51</v>
      </c>
    </row>
    <row r="1585" spans="1:2" x14ac:dyDescent="0.25">
      <c r="A1585" s="2">
        <v>41900</v>
      </c>
      <c r="B1585">
        <v>142.13999999999999</v>
      </c>
    </row>
    <row r="1586" spans="1:2" x14ac:dyDescent="0.25">
      <c r="A1586" s="2">
        <v>41901</v>
      </c>
      <c r="B1586">
        <v>142.29</v>
      </c>
    </row>
    <row r="1587" spans="1:2" x14ac:dyDescent="0.25">
      <c r="A1587" s="2">
        <v>41902</v>
      </c>
      <c r="B1587">
        <v>142.29</v>
      </c>
    </row>
    <row r="1588" spans="1:2" x14ac:dyDescent="0.25">
      <c r="A1588" s="2">
        <v>41903</v>
      </c>
      <c r="B1588">
        <v>142.29</v>
      </c>
    </row>
    <row r="1589" spans="1:2" x14ac:dyDescent="0.25">
      <c r="A1589" s="2">
        <v>41904</v>
      </c>
      <c r="B1589">
        <v>141.22999999999999</v>
      </c>
    </row>
    <row r="1590" spans="1:2" x14ac:dyDescent="0.25">
      <c r="A1590" s="2">
        <v>41905</v>
      </c>
      <c r="B1590">
        <v>139.91</v>
      </c>
    </row>
    <row r="1591" spans="1:2" x14ac:dyDescent="0.25">
      <c r="A1591" s="2">
        <v>41906</v>
      </c>
      <c r="B1591">
        <v>141.74</v>
      </c>
    </row>
    <row r="1592" spans="1:2" x14ac:dyDescent="0.25">
      <c r="A1592" s="2">
        <v>41907</v>
      </c>
      <c r="B1592">
        <v>140.69</v>
      </c>
    </row>
    <row r="1593" spans="1:2" x14ac:dyDescent="0.25">
      <c r="A1593" s="2">
        <v>41908</v>
      </c>
      <c r="B1593">
        <v>141.69999999999999</v>
      </c>
    </row>
    <row r="1594" spans="1:2" x14ac:dyDescent="0.25">
      <c r="A1594" s="2">
        <v>41909</v>
      </c>
      <c r="B1594">
        <v>141.69999999999999</v>
      </c>
    </row>
    <row r="1595" spans="1:2" x14ac:dyDescent="0.25">
      <c r="A1595" s="2">
        <v>41910</v>
      </c>
      <c r="B1595">
        <v>141.69999999999999</v>
      </c>
    </row>
    <row r="1596" spans="1:2" x14ac:dyDescent="0.25">
      <c r="A1596" s="2">
        <v>41911</v>
      </c>
      <c r="B1596">
        <v>141.69</v>
      </c>
    </row>
    <row r="1597" spans="1:2" x14ac:dyDescent="0.25">
      <c r="A1597" s="2">
        <v>41912</v>
      </c>
      <c r="B1597">
        <v>142.63</v>
      </c>
    </row>
    <row r="1598" spans="1:2" x14ac:dyDescent="0.25">
      <c r="A1598" s="2">
        <v>41913</v>
      </c>
      <c r="B1598">
        <v>140.53</v>
      </c>
    </row>
    <row r="1599" spans="1:2" x14ac:dyDescent="0.25">
      <c r="A1599" s="2">
        <v>41914</v>
      </c>
      <c r="B1599">
        <v>140.22999999999999</v>
      </c>
    </row>
    <row r="1600" spans="1:2" x14ac:dyDescent="0.25">
      <c r="A1600" s="2">
        <v>41915</v>
      </c>
      <c r="B1600">
        <v>141.96</v>
      </c>
    </row>
    <row r="1601" spans="1:2" x14ac:dyDescent="0.25">
      <c r="A1601" s="2">
        <v>41916</v>
      </c>
      <c r="B1601">
        <v>141.96</v>
      </c>
    </row>
    <row r="1602" spans="1:2" x14ac:dyDescent="0.25">
      <c r="A1602" s="2">
        <v>41917</v>
      </c>
      <c r="B1602">
        <v>141.96</v>
      </c>
    </row>
    <row r="1603" spans="1:2" x14ac:dyDescent="0.25">
      <c r="A1603" s="2">
        <v>41918</v>
      </c>
      <c r="B1603">
        <v>142.32</v>
      </c>
    </row>
    <row r="1604" spans="1:2" x14ac:dyDescent="0.25">
      <c r="A1604" s="2">
        <v>41919</v>
      </c>
      <c r="B1604">
        <v>139.69</v>
      </c>
    </row>
    <row r="1605" spans="1:2" x14ac:dyDescent="0.25">
      <c r="A1605" s="2">
        <v>41920</v>
      </c>
      <c r="B1605">
        <v>141.75</v>
      </c>
    </row>
    <row r="1606" spans="1:2" x14ac:dyDescent="0.25">
      <c r="A1606" s="2">
        <v>41921</v>
      </c>
      <c r="B1606">
        <v>137.54</v>
      </c>
    </row>
    <row r="1607" spans="1:2" x14ac:dyDescent="0.25">
      <c r="A1607" s="2">
        <v>41922</v>
      </c>
      <c r="B1607">
        <v>137.32</v>
      </c>
    </row>
    <row r="1608" spans="1:2" x14ac:dyDescent="0.25">
      <c r="A1608" s="2">
        <v>41923</v>
      </c>
      <c r="B1608">
        <v>137.32</v>
      </c>
    </row>
    <row r="1609" spans="1:2" x14ac:dyDescent="0.25">
      <c r="A1609" s="2">
        <v>41924</v>
      </c>
      <c r="B1609">
        <v>137.32</v>
      </c>
    </row>
    <row r="1610" spans="1:2" x14ac:dyDescent="0.25">
      <c r="A1610" s="2">
        <v>41925</v>
      </c>
      <c r="B1610">
        <v>134.62</v>
      </c>
    </row>
    <row r="1611" spans="1:2" x14ac:dyDescent="0.25">
      <c r="A1611" s="2">
        <v>41926</v>
      </c>
      <c r="B1611">
        <v>135.19</v>
      </c>
    </row>
    <row r="1612" spans="1:2" x14ac:dyDescent="0.25">
      <c r="A1612" s="2">
        <v>41927</v>
      </c>
      <c r="B1612">
        <v>133.88999999999999</v>
      </c>
    </row>
    <row r="1613" spans="1:2" x14ac:dyDescent="0.25">
      <c r="A1613" s="2">
        <v>41928</v>
      </c>
      <c r="B1613">
        <v>133.05000000000001</v>
      </c>
    </row>
    <row r="1614" spans="1:2" x14ac:dyDescent="0.25">
      <c r="A1614" s="2">
        <v>41929</v>
      </c>
      <c r="B1614">
        <v>133.99</v>
      </c>
    </row>
    <row r="1615" spans="1:2" x14ac:dyDescent="0.25">
      <c r="A1615" s="2">
        <v>41930</v>
      </c>
      <c r="B1615">
        <v>133.99</v>
      </c>
    </row>
    <row r="1616" spans="1:2" x14ac:dyDescent="0.25">
      <c r="A1616" s="2">
        <v>41931</v>
      </c>
      <c r="B1616">
        <v>133.99</v>
      </c>
    </row>
    <row r="1617" spans="1:2" x14ac:dyDescent="0.25">
      <c r="A1617" s="2">
        <v>41932</v>
      </c>
      <c r="B1617">
        <v>135.74</v>
      </c>
    </row>
    <row r="1618" spans="1:2" x14ac:dyDescent="0.25">
      <c r="A1618" s="2">
        <v>41933</v>
      </c>
      <c r="B1618">
        <v>138.52000000000001</v>
      </c>
    </row>
    <row r="1619" spans="1:2" x14ac:dyDescent="0.25">
      <c r="A1619" s="2">
        <v>41934</v>
      </c>
      <c r="B1619">
        <v>138.27000000000001</v>
      </c>
    </row>
    <row r="1620" spans="1:2" x14ac:dyDescent="0.25">
      <c r="A1620" s="2">
        <v>41935</v>
      </c>
      <c r="B1620">
        <v>140.22999999999999</v>
      </c>
    </row>
    <row r="1621" spans="1:2" x14ac:dyDescent="0.25">
      <c r="A1621" s="2">
        <v>41936</v>
      </c>
      <c r="B1621">
        <v>141.33000000000001</v>
      </c>
    </row>
    <row r="1622" spans="1:2" x14ac:dyDescent="0.25">
      <c r="A1622" s="2">
        <v>41937</v>
      </c>
      <c r="B1622">
        <v>141.33000000000001</v>
      </c>
    </row>
    <row r="1623" spans="1:2" x14ac:dyDescent="0.25">
      <c r="A1623" s="2">
        <v>41938</v>
      </c>
      <c r="B1623">
        <v>141.33000000000001</v>
      </c>
    </row>
    <row r="1624" spans="1:2" x14ac:dyDescent="0.25">
      <c r="A1624" s="2">
        <v>41939</v>
      </c>
      <c r="B1624">
        <v>140.9</v>
      </c>
    </row>
    <row r="1625" spans="1:2" x14ac:dyDescent="0.25">
      <c r="A1625" s="2">
        <v>41940</v>
      </c>
      <c r="B1625">
        <v>141.81</v>
      </c>
    </row>
    <row r="1626" spans="1:2" x14ac:dyDescent="0.25">
      <c r="A1626" s="2">
        <v>41941</v>
      </c>
      <c r="B1626">
        <v>141.74</v>
      </c>
    </row>
    <row r="1627" spans="1:2" x14ac:dyDescent="0.25">
      <c r="A1627" s="2">
        <v>41942</v>
      </c>
      <c r="B1627">
        <v>144.21</v>
      </c>
    </row>
    <row r="1628" spans="1:2" x14ac:dyDescent="0.25">
      <c r="A1628" s="2">
        <v>41943</v>
      </c>
      <c r="B1628">
        <v>146.77000000000001</v>
      </c>
    </row>
    <row r="1629" spans="1:2" x14ac:dyDescent="0.25">
      <c r="A1629" s="2">
        <v>41944</v>
      </c>
      <c r="B1629">
        <v>146.77000000000001</v>
      </c>
    </row>
    <row r="1630" spans="1:2" x14ac:dyDescent="0.25">
      <c r="A1630" s="2">
        <v>41945</v>
      </c>
      <c r="B1630">
        <v>146.77000000000001</v>
      </c>
    </row>
    <row r="1631" spans="1:2" x14ac:dyDescent="0.25">
      <c r="A1631" s="2">
        <v>41946</v>
      </c>
      <c r="B1631">
        <v>147.11000000000001</v>
      </c>
    </row>
    <row r="1632" spans="1:2" x14ac:dyDescent="0.25">
      <c r="A1632" s="2">
        <v>41947</v>
      </c>
      <c r="B1632">
        <v>146.44999999999999</v>
      </c>
    </row>
    <row r="1633" spans="1:2" x14ac:dyDescent="0.25">
      <c r="A1633" s="2">
        <v>41948</v>
      </c>
      <c r="B1633">
        <v>147.72999999999999</v>
      </c>
    </row>
    <row r="1634" spans="1:2" x14ac:dyDescent="0.25">
      <c r="A1634" s="2">
        <v>41949</v>
      </c>
      <c r="B1634">
        <v>147.88999999999999</v>
      </c>
    </row>
    <row r="1635" spans="1:2" x14ac:dyDescent="0.25">
      <c r="A1635" s="2">
        <v>41950</v>
      </c>
      <c r="B1635">
        <v>149.44</v>
      </c>
    </row>
    <row r="1636" spans="1:2" x14ac:dyDescent="0.25">
      <c r="A1636" s="2">
        <v>41951</v>
      </c>
      <c r="B1636">
        <v>149.44</v>
      </c>
    </row>
    <row r="1637" spans="1:2" x14ac:dyDescent="0.25">
      <c r="A1637" s="2">
        <v>41952</v>
      </c>
      <c r="B1637">
        <v>149.44</v>
      </c>
    </row>
    <row r="1638" spans="1:2" x14ac:dyDescent="0.25">
      <c r="A1638" s="2">
        <v>41953</v>
      </c>
      <c r="B1638">
        <v>148.80000000000001</v>
      </c>
    </row>
    <row r="1639" spans="1:2" x14ac:dyDescent="0.25">
      <c r="A1639" s="2">
        <v>41954</v>
      </c>
      <c r="B1639">
        <v>149.65</v>
      </c>
    </row>
    <row r="1640" spans="1:2" x14ac:dyDescent="0.25">
      <c r="A1640" s="2">
        <v>41955</v>
      </c>
      <c r="B1640">
        <v>149.06</v>
      </c>
    </row>
    <row r="1641" spans="1:2" x14ac:dyDescent="0.25">
      <c r="A1641" s="2">
        <v>41956</v>
      </c>
      <c r="B1641">
        <v>149.28</v>
      </c>
    </row>
    <row r="1642" spans="1:2" x14ac:dyDescent="0.25">
      <c r="A1642" s="2">
        <v>41957</v>
      </c>
      <c r="B1642">
        <v>149.57</v>
      </c>
    </row>
    <row r="1643" spans="1:2" x14ac:dyDescent="0.25">
      <c r="A1643" s="2">
        <v>41958</v>
      </c>
      <c r="B1643">
        <v>149.57</v>
      </c>
    </row>
    <row r="1644" spans="1:2" x14ac:dyDescent="0.25">
      <c r="A1644" s="2">
        <v>41959</v>
      </c>
      <c r="B1644">
        <v>149.57</v>
      </c>
    </row>
    <row r="1645" spans="1:2" x14ac:dyDescent="0.25">
      <c r="A1645" s="2">
        <v>41960</v>
      </c>
      <c r="B1645">
        <v>148.97</v>
      </c>
    </row>
    <row r="1646" spans="1:2" x14ac:dyDescent="0.25">
      <c r="A1646" s="2">
        <v>41961</v>
      </c>
      <c r="B1646">
        <v>149.54</v>
      </c>
    </row>
    <row r="1647" spans="1:2" x14ac:dyDescent="0.25">
      <c r="A1647" s="2">
        <v>41962</v>
      </c>
      <c r="B1647">
        <v>149.08000000000001</v>
      </c>
    </row>
    <row r="1648" spans="1:2" x14ac:dyDescent="0.25">
      <c r="A1648" s="2">
        <v>41963</v>
      </c>
      <c r="B1648">
        <v>149.33000000000001</v>
      </c>
    </row>
    <row r="1649" spans="1:2" x14ac:dyDescent="0.25">
      <c r="A1649" s="2">
        <v>41964</v>
      </c>
      <c r="B1649">
        <v>151.54</v>
      </c>
    </row>
    <row r="1650" spans="1:2" x14ac:dyDescent="0.25">
      <c r="A1650" s="2">
        <v>41965</v>
      </c>
      <c r="B1650">
        <v>151.54</v>
      </c>
    </row>
    <row r="1651" spans="1:2" x14ac:dyDescent="0.25">
      <c r="A1651" s="2">
        <v>41966</v>
      </c>
      <c r="B1651">
        <v>151.54</v>
      </c>
    </row>
    <row r="1652" spans="1:2" x14ac:dyDescent="0.25">
      <c r="A1652" s="2">
        <v>41967</v>
      </c>
      <c r="B1652">
        <v>152.12</v>
      </c>
    </row>
    <row r="1653" spans="1:2" x14ac:dyDescent="0.25">
      <c r="A1653" s="2">
        <v>41968</v>
      </c>
      <c r="B1653">
        <v>151.79</v>
      </c>
    </row>
    <row r="1654" spans="1:2" x14ac:dyDescent="0.25">
      <c r="A1654" s="2">
        <v>41969</v>
      </c>
      <c r="B1654">
        <v>151.62</v>
      </c>
    </row>
    <row r="1655" spans="1:2" x14ac:dyDescent="0.25">
      <c r="A1655" s="2">
        <v>41970</v>
      </c>
      <c r="B1655">
        <v>151.55000000000001</v>
      </c>
    </row>
    <row r="1656" spans="1:2" x14ac:dyDescent="0.25">
      <c r="A1656" s="2">
        <v>41971</v>
      </c>
      <c r="B1656">
        <v>151.13999999999999</v>
      </c>
    </row>
    <row r="1657" spans="1:2" x14ac:dyDescent="0.25">
      <c r="A1657" s="2">
        <v>41972</v>
      </c>
      <c r="B1657">
        <v>151.13999999999999</v>
      </c>
    </row>
    <row r="1658" spans="1:2" x14ac:dyDescent="0.25">
      <c r="A1658" s="2">
        <v>41973</v>
      </c>
      <c r="B1658">
        <v>151.13999999999999</v>
      </c>
    </row>
    <row r="1659" spans="1:2" x14ac:dyDescent="0.25">
      <c r="A1659" s="2">
        <v>41974</v>
      </c>
      <c r="B1659">
        <v>150.28</v>
      </c>
    </row>
    <row r="1660" spans="1:2" x14ac:dyDescent="0.25">
      <c r="A1660" s="2">
        <v>41975</v>
      </c>
      <c r="B1660">
        <v>151.79</v>
      </c>
    </row>
    <row r="1661" spans="1:2" x14ac:dyDescent="0.25">
      <c r="A1661" s="2">
        <v>41976</v>
      </c>
      <c r="B1661">
        <v>153.55000000000001</v>
      </c>
    </row>
    <row r="1662" spans="1:2" x14ac:dyDescent="0.25">
      <c r="A1662" s="2">
        <v>41977</v>
      </c>
      <c r="B1662">
        <v>153.62</v>
      </c>
    </row>
    <row r="1663" spans="1:2" x14ac:dyDescent="0.25">
      <c r="A1663" s="2">
        <v>41978</v>
      </c>
      <c r="B1663">
        <v>153.24</v>
      </c>
    </row>
    <row r="1664" spans="1:2" x14ac:dyDescent="0.25">
      <c r="A1664" s="2">
        <v>41979</v>
      </c>
      <c r="B1664">
        <v>153.24</v>
      </c>
    </row>
    <row r="1665" spans="1:2" x14ac:dyDescent="0.25">
      <c r="A1665" s="2">
        <v>41980</v>
      </c>
      <c r="B1665">
        <v>153.24</v>
      </c>
    </row>
    <row r="1666" spans="1:2" x14ac:dyDescent="0.25">
      <c r="A1666" s="2">
        <v>41981</v>
      </c>
      <c r="B1666">
        <v>153.43</v>
      </c>
    </row>
    <row r="1667" spans="1:2" x14ac:dyDescent="0.25">
      <c r="A1667" s="2">
        <v>41982</v>
      </c>
      <c r="B1667">
        <v>152.03</v>
      </c>
    </row>
    <row r="1668" spans="1:2" x14ac:dyDescent="0.25">
      <c r="A1668" s="2">
        <v>41983</v>
      </c>
      <c r="B1668">
        <v>149.27000000000001</v>
      </c>
    </row>
    <row r="1669" spans="1:2" x14ac:dyDescent="0.25">
      <c r="A1669" s="2">
        <v>41984</v>
      </c>
      <c r="B1669">
        <v>149.55000000000001</v>
      </c>
    </row>
    <row r="1670" spans="1:2" x14ac:dyDescent="0.25">
      <c r="A1670" s="2">
        <v>41985</v>
      </c>
      <c r="B1670">
        <v>146.87</v>
      </c>
    </row>
    <row r="1671" spans="1:2" x14ac:dyDescent="0.25">
      <c r="A1671" s="2">
        <v>41986</v>
      </c>
      <c r="B1671">
        <v>146.87</v>
      </c>
    </row>
    <row r="1672" spans="1:2" x14ac:dyDescent="0.25">
      <c r="A1672" s="2">
        <v>41987</v>
      </c>
      <c r="B1672">
        <v>146.87</v>
      </c>
    </row>
    <row r="1673" spans="1:2" x14ac:dyDescent="0.25">
      <c r="A1673" s="2">
        <v>41988</v>
      </c>
      <c r="B1673">
        <v>146.22</v>
      </c>
    </row>
    <row r="1674" spans="1:2" x14ac:dyDescent="0.25">
      <c r="A1674" s="2">
        <v>41989</v>
      </c>
      <c r="B1674">
        <v>143.69</v>
      </c>
    </row>
    <row r="1675" spans="1:2" x14ac:dyDescent="0.25">
      <c r="A1675" s="2">
        <v>41990</v>
      </c>
      <c r="B1675">
        <v>147.68</v>
      </c>
    </row>
    <row r="1676" spans="1:2" x14ac:dyDescent="0.25">
      <c r="A1676" s="2">
        <v>41991</v>
      </c>
      <c r="B1676">
        <v>153.25</v>
      </c>
    </row>
    <row r="1677" spans="1:2" x14ac:dyDescent="0.25">
      <c r="A1677" s="2">
        <v>41992</v>
      </c>
      <c r="B1677">
        <v>154.02000000000001</v>
      </c>
    </row>
    <row r="1678" spans="1:2" x14ac:dyDescent="0.25">
      <c r="A1678" s="2">
        <v>41993</v>
      </c>
      <c r="B1678">
        <v>154.02000000000001</v>
      </c>
    </row>
    <row r="1679" spans="1:2" x14ac:dyDescent="0.25">
      <c r="A1679" s="2">
        <v>41994</v>
      </c>
      <c r="B1679">
        <v>154.02000000000001</v>
      </c>
    </row>
    <row r="1680" spans="1:2" x14ac:dyDescent="0.25">
      <c r="A1680" s="2">
        <v>41995</v>
      </c>
      <c r="B1680">
        <v>154.88</v>
      </c>
    </row>
    <row r="1681" spans="1:2" x14ac:dyDescent="0.25">
      <c r="A1681" s="2">
        <v>41996</v>
      </c>
      <c r="B1681">
        <v>155.74</v>
      </c>
    </row>
    <row r="1682" spans="1:2" x14ac:dyDescent="0.25">
      <c r="A1682" s="2">
        <v>41997</v>
      </c>
      <c r="B1682">
        <v>155.65</v>
      </c>
    </row>
    <row r="1683" spans="1:2" x14ac:dyDescent="0.25">
      <c r="A1683" s="2">
        <v>41998</v>
      </c>
      <c r="B1683">
        <v>156.22999999999999</v>
      </c>
    </row>
    <row r="1684" spans="1:2" x14ac:dyDescent="0.25">
      <c r="A1684" s="2">
        <v>41999</v>
      </c>
      <c r="B1684">
        <v>156.22999999999999</v>
      </c>
    </row>
    <row r="1685" spans="1:2" x14ac:dyDescent="0.25">
      <c r="A1685" s="2">
        <v>42000</v>
      </c>
      <c r="B1685">
        <v>156.22999999999999</v>
      </c>
    </row>
    <row r="1686" spans="1:2" x14ac:dyDescent="0.25">
      <c r="A1686" s="2">
        <v>42001</v>
      </c>
      <c r="B1686">
        <v>156.22999999999999</v>
      </c>
    </row>
    <row r="1687" spans="1:2" x14ac:dyDescent="0.25">
      <c r="A1687" s="2">
        <v>42002</v>
      </c>
      <c r="B1687">
        <v>156.6</v>
      </c>
    </row>
    <row r="1688" spans="1:2" x14ac:dyDescent="0.25">
      <c r="A1688" s="2">
        <v>42003</v>
      </c>
      <c r="B1688">
        <v>156.32</v>
      </c>
    </row>
    <row r="1689" spans="1:2" x14ac:dyDescent="0.25">
      <c r="A1689" s="2">
        <v>42004</v>
      </c>
      <c r="B1689">
        <v>154.94999999999999</v>
      </c>
    </row>
    <row r="1690" spans="1:2" x14ac:dyDescent="0.25">
      <c r="A1690" s="2">
        <v>42005</v>
      </c>
      <c r="B1690">
        <v>154.94999999999999</v>
      </c>
    </row>
    <row r="1691" spans="1:2" x14ac:dyDescent="0.25">
      <c r="A1691" s="2">
        <v>42006</v>
      </c>
      <c r="B1691">
        <v>156.18</v>
      </c>
    </row>
    <row r="1692" spans="1:2" x14ac:dyDescent="0.25">
      <c r="A1692" s="2">
        <v>42007</v>
      </c>
      <c r="B1692">
        <v>156.18</v>
      </c>
    </row>
    <row r="1693" spans="1:2" x14ac:dyDescent="0.25">
      <c r="A1693" s="2">
        <v>42008</v>
      </c>
      <c r="B1693">
        <v>156.18</v>
      </c>
    </row>
    <row r="1694" spans="1:2" x14ac:dyDescent="0.25">
      <c r="A1694" s="2">
        <v>42009</v>
      </c>
      <c r="B1694">
        <v>154.97999999999999</v>
      </c>
    </row>
    <row r="1695" spans="1:2" x14ac:dyDescent="0.25">
      <c r="A1695" s="2">
        <v>42010</v>
      </c>
      <c r="B1695">
        <v>153.62</v>
      </c>
    </row>
    <row r="1696" spans="1:2" x14ac:dyDescent="0.25">
      <c r="A1696" s="2">
        <v>42011</v>
      </c>
      <c r="B1696">
        <v>156.53</v>
      </c>
    </row>
    <row r="1697" spans="1:2" x14ac:dyDescent="0.25">
      <c r="A1697" s="2">
        <v>42012</v>
      </c>
      <c r="B1697">
        <v>160.19</v>
      </c>
    </row>
    <row r="1698" spans="1:2" x14ac:dyDescent="0.25">
      <c r="A1698" s="2">
        <v>42013</v>
      </c>
      <c r="B1698">
        <v>158.22999999999999</v>
      </c>
    </row>
    <row r="1699" spans="1:2" x14ac:dyDescent="0.25">
      <c r="A1699" s="2">
        <v>42014</v>
      </c>
      <c r="B1699">
        <v>158.22999999999999</v>
      </c>
    </row>
    <row r="1700" spans="1:2" x14ac:dyDescent="0.25">
      <c r="A1700" s="2">
        <v>42015</v>
      </c>
      <c r="B1700">
        <v>158.22999999999999</v>
      </c>
    </row>
    <row r="1701" spans="1:2" x14ac:dyDescent="0.25">
      <c r="A1701" s="2">
        <v>42016</v>
      </c>
      <c r="B1701">
        <v>157.07</v>
      </c>
    </row>
    <row r="1702" spans="1:2" x14ac:dyDescent="0.25">
      <c r="A1702" s="2">
        <v>42017</v>
      </c>
      <c r="B1702">
        <v>156.97999999999999</v>
      </c>
    </row>
    <row r="1703" spans="1:2" x14ac:dyDescent="0.25">
      <c r="A1703" s="2">
        <v>42018</v>
      </c>
      <c r="B1703">
        <v>156.16</v>
      </c>
    </row>
    <row r="1704" spans="1:2" x14ac:dyDescent="0.25">
      <c r="A1704" s="2">
        <v>42019</v>
      </c>
      <c r="B1704">
        <v>155.6</v>
      </c>
    </row>
    <row r="1705" spans="1:2" x14ac:dyDescent="0.25">
      <c r="A1705" s="2">
        <v>42020</v>
      </c>
      <c r="B1705">
        <v>159.32</v>
      </c>
    </row>
    <row r="1706" spans="1:2" x14ac:dyDescent="0.25">
      <c r="A1706" s="2">
        <v>42021</v>
      </c>
      <c r="B1706">
        <v>159.32</v>
      </c>
    </row>
    <row r="1707" spans="1:2" x14ac:dyDescent="0.25">
      <c r="A1707" s="2">
        <v>42022</v>
      </c>
      <c r="B1707">
        <v>159.32</v>
      </c>
    </row>
    <row r="1708" spans="1:2" x14ac:dyDescent="0.25">
      <c r="A1708" s="2">
        <v>42023</v>
      </c>
      <c r="B1708">
        <v>159.09</v>
      </c>
    </row>
    <row r="1709" spans="1:2" x14ac:dyDescent="0.25">
      <c r="A1709" s="2">
        <v>42024</v>
      </c>
      <c r="B1709">
        <v>159.69</v>
      </c>
    </row>
    <row r="1710" spans="1:2" x14ac:dyDescent="0.25">
      <c r="A1710" s="2">
        <v>42025</v>
      </c>
      <c r="B1710">
        <v>160.28</v>
      </c>
    </row>
    <row r="1711" spans="1:2" x14ac:dyDescent="0.25">
      <c r="A1711" s="2">
        <v>42026</v>
      </c>
      <c r="B1711">
        <v>162.37</v>
      </c>
    </row>
    <row r="1712" spans="1:2" x14ac:dyDescent="0.25">
      <c r="A1712" s="2">
        <v>42027</v>
      </c>
      <c r="B1712">
        <v>167.54</v>
      </c>
    </row>
    <row r="1713" spans="1:2" x14ac:dyDescent="0.25">
      <c r="A1713" s="2">
        <v>42028</v>
      </c>
      <c r="B1713">
        <v>167.54</v>
      </c>
    </row>
    <row r="1714" spans="1:2" x14ac:dyDescent="0.25">
      <c r="A1714" s="2">
        <v>42029</v>
      </c>
      <c r="B1714">
        <v>167.54</v>
      </c>
    </row>
    <row r="1715" spans="1:2" x14ac:dyDescent="0.25">
      <c r="A1715" s="2">
        <v>42030</v>
      </c>
      <c r="B1715">
        <v>167.28</v>
      </c>
    </row>
    <row r="1716" spans="1:2" x14ac:dyDescent="0.25">
      <c r="A1716" s="2">
        <v>42031</v>
      </c>
      <c r="B1716">
        <v>164.14</v>
      </c>
    </row>
    <row r="1717" spans="1:2" x14ac:dyDescent="0.25">
      <c r="A1717" s="2">
        <v>42032</v>
      </c>
      <c r="B1717">
        <v>161.38999999999999</v>
      </c>
    </row>
    <row r="1718" spans="1:2" x14ac:dyDescent="0.25">
      <c r="A1718" s="2">
        <v>42033</v>
      </c>
      <c r="B1718">
        <v>163.36000000000001</v>
      </c>
    </row>
    <row r="1719" spans="1:2" x14ac:dyDescent="0.25">
      <c r="A1719" s="2">
        <v>42034</v>
      </c>
      <c r="B1719">
        <v>161.38</v>
      </c>
    </row>
    <row r="1720" spans="1:2" x14ac:dyDescent="0.25">
      <c r="A1720" s="2">
        <v>42035</v>
      </c>
      <c r="B1720">
        <v>161.38</v>
      </c>
    </row>
    <row r="1721" spans="1:2" x14ac:dyDescent="0.25">
      <c r="A1721" s="2">
        <v>42036</v>
      </c>
      <c r="B1721">
        <v>161.38</v>
      </c>
    </row>
    <row r="1722" spans="1:2" x14ac:dyDescent="0.25">
      <c r="A1722" s="2">
        <v>42037</v>
      </c>
      <c r="B1722">
        <v>163.4</v>
      </c>
    </row>
    <row r="1723" spans="1:2" x14ac:dyDescent="0.25">
      <c r="A1723" s="2">
        <v>42038</v>
      </c>
      <c r="B1723">
        <v>164.8</v>
      </c>
    </row>
    <row r="1724" spans="1:2" x14ac:dyDescent="0.25">
      <c r="A1724" s="2">
        <v>42039</v>
      </c>
      <c r="B1724">
        <v>163.16</v>
      </c>
    </row>
    <row r="1725" spans="1:2" x14ac:dyDescent="0.25">
      <c r="A1725" s="2">
        <v>42040</v>
      </c>
      <c r="B1725">
        <v>165.38</v>
      </c>
    </row>
    <row r="1726" spans="1:2" x14ac:dyDescent="0.25">
      <c r="A1726" s="2">
        <v>42041</v>
      </c>
      <c r="B1726">
        <v>164.32</v>
      </c>
    </row>
    <row r="1727" spans="1:2" x14ac:dyDescent="0.25">
      <c r="A1727" s="2">
        <v>42042</v>
      </c>
      <c r="B1727">
        <v>164.32</v>
      </c>
    </row>
    <row r="1728" spans="1:2" x14ac:dyDescent="0.25">
      <c r="A1728" s="2">
        <v>42043</v>
      </c>
      <c r="B1728">
        <v>164.32</v>
      </c>
    </row>
    <row r="1729" spans="1:2" x14ac:dyDescent="0.25">
      <c r="A1729" s="2">
        <v>42044</v>
      </c>
      <c r="B1729">
        <v>166.13</v>
      </c>
    </row>
    <row r="1730" spans="1:2" x14ac:dyDescent="0.25">
      <c r="A1730" s="2">
        <v>42045</v>
      </c>
      <c r="B1730">
        <v>167.58</v>
      </c>
    </row>
    <row r="1731" spans="1:2" x14ac:dyDescent="0.25">
      <c r="A1731" s="2">
        <v>42046</v>
      </c>
      <c r="B1731">
        <v>167.38</v>
      </c>
    </row>
    <row r="1732" spans="1:2" x14ac:dyDescent="0.25">
      <c r="A1732" s="2">
        <v>42047</v>
      </c>
      <c r="B1732">
        <v>168.81</v>
      </c>
    </row>
    <row r="1733" spans="1:2" x14ac:dyDescent="0.25">
      <c r="A1733" s="2">
        <v>42048</v>
      </c>
      <c r="B1733">
        <v>168.72</v>
      </c>
    </row>
    <row r="1734" spans="1:2" x14ac:dyDescent="0.25">
      <c r="A1734" s="2">
        <v>42049</v>
      </c>
      <c r="B1734">
        <v>168.72</v>
      </c>
    </row>
    <row r="1735" spans="1:2" x14ac:dyDescent="0.25">
      <c r="A1735" s="2">
        <v>42050</v>
      </c>
      <c r="B1735">
        <v>168.72</v>
      </c>
    </row>
    <row r="1736" spans="1:2" x14ac:dyDescent="0.25">
      <c r="A1736" s="2">
        <v>42051</v>
      </c>
      <c r="B1736">
        <v>168.32</v>
      </c>
    </row>
    <row r="1737" spans="1:2" x14ac:dyDescent="0.25">
      <c r="A1737" s="2">
        <v>42052</v>
      </c>
      <c r="B1737">
        <v>168.51</v>
      </c>
    </row>
    <row r="1738" spans="1:2" x14ac:dyDescent="0.25">
      <c r="A1738" s="2">
        <v>42053</v>
      </c>
      <c r="B1738">
        <v>169.1</v>
      </c>
    </row>
    <row r="1739" spans="1:2" x14ac:dyDescent="0.25">
      <c r="A1739" s="2">
        <v>42054</v>
      </c>
      <c r="B1739">
        <v>168.72</v>
      </c>
    </row>
    <row r="1740" spans="1:2" x14ac:dyDescent="0.25">
      <c r="A1740" s="2">
        <v>42055</v>
      </c>
      <c r="B1740">
        <v>171.11</v>
      </c>
    </row>
    <row r="1741" spans="1:2" x14ac:dyDescent="0.25">
      <c r="A1741" s="2">
        <v>42056</v>
      </c>
      <c r="B1741">
        <v>171.11</v>
      </c>
    </row>
    <row r="1742" spans="1:2" x14ac:dyDescent="0.25">
      <c r="A1742" s="2">
        <v>42057</v>
      </c>
      <c r="B1742">
        <v>171.11</v>
      </c>
    </row>
    <row r="1743" spans="1:2" x14ac:dyDescent="0.25">
      <c r="A1743" s="2">
        <v>42058</v>
      </c>
      <c r="B1743">
        <v>171.06</v>
      </c>
    </row>
    <row r="1744" spans="1:2" x14ac:dyDescent="0.25">
      <c r="A1744" s="2">
        <v>42059</v>
      </c>
      <c r="B1744">
        <v>171.08</v>
      </c>
    </row>
    <row r="1745" spans="1:2" x14ac:dyDescent="0.25">
      <c r="A1745" s="2">
        <v>42060</v>
      </c>
      <c r="B1745">
        <v>170.7</v>
      </c>
    </row>
    <row r="1746" spans="1:2" x14ac:dyDescent="0.25">
      <c r="A1746" s="2">
        <v>42061</v>
      </c>
      <c r="B1746">
        <v>170.91</v>
      </c>
    </row>
    <row r="1747" spans="1:2" x14ac:dyDescent="0.25">
      <c r="A1747" s="2">
        <v>42062</v>
      </c>
      <c r="B1747">
        <v>171.57</v>
      </c>
    </row>
    <row r="1748" spans="1:2" x14ac:dyDescent="0.25">
      <c r="A1748" s="2">
        <v>42063</v>
      </c>
      <c r="B1748">
        <v>171.57</v>
      </c>
    </row>
    <row r="1749" spans="1:2" x14ac:dyDescent="0.25">
      <c r="A1749" s="2">
        <v>42064</v>
      </c>
      <c r="B1749">
        <v>171.57</v>
      </c>
    </row>
    <row r="1750" spans="1:2" x14ac:dyDescent="0.25">
      <c r="A1750" s="2">
        <v>42065</v>
      </c>
      <c r="B1750">
        <v>172.83</v>
      </c>
    </row>
    <row r="1751" spans="1:2" x14ac:dyDescent="0.25">
      <c r="A1751" s="2">
        <v>42066</v>
      </c>
      <c r="B1751">
        <v>172.96</v>
      </c>
    </row>
    <row r="1752" spans="1:2" x14ac:dyDescent="0.25">
      <c r="A1752" s="2">
        <v>42067</v>
      </c>
      <c r="B1752">
        <v>172.91</v>
      </c>
    </row>
    <row r="1753" spans="1:2" x14ac:dyDescent="0.25">
      <c r="A1753" s="2">
        <v>42068</v>
      </c>
      <c r="B1753">
        <v>173.98</v>
      </c>
    </row>
    <row r="1754" spans="1:2" x14ac:dyDescent="0.25">
      <c r="A1754" s="2">
        <v>42069</v>
      </c>
      <c r="B1754">
        <v>173.19</v>
      </c>
    </row>
    <row r="1755" spans="1:2" x14ac:dyDescent="0.25">
      <c r="A1755" s="2">
        <v>42070</v>
      </c>
      <c r="B1755">
        <v>173.19</v>
      </c>
    </row>
    <row r="1756" spans="1:2" x14ac:dyDescent="0.25">
      <c r="A1756" s="2">
        <v>42071</v>
      </c>
      <c r="B1756">
        <v>173.19</v>
      </c>
    </row>
    <row r="1757" spans="1:2" x14ac:dyDescent="0.25">
      <c r="A1757" s="2">
        <v>42072</v>
      </c>
      <c r="B1757">
        <v>175.54</v>
      </c>
    </row>
    <row r="1758" spans="1:2" x14ac:dyDescent="0.25">
      <c r="A1758" s="2">
        <v>42073</v>
      </c>
      <c r="B1758">
        <v>174.53</v>
      </c>
    </row>
    <row r="1759" spans="1:2" x14ac:dyDescent="0.25">
      <c r="A1759" s="2">
        <v>42074</v>
      </c>
      <c r="B1759">
        <v>176.86</v>
      </c>
    </row>
    <row r="1760" spans="1:2" x14ac:dyDescent="0.25">
      <c r="A1760" s="2">
        <v>42075</v>
      </c>
      <c r="B1760">
        <v>178.54</v>
      </c>
    </row>
    <row r="1761" spans="1:2" x14ac:dyDescent="0.25">
      <c r="A1761" s="2">
        <v>42076</v>
      </c>
      <c r="B1761">
        <v>178.14</v>
      </c>
    </row>
    <row r="1762" spans="1:2" x14ac:dyDescent="0.25">
      <c r="A1762" s="2">
        <v>42077</v>
      </c>
      <c r="B1762">
        <v>178.14</v>
      </c>
    </row>
    <row r="1763" spans="1:2" x14ac:dyDescent="0.25">
      <c r="A1763" s="2">
        <v>42078</v>
      </c>
      <c r="B1763">
        <v>178.14</v>
      </c>
    </row>
    <row r="1764" spans="1:2" x14ac:dyDescent="0.25">
      <c r="A1764" s="2">
        <v>42079</v>
      </c>
      <c r="B1764">
        <v>180.81</v>
      </c>
    </row>
    <row r="1765" spans="1:2" x14ac:dyDescent="0.25">
      <c r="A1765" s="2">
        <v>42080</v>
      </c>
      <c r="B1765">
        <v>178.89</v>
      </c>
    </row>
    <row r="1766" spans="1:2" x14ac:dyDescent="0.25">
      <c r="A1766" s="2">
        <v>42081</v>
      </c>
      <c r="B1766">
        <v>181.8</v>
      </c>
    </row>
    <row r="1767" spans="1:2" x14ac:dyDescent="0.25">
      <c r="A1767" s="2">
        <v>42082</v>
      </c>
      <c r="B1767">
        <v>179.48</v>
      </c>
    </row>
    <row r="1768" spans="1:2" x14ac:dyDescent="0.25">
      <c r="A1768" s="2">
        <v>42083</v>
      </c>
      <c r="B1768">
        <v>179.43</v>
      </c>
    </row>
    <row r="1769" spans="1:2" x14ac:dyDescent="0.25">
      <c r="A1769" s="2">
        <v>42084</v>
      </c>
      <c r="B1769">
        <v>179.43</v>
      </c>
    </row>
    <row r="1770" spans="1:2" x14ac:dyDescent="0.25">
      <c r="A1770" s="2">
        <v>42085</v>
      </c>
      <c r="B1770">
        <v>179.43</v>
      </c>
    </row>
    <row r="1771" spans="1:2" x14ac:dyDescent="0.25">
      <c r="A1771" s="2">
        <v>42086</v>
      </c>
      <c r="B1771">
        <v>176.88</v>
      </c>
    </row>
    <row r="1772" spans="1:2" x14ac:dyDescent="0.25">
      <c r="A1772" s="2">
        <v>42087</v>
      </c>
      <c r="B1772">
        <v>175.2</v>
      </c>
    </row>
    <row r="1773" spans="1:2" x14ac:dyDescent="0.25">
      <c r="A1773" s="2">
        <v>42088</v>
      </c>
      <c r="B1773">
        <v>172.1</v>
      </c>
    </row>
    <row r="1774" spans="1:2" x14ac:dyDescent="0.25">
      <c r="A1774" s="2">
        <v>42089</v>
      </c>
      <c r="B1774">
        <v>171.89</v>
      </c>
    </row>
    <row r="1775" spans="1:2" x14ac:dyDescent="0.25">
      <c r="A1775" s="2">
        <v>42090</v>
      </c>
      <c r="B1775">
        <v>174.17</v>
      </c>
    </row>
    <row r="1776" spans="1:2" x14ac:dyDescent="0.25">
      <c r="A1776" s="2">
        <v>42091</v>
      </c>
      <c r="B1776">
        <v>174.17</v>
      </c>
    </row>
    <row r="1777" spans="1:2" x14ac:dyDescent="0.25">
      <c r="A1777" s="2">
        <v>42092</v>
      </c>
      <c r="B1777">
        <v>174.17</v>
      </c>
    </row>
    <row r="1778" spans="1:2" x14ac:dyDescent="0.25">
      <c r="A1778" s="2">
        <v>42093</v>
      </c>
      <c r="B1778">
        <v>176.5</v>
      </c>
    </row>
    <row r="1779" spans="1:2" x14ac:dyDescent="0.25">
      <c r="A1779" s="2">
        <v>42094</v>
      </c>
      <c r="B1779">
        <v>176.35</v>
      </c>
    </row>
    <row r="1780" spans="1:2" x14ac:dyDescent="0.25">
      <c r="A1780" s="2">
        <v>42095</v>
      </c>
      <c r="B1780">
        <v>175.74</v>
      </c>
    </row>
    <row r="1781" spans="1:2" x14ac:dyDescent="0.25">
      <c r="A1781" s="2">
        <v>42096</v>
      </c>
      <c r="B1781">
        <v>175.14</v>
      </c>
    </row>
    <row r="1782" spans="1:2" x14ac:dyDescent="0.25">
      <c r="A1782" s="2">
        <v>42097</v>
      </c>
      <c r="B1782">
        <v>174.38</v>
      </c>
    </row>
    <row r="1783" spans="1:2" x14ac:dyDescent="0.25">
      <c r="A1783" s="2">
        <v>42098</v>
      </c>
      <c r="B1783">
        <v>174.38</v>
      </c>
    </row>
    <row r="1784" spans="1:2" x14ac:dyDescent="0.25">
      <c r="A1784" s="2">
        <v>42099</v>
      </c>
      <c r="B1784">
        <v>174.38</v>
      </c>
    </row>
    <row r="1785" spans="1:2" x14ac:dyDescent="0.25">
      <c r="A1785" s="2">
        <v>42100</v>
      </c>
      <c r="B1785">
        <v>174.38</v>
      </c>
    </row>
    <row r="1786" spans="1:2" x14ac:dyDescent="0.25">
      <c r="A1786" s="2">
        <v>42101</v>
      </c>
      <c r="B1786">
        <v>175.66</v>
      </c>
    </row>
    <row r="1787" spans="1:2" x14ac:dyDescent="0.25">
      <c r="A1787" s="2">
        <v>42102</v>
      </c>
      <c r="B1787">
        <v>175.94</v>
      </c>
    </row>
    <row r="1788" spans="1:2" x14ac:dyDescent="0.25">
      <c r="A1788" s="2">
        <v>42103</v>
      </c>
      <c r="B1788">
        <v>178.17</v>
      </c>
    </row>
    <row r="1789" spans="1:2" x14ac:dyDescent="0.25">
      <c r="A1789" s="2">
        <v>42104</v>
      </c>
      <c r="B1789">
        <v>182.55</v>
      </c>
    </row>
    <row r="1790" spans="1:2" x14ac:dyDescent="0.25">
      <c r="A1790" s="2">
        <v>42105</v>
      </c>
      <c r="B1790">
        <v>182.55</v>
      </c>
    </row>
    <row r="1791" spans="1:2" x14ac:dyDescent="0.25">
      <c r="A1791" s="2">
        <v>42106</v>
      </c>
      <c r="B1791">
        <v>182.55</v>
      </c>
    </row>
    <row r="1792" spans="1:2" x14ac:dyDescent="0.25">
      <c r="A1792" s="2">
        <v>42107</v>
      </c>
      <c r="B1792">
        <v>182.04</v>
      </c>
    </row>
    <row r="1793" spans="1:2" x14ac:dyDescent="0.25">
      <c r="A1793" s="2">
        <v>42108</v>
      </c>
      <c r="B1793">
        <v>182.13</v>
      </c>
    </row>
    <row r="1794" spans="1:2" x14ac:dyDescent="0.25">
      <c r="A1794" s="2">
        <v>42109</v>
      </c>
      <c r="B1794">
        <v>182.81</v>
      </c>
    </row>
    <row r="1795" spans="1:2" x14ac:dyDescent="0.25">
      <c r="A1795" s="2">
        <v>42110</v>
      </c>
      <c r="B1795">
        <v>180.42</v>
      </c>
    </row>
    <row r="1796" spans="1:2" x14ac:dyDescent="0.25">
      <c r="A1796" s="2">
        <v>42111</v>
      </c>
      <c r="B1796">
        <v>176.68</v>
      </c>
    </row>
    <row r="1797" spans="1:2" x14ac:dyDescent="0.25">
      <c r="A1797" s="2">
        <v>42112</v>
      </c>
      <c r="B1797">
        <v>176.68</v>
      </c>
    </row>
    <row r="1798" spans="1:2" x14ac:dyDescent="0.25">
      <c r="A1798" s="2">
        <v>42113</v>
      </c>
      <c r="B1798">
        <v>176.68</v>
      </c>
    </row>
    <row r="1799" spans="1:2" x14ac:dyDescent="0.25">
      <c r="A1799" s="2">
        <v>42114</v>
      </c>
      <c r="B1799">
        <v>179.83</v>
      </c>
    </row>
    <row r="1800" spans="1:2" x14ac:dyDescent="0.25">
      <c r="A1800" s="2">
        <v>42115</v>
      </c>
      <c r="B1800">
        <v>179.95</v>
      </c>
    </row>
    <row r="1801" spans="1:2" x14ac:dyDescent="0.25">
      <c r="A1801" s="2">
        <v>42116</v>
      </c>
      <c r="B1801">
        <v>180.15</v>
      </c>
    </row>
    <row r="1802" spans="1:2" x14ac:dyDescent="0.25">
      <c r="A1802" s="2">
        <v>42117</v>
      </c>
      <c r="B1802">
        <v>180.11</v>
      </c>
    </row>
    <row r="1803" spans="1:2" x14ac:dyDescent="0.25">
      <c r="A1803" s="2">
        <v>42118</v>
      </c>
      <c r="B1803">
        <v>179.64</v>
      </c>
    </row>
    <row r="1804" spans="1:2" x14ac:dyDescent="0.25">
      <c r="A1804" s="2">
        <v>42119</v>
      </c>
      <c r="B1804">
        <v>179.64</v>
      </c>
    </row>
    <row r="1805" spans="1:2" x14ac:dyDescent="0.25">
      <c r="A1805" s="2">
        <v>42120</v>
      </c>
      <c r="B1805">
        <v>179.64</v>
      </c>
    </row>
    <row r="1806" spans="1:2" x14ac:dyDescent="0.25">
      <c r="A1806" s="2">
        <v>42121</v>
      </c>
      <c r="B1806">
        <v>178.93</v>
      </c>
    </row>
    <row r="1807" spans="1:2" x14ac:dyDescent="0.25">
      <c r="A1807" s="2">
        <v>42122</v>
      </c>
      <c r="B1807">
        <v>177.72</v>
      </c>
    </row>
    <row r="1808" spans="1:2" x14ac:dyDescent="0.25">
      <c r="A1808" s="2">
        <v>42123</v>
      </c>
      <c r="B1808">
        <v>175.85</v>
      </c>
    </row>
    <row r="1809" spans="1:2" x14ac:dyDescent="0.25">
      <c r="A1809" s="2">
        <v>42124</v>
      </c>
      <c r="B1809">
        <v>170.77</v>
      </c>
    </row>
    <row r="1810" spans="1:2" x14ac:dyDescent="0.25">
      <c r="A1810" s="2">
        <v>42125</v>
      </c>
      <c r="B1810">
        <v>172.63</v>
      </c>
    </row>
    <row r="1811" spans="1:2" x14ac:dyDescent="0.25">
      <c r="A1811" s="2">
        <v>42126</v>
      </c>
      <c r="B1811">
        <v>172.63</v>
      </c>
    </row>
    <row r="1812" spans="1:2" x14ac:dyDescent="0.25">
      <c r="A1812" s="2">
        <v>42127</v>
      </c>
      <c r="B1812">
        <v>172.63</v>
      </c>
    </row>
    <row r="1813" spans="1:2" x14ac:dyDescent="0.25">
      <c r="A1813" s="2">
        <v>42128</v>
      </c>
      <c r="B1813">
        <v>174.23</v>
      </c>
    </row>
    <row r="1814" spans="1:2" x14ac:dyDescent="0.25">
      <c r="A1814" s="2">
        <v>42129</v>
      </c>
      <c r="B1814">
        <v>172.62</v>
      </c>
    </row>
    <row r="1815" spans="1:2" x14ac:dyDescent="0.25">
      <c r="A1815" s="2">
        <v>42130</v>
      </c>
      <c r="B1815">
        <v>170.18</v>
      </c>
    </row>
    <row r="1816" spans="1:2" x14ac:dyDescent="0.25">
      <c r="A1816" s="2">
        <v>42131</v>
      </c>
      <c r="B1816">
        <v>169.72</v>
      </c>
    </row>
    <row r="1817" spans="1:2" x14ac:dyDescent="0.25">
      <c r="A1817" s="2">
        <v>42132</v>
      </c>
      <c r="B1817">
        <v>173.29</v>
      </c>
    </row>
    <row r="1818" spans="1:2" x14ac:dyDescent="0.25">
      <c r="A1818" s="2">
        <v>42133</v>
      </c>
      <c r="B1818">
        <v>173.29</v>
      </c>
    </row>
    <row r="1819" spans="1:2" x14ac:dyDescent="0.25">
      <c r="A1819" s="2">
        <v>42134</v>
      </c>
      <c r="B1819">
        <v>173.29</v>
      </c>
    </row>
    <row r="1820" spans="1:2" x14ac:dyDescent="0.25">
      <c r="A1820" s="2">
        <v>42135</v>
      </c>
      <c r="B1820">
        <v>173.66</v>
      </c>
    </row>
    <row r="1821" spans="1:2" x14ac:dyDescent="0.25">
      <c r="A1821" s="2">
        <v>42136</v>
      </c>
      <c r="B1821">
        <v>171.66</v>
      </c>
    </row>
    <row r="1822" spans="1:2" x14ac:dyDescent="0.25">
      <c r="A1822" s="2">
        <v>42137</v>
      </c>
      <c r="B1822">
        <v>171.92</v>
      </c>
    </row>
    <row r="1823" spans="1:2" x14ac:dyDescent="0.25">
      <c r="A1823" s="2">
        <v>42138</v>
      </c>
      <c r="B1823">
        <v>170.78</v>
      </c>
    </row>
    <row r="1824" spans="1:2" x14ac:dyDescent="0.25">
      <c r="A1824" s="2">
        <v>42139</v>
      </c>
      <c r="B1824">
        <v>172.29</v>
      </c>
    </row>
    <row r="1825" spans="1:2" x14ac:dyDescent="0.25">
      <c r="A1825" s="2">
        <v>42140</v>
      </c>
      <c r="B1825">
        <v>172.29</v>
      </c>
    </row>
    <row r="1826" spans="1:2" x14ac:dyDescent="0.25">
      <c r="A1826" s="2">
        <v>42141</v>
      </c>
      <c r="B1826">
        <v>172.29</v>
      </c>
    </row>
    <row r="1827" spans="1:2" x14ac:dyDescent="0.25">
      <c r="A1827" s="2">
        <v>42142</v>
      </c>
      <c r="B1827">
        <v>171.9</v>
      </c>
    </row>
    <row r="1828" spans="1:2" x14ac:dyDescent="0.25">
      <c r="A1828" s="2">
        <v>42143</v>
      </c>
      <c r="B1828">
        <v>175.03</v>
      </c>
    </row>
    <row r="1829" spans="1:2" x14ac:dyDescent="0.25">
      <c r="A1829" s="2">
        <v>42144</v>
      </c>
      <c r="B1829">
        <v>175.86</v>
      </c>
    </row>
    <row r="1830" spans="1:2" x14ac:dyDescent="0.25">
      <c r="A1830" s="2">
        <v>42145</v>
      </c>
      <c r="B1830">
        <v>176.05</v>
      </c>
    </row>
    <row r="1831" spans="1:2" x14ac:dyDescent="0.25">
      <c r="A1831" s="2">
        <v>42146</v>
      </c>
      <c r="B1831">
        <v>175.17</v>
      </c>
    </row>
    <row r="1832" spans="1:2" x14ac:dyDescent="0.25">
      <c r="A1832" s="2">
        <v>42147</v>
      </c>
      <c r="B1832">
        <v>175.17</v>
      </c>
    </row>
    <row r="1833" spans="1:2" x14ac:dyDescent="0.25">
      <c r="A1833" s="2">
        <v>42148</v>
      </c>
      <c r="B1833">
        <v>175.17</v>
      </c>
    </row>
    <row r="1834" spans="1:2" x14ac:dyDescent="0.25">
      <c r="A1834" s="2">
        <v>42149</v>
      </c>
      <c r="B1834">
        <v>177.76</v>
      </c>
    </row>
    <row r="1835" spans="1:2" x14ac:dyDescent="0.25">
      <c r="A1835" s="2">
        <v>42150</v>
      </c>
      <c r="B1835">
        <v>177.15</v>
      </c>
    </row>
    <row r="1836" spans="1:2" x14ac:dyDescent="0.25">
      <c r="A1836" s="2">
        <v>42151</v>
      </c>
      <c r="B1836">
        <v>179.83</v>
      </c>
    </row>
    <row r="1837" spans="1:2" x14ac:dyDescent="0.25">
      <c r="A1837" s="2">
        <v>42152</v>
      </c>
      <c r="B1837">
        <v>179.09</v>
      </c>
    </row>
    <row r="1838" spans="1:2" x14ac:dyDescent="0.25">
      <c r="A1838" s="2">
        <v>42153</v>
      </c>
      <c r="B1838">
        <v>176.76</v>
      </c>
    </row>
    <row r="1839" spans="1:2" x14ac:dyDescent="0.25">
      <c r="A1839" s="2">
        <v>42154</v>
      </c>
      <c r="B1839">
        <v>176.76</v>
      </c>
    </row>
    <row r="1840" spans="1:2" x14ac:dyDescent="0.25">
      <c r="A1840" s="2">
        <v>42155</v>
      </c>
      <c r="B1840">
        <v>176.76</v>
      </c>
    </row>
    <row r="1841" spans="1:2" x14ac:dyDescent="0.25">
      <c r="A1841" s="2">
        <v>42156</v>
      </c>
      <c r="B1841">
        <v>177.56</v>
      </c>
    </row>
    <row r="1842" spans="1:2" x14ac:dyDescent="0.25">
      <c r="A1842" s="2">
        <v>42157</v>
      </c>
      <c r="B1842">
        <v>176.02</v>
      </c>
    </row>
    <row r="1843" spans="1:2" x14ac:dyDescent="0.25">
      <c r="A1843" s="2">
        <v>42158</v>
      </c>
      <c r="B1843">
        <v>174.76</v>
      </c>
    </row>
    <row r="1844" spans="1:2" x14ac:dyDescent="0.25">
      <c r="A1844" s="2">
        <v>42159</v>
      </c>
      <c r="B1844">
        <v>170.45</v>
      </c>
    </row>
    <row r="1845" spans="1:2" x14ac:dyDescent="0.25">
      <c r="A1845" s="2">
        <v>42160</v>
      </c>
      <c r="B1845">
        <v>171.72</v>
      </c>
    </row>
    <row r="1846" spans="1:2" x14ac:dyDescent="0.25">
      <c r="A1846" s="2">
        <v>42161</v>
      </c>
      <c r="B1846">
        <v>171.72</v>
      </c>
    </row>
    <row r="1847" spans="1:2" x14ac:dyDescent="0.25">
      <c r="A1847" s="2">
        <v>42162</v>
      </c>
      <c r="B1847">
        <v>171.72</v>
      </c>
    </row>
    <row r="1848" spans="1:2" x14ac:dyDescent="0.25">
      <c r="A1848" s="2">
        <v>42163</v>
      </c>
      <c r="B1848">
        <v>171.48</v>
      </c>
    </row>
    <row r="1849" spans="1:2" x14ac:dyDescent="0.25">
      <c r="A1849" s="2">
        <v>42164</v>
      </c>
      <c r="B1849">
        <v>170.24</v>
      </c>
    </row>
    <row r="1850" spans="1:2" x14ac:dyDescent="0.25">
      <c r="A1850" s="2">
        <v>42165</v>
      </c>
      <c r="B1850">
        <v>171.83</v>
      </c>
    </row>
    <row r="1851" spans="1:2" x14ac:dyDescent="0.25">
      <c r="A1851" s="2">
        <v>42166</v>
      </c>
      <c r="B1851">
        <v>172.9</v>
      </c>
    </row>
    <row r="1852" spans="1:2" x14ac:dyDescent="0.25">
      <c r="A1852" s="2">
        <v>42167</v>
      </c>
      <c r="B1852">
        <v>171.88</v>
      </c>
    </row>
    <row r="1853" spans="1:2" x14ac:dyDescent="0.25">
      <c r="A1853" s="2">
        <v>42168</v>
      </c>
      <c r="B1853">
        <v>171.88</v>
      </c>
    </row>
    <row r="1854" spans="1:2" x14ac:dyDescent="0.25">
      <c r="A1854" s="2">
        <v>42169</v>
      </c>
      <c r="B1854">
        <v>171.88</v>
      </c>
    </row>
    <row r="1855" spans="1:2" x14ac:dyDescent="0.25">
      <c r="A1855" s="2">
        <v>42170</v>
      </c>
      <c r="B1855">
        <v>171.12</v>
      </c>
    </row>
    <row r="1856" spans="1:2" x14ac:dyDescent="0.25">
      <c r="A1856" s="2">
        <v>42171</v>
      </c>
      <c r="B1856">
        <v>172.14</v>
      </c>
    </row>
    <row r="1857" spans="1:2" x14ac:dyDescent="0.25">
      <c r="A1857" s="2">
        <v>42172</v>
      </c>
      <c r="B1857">
        <v>171.5</v>
      </c>
    </row>
    <row r="1858" spans="1:2" x14ac:dyDescent="0.25">
      <c r="A1858" s="2">
        <v>42173</v>
      </c>
      <c r="B1858">
        <v>171.33</v>
      </c>
    </row>
    <row r="1859" spans="1:2" x14ac:dyDescent="0.25">
      <c r="A1859" s="2">
        <v>42174</v>
      </c>
      <c r="B1859">
        <v>172</v>
      </c>
    </row>
    <row r="1860" spans="1:2" x14ac:dyDescent="0.25">
      <c r="A1860" s="2">
        <v>42175</v>
      </c>
      <c r="B1860">
        <v>172</v>
      </c>
    </row>
    <row r="1861" spans="1:2" x14ac:dyDescent="0.25">
      <c r="A1861" s="2">
        <v>42176</v>
      </c>
      <c r="B1861">
        <v>172</v>
      </c>
    </row>
    <row r="1862" spans="1:2" x14ac:dyDescent="0.25">
      <c r="A1862" s="2">
        <v>42177</v>
      </c>
      <c r="B1862">
        <v>172.35</v>
      </c>
    </row>
    <row r="1863" spans="1:2" x14ac:dyDescent="0.25">
      <c r="A1863" s="2">
        <v>42178</v>
      </c>
      <c r="B1863">
        <v>174.64</v>
      </c>
    </row>
    <row r="1864" spans="1:2" x14ac:dyDescent="0.25">
      <c r="A1864" s="2">
        <v>42179</v>
      </c>
      <c r="B1864">
        <v>173.22</v>
      </c>
    </row>
    <row r="1865" spans="1:2" x14ac:dyDescent="0.25">
      <c r="A1865" s="2">
        <v>42180</v>
      </c>
      <c r="B1865">
        <v>172.82</v>
      </c>
    </row>
    <row r="1866" spans="1:2" x14ac:dyDescent="0.25">
      <c r="A1866" s="2">
        <v>42181</v>
      </c>
      <c r="B1866">
        <v>172.84</v>
      </c>
    </row>
    <row r="1867" spans="1:2" x14ac:dyDescent="0.25">
      <c r="A1867" s="2">
        <v>42182</v>
      </c>
      <c r="B1867">
        <v>172.84</v>
      </c>
    </row>
    <row r="1868" spans="1:2" x14ac:dyDescent="0.25">
      <c r="A1868" s="2">
        <v>42183</v>
      </c>
      <c r="B1868">
        <v>172.84</v>
      </c>
    </row>
    <row r="1869" spans="1:2" x14ac:dyDescent="0.25">
      <c r="A1869" s="2">
        <v>42184</v>
      </c>
      <c r="B1869">
        <v>170.3</v>
      </c>
    </row>
    <row r="1870" spans="1:2" x14ac:dyDescent="0.25">
      <c r="A1870" s="2">
        <v>42185</v>
      </c>
      <c r="B1870">
        <v>169.9</v>
      </c>
    </row>
    <row r="1871" spans="1:2" x14ac:dyDescent="0.25">
      <c r="A1871" s="2">
        <v>42186</v>
      </c>
      <c r="B1871">
        <v>172.48</v>
      </c>
    </row>
    <row r="1872" spans="1:2" x14ac:dyDescent="0.25">
      <c r="A1872" s="2">
        <v>42187</v>
      </c>
      <c r="B1872">
        <v>172.95</v>
      </c>
    </row>
    <row r="1873" spans="1:2" x14ac:dyDescent="0.25">
      <c r="A1873" s="2">
        <v>42188</v>
      </c>
      <c r="B1873">
        <v>172.49</v>
      </c>
    </row>
    <row r="1874" spans="1:2" x14ac:dyDescent="0.25">
      <c r="A1874" s="2">
        <v>42189</v>
      </c>
      <c r="B1874">
        <v>172.49</v>
      </c>
    </row>
    <row r="1875" spans="1:2" x14ac:dyDescent="0.25">
      <c r="A1875" s="2">
        <v>42190</v>
      </c>
      <c r="B1875">
        <v>172.49</v>
      </c>
    </row>
    <row r="1876" spans="1:2" x14ac:dyDescent="0.25">
      <c r="A1876" s="2">
        <v>42191</v>
      </c>
      <c r="B1876">
        <v>173.16</v>
      </c>
    </row>
    <row r="1877" spans="1:2" x14ac:dyDescent="0.25">
      <c r="A1877" s="2">
        <v>42192</v>
      </c>
      <c r="B1877">
        <v>175.45</v>
      </c>
    </row>
    <row r="1878" spans="1:2" x14ac:dyDescent="0.25">
      <c r="A1878" s="2">
        <v>42193</v>
      </c>
      <c r="B1878">
        <v>171.11</v>
      </c>
    </row>
    <row r="1879" spans="1:2" x14ac:dyDescent="0.25">
      <c r="A1879" s="2">
        <v>42194</v>
      </c>
      <c r="B1879">
        <v>171.03</v>
      </c>
    </row>
    <row r="1880" spans="1:2" x14ac:dyDescent="0.25">
      <c r="A1880" s="2">
        <v>42195</v>
      </c>
      <c r="B1880">
        <v>171.11</v>
      </c>
    </row>
    <row r="1881" spans="1:2" x14ac:dyDescent="0.25">
      <c r="A1881" s="2">
        <v>42196</v>
      </c>
      <c r="B1881">
        <v>171.11</v>
      </c>
    </row>
    <row r="1882" spans="1:2" x14ac:dyDescent="0.25">
      <c r="A1882" s="2">
        <v>42197</v>
      </c>
      <c r="B1882">
        <v>171.11</v>
      </c>
    </row>
    <row r="1883" spans="1:2" x14ac:dyDescent="0.25">
      <c r="A1883" s="2">
        <v>42198</v>
      </c>
      <c r="B1883">
        <v>175.15</v>
      </c>
    </row>
    <row r="1884" spans="1:2" x14ac:dyDescent="0.25">
      <c r="A1884" s="2">
        <v>42199</v>
      </c>
      <c r="B1884">
        <v>176.22</v>
      </c>
    </row>
    <row r="1885" spans="1:2" x14ac:dyDescent="0.25">
      <c r="A1885" s="2">
        <v>42200</v>
      </c>
      <c r="B1885">
        <v>176.45</v>
      </c>
    </row>
    <row r="1886" spans="1:2" x14ac:dyDescent="0.25">
      <c r="A1886" s="2">
        <v>42201</v>
      </c>
      <c r="B1886">
        <v>180.19</v>
      </c>
    </row>
    <row r="1887" spans="1:2" x14ac:dyDescent="0.25">
      <c r="A1887" s="2">
        <v>42202</v>
      </c>
      <c r="B1887">
        <v>180.02</v>
      </c>
    </row>
    <row r="1888" spans="1:2" x14ac:dyDescent="0.25">
      <c r="A1888" s="2">
        <v>42203</v>
      </c>
      <c r="B1888">
        <v>180.02</v>
      </c>
    </row>
    <row r="1889" spans="1:2" x14ac:dyDescent="0.25">
      <c r="A1889" s="2">
        <v>42204</v>
      </c>
      <c r="B1889">
        <v>180.02</v>
      </c>
    </row>
    <row r="1890" spans="1:2" x14ac:dyDescent="0.25">
      <c r="A1890" s="2">
        <v>42205</v>
      </c>
      <c r="B1890">
        <v>180.78</v>
      </c>
    </row>
    <row r="1891" spans="1:2" x14ac:dyDescent="0.25">
      <c r="A1891" s="2">
        <v>42206</v>
      </c>
      <c r="B1891">
        <v>179.76</v>
      </c>
    </row>
    <row r="1892" spans="1:2" x14ac:dyDescent="0.25">
      <c r="A1892" s="2">
        <v>42207</v>
      </c>
      <c r="B1892">
        <v>178.77</v>
      </c>
    </row>
    <row r="1893" spans="1:2" x14ac:dyDescent="0.25">
      <c r="A1893" s="2">
        <v>42208</v>
      </c>
      <c r="B1893">
        <v>176.2</v>
      </c>
    </row>
    <row r="1894" spans="1:2" x14ac:dyDescent="0.25">
      <c r="A1894" s="2">
        <v>42209</v>
      </c>
      <c r="B1894">
        <v>175.27</v>
      </c>
    </row>
    <row r="1895" spans="1:2" x14ac:dyDescent="0.25">
      <c r="A1895" s="2">
        <v>42210</v>
      </c>
      <c r="B1895">
        <v>175.27</v>
      </c>
    </row>
    <row r="1896" spans="1:2" x14ac:dyDescent="0.25">
      <c r="A1896" s="2">
        <v>42211</v>
      </c>
      <c r="B1896">
        <v>175.27</v>
      </c>
    </row>
    <row r="1897" spans="1:2" x14ac:dyDescent="0.25">
      <c r="A1897" s="2">
        <v>42212</v>
      </c>
      <c r="B1897">
        <v>172.38</v>
      </c>
    </row>
    <row r="1898" spans="1:2" x14ac:dyDescent="0.25">
      <c r="A1898" s="2">
        <v>42213</v>
      </c>
      <c r="B1898">
        <v>175.04</v>
      </c>
    </row>
    <row r="1899" spans="1:2" x14ac:dyDescent="0.25">
      <c r="A1899" s="2">
        <v>42214</v>
      </c>
      <c r="B1899">
        <v>176.26</v>
      </c>
    </row>
    <row r="1900" spans="1:2" x14ac:dyDescent="0.25">
      <c r="A1900" s="2">
        <v>42215</v>
      </c>
      <c r="B1900">
        <v>177.48</v>
      </c>
    </row>
    <row r="1901" spans="1:2" x14ac:dyDescent="0.25">
      <c r="A1901" s="2">
        <v>42216</v>
      </c>
      <c r="B1901">
        <v>176.89</v>
      </c>
    </row>
    <row r="1902" spans="1:2" x14ac:dyDescent="0.25">
      <c r="A1902" s="2">
        <v>42217</v>
      </c>
      <c r="B1902">
        <v>176.89</v>
      </c>
    </row>
    <row r="1903" spans="1:2" x14ac:dyDescent="0.25">
      <c r="A1903" s="2">
        <v>42218</v>
      </c>
      <c r="B1903">
        <v>176.89</v>
      </c>
    </row>
    <row r="1904" spans="1:2" x14ac:dyDescent="0.25">
      <c r="A1904" s="2">
        <v>42219</v>
      </c>
      <c r="B1904">
        <v>176.65</v>
      </c>
    </row>
    <row r="1905" spans="1:2" x14ac:dyDescent="0.25">
      <c r="A1905" s="2">
        <v>42220</v>
      </c>
      <c r="B1905">
        <v>175.9</v>
      </c>
    </row>
    <row r="1906" spans="1:2" x14ac:dyDescent="0.25">
      <c r="A1906" s="2">
        <v>42221</v>
      </c>
      <c r="B1906">
        <v>177.97</v>
      </c>
    </row>
    <row r="1907" spans="1:2" x14ac:dyDescent="0.25">
      <c r="A1907" s="2">
        <v>42222</v>
      </c>
      <c r="B1907">
        <v>176.6</v>
      </c>
    </row>
    <row r="1908" spans="1:2" x14ac:dyDescent="0.25">
      <c r="A1908" s="2">
        <v>42223</v>
      </c>
      <c r="B1908">
        <v>175.2</v>
      </c>
    </row>
    <row r="1909" spans="1:2" x14ac:dyDescent="0.25">
      <c r="A1909" s="2">
        <v>42224</v>
      </c>
      <c r="B1909">
        <v>175.2</v>
      </c>
    </row>
    <row r="1910" spans="1:2" x14ac:dyDescent="0.25">
      <c r="A1910" s="2">
        <v>42225</v>
      </c>
      <c r="B1910">
        <v>175.2</v>
      </c>
    </row>
    <row r="1911" spans="1:2" x14ac:dyDescent="0.25">
      <c r="A1911" s="2">
        <v>42226</v>
      </c>
      <c r="B1911">
        <v>177.14</v>
      </c>
    </row>
    <row r="1912" spans="1:2" x14ac:dyDescent="0.25">
      <c r="A1912" s="2">
        <v>42227</v>
      </c>
      <c r="B1912">
        <v>173.97</v>
      </c>
    </row>
    <row r="1913" spans="1:2" x14ac:dyDescent="0.25">
      <c r="A1913" s="2">
        <v>42228</v>
      </c>
      <c r="B1913">
        <v>172.6</v>
      </c>
    </row>
    <row r="1914" spans="1:2" x14ac:dyDescent="0.25">
      <c r="A1914" s="2">
        <v>42229</v>
      </c>
      <c r="B1914">
        <v>173.11</v>
      </c>
    </row>
    <row r="1915" spans="1:2" x14ac:dyDescent="0.25">
      <c r="A1915" s="2">
        <v>42230</v>
      </c>
      <c r="B1915">
        <v>172.83</v>
      </c>
    </row>
    <row r="1916" spans="1:2" x14ac:dyDescent="0.25">
      <c r="A1916" s="2">
        <v>42231</v>
      </c>
      <c r="B1916">
        <v>172.83</v>
      </c>
    </row>
    <row r="1917" spans="1:2" x14ac:dyDescent="0.25">
      <c r="A1917" s="2">
        <v>42232</v>
      </c>
      <c r="B1917">
        <v>172.83</v>
      </c>
    </row>
    <row r="1918" spans="1:2" x14ac:dyDescent="0.25">
      <c r="A1918" s="2">
        <v>42233</v>
      </c>
      <c r="B1918">
        <v>174.86</v>
      </c>
    </row>
    <row r="1919" spans="1:2" x14ac:dyDescent="0.25">
      <c r="A1919" s="2">
        <v>42234</v>
      </c>
      <c r="B1919">
        <v>175.07</v>
      </c>
    </row>
    <row r="1920" spans="1:2" x14ac:dyDescent="0.25">
      <c r="A1920" s="2">
        <v>42235</v>
      </c>
      <c r="B1920">
        <v>173.93</v>
      </c>
    </row>
    <row r="1921" spans="1:2" x14ac:dyDescent="0.25">
      <c r="A1921" s="2">
        <v>42236</v>
      </c>
      <c r="B1921">
        <v>168.09</v>
      </c>
    </row>
    <row r="1922" spans="1:2" x14ac:dyDescent="0.25">
      <c r="A1922" s="2">
        <v>42237</v>
      </c>
      <c r="B1922">
        <v>161.35</v>
      </c>
    </row>
    <row r="1923" spans="1:2" x14ac:dyDescent="0.25">
      <c r="A1923" s="2">
        <v>42238</v>
      </c>
      <c r="B1923">
        <v>161.35</v>
      </c>
    </row>
    <row r="1924" spans="1:2" x14ac:dyDescent="0.25">
      <c r="A1924" s="2">
        <v>42239</v>
      </c>
      <c r="B1924">
        <v>161.35</v>
      </c>
    </row>
    <row r="1925" spans="1:2" x14ac:dyDescent="0.25">
      <c r="A1925" s="2">
        <v>42240</v>
      </c>
      <c r="B1925">
        <v>152.07</v>
      </c>
    </row>
    <row r="1926" spans="1:2" x14ac:dyDescent="0.25">
      <c r="A1926" s="2">
        <v>42241</v>
      </c>
      <c r="B1926">
        <v>149.91999999999999</v>
      </c>
    </row>
    <row r="1927" spans="1:2" x14ac:dyDescent="0.25">
      <c r="A1927" s="2">
        <v>42242</v>
      </c>
      <c r="B1927">
        <v>157.19999999999999</v>
      </c>
    </row>
    <row r="1928" spans="1:2" x14ac:dyDescent="0.25">
      <c r="A1928" s="2">
        <v>42243</v>
      </c>
      <c r="B1928">
        <v>162.72</v>
      </c>
    </row>
    <row r="1929" spans="1:2" x14ac:dyDescent="0.25">
      <c r="A1929" s="2">
        <v>42244</v>
      </c>
      <c r="B1929">
        <v>163.06</v>
      </c>
    </row>
    <row r="1930" spans="1:2" x14ac:dyDescent="0.25">
      <c r="A1930" s="2">
        <v>42245</v>
      </c>
      <c r="B1930">
        <v>163.06</v>
      </c>
    </row>
    <row r="1931" spans="1:2" x14ac:dyDescent="0.25">
      <c r="A1931" s="2">
        <v>42246</v>
      </c>
      <c r="B1931">
        <v>163.06</v>
      </c>
    </row>
    <row r="1932" spans="1:2" x14ac:dyDescent="0.25">
      <c r="A1932" s="2">
        <v>42247</v>
      </c>
      <c r="B1932">
        <v>162.47</v>
      </c>
    </row>
    <row r="1933" spans="1:2" x14ac:dyDescent="0.25">
      <c r="A1933" s="2">
        <v>42248</v>
      </c>
      <c r="B1933">
        <v>157.38</v>
      </c>
    </row>
    <row r="1934" spans="1:2" x14ac:dyDescent="0.25">
      <c r="A1934" s="2">
        <v>42249</v>
      </c>
      <c r="B1934">
        <v>160.01</v>
      </c>
    </row>
    <row r="1935" spans="1:2" x14ac:dyDescent="0.25">
      <c r="A1935" s="2">
        <v>42250</v>
      </c>
      <c r="B1935">
        <v>160.58000000000001</v>
      </c>
    </row>
    <row r="1936" spans="1:2" x14ac:dyDescent="0.25">
      <c r="A1936" s="2">
        <v>42251</v>
      </c>
      <c r="B1936">
        <v>159.41999999999999</v>
      </c>
    </row>
    <row r="1937" spans="1:2" x14ac:dyDescent="0.25">
      <c r="A1937" s="2">
        <v>42252</v>
      </c>
      <c r="B1937">
        <v>159.41999999999999</v>
      </c>
    </row>
    <row r="1938" spans="1:2" x14ac:dyDescent="0.25">
      <c r="A1938" s="2">
        <v>42253</v>
      </c>
      <c r="B1938">
        <v>159.41999999999999</v>
      </c>
    </row>
    <row r="1939" spans="1:2" x14ac:dyDescent="0.25">
      <c r="A1939" s="2">
        <v>42254</v>
      </c>
      <c r="B1939">
        <v>159.30000000000001</v>
      </c>
    </row>
    <row r="1940" spans="1:2" x14ac:dyDescent="0.25">
      <c r="A1940" s="2">
        <v>42255</v>
      </c>
      <c r="B1940">
        <v>163.08000000000001</v>
      </c>
    </row>
    <row r="1941" spans="1:2" x14ac:dyDescent="0.25">
      <c r="A1941" s="2">
        <v>42256</v>
      </c>
      <c r="B1941">
        <v>161.15</v>
      </c>
    </row>
    <row r="1942" spans="1:2" x14ac:dyDescent="0.25">
      <c r="A1942" s="2">
        <v>42257</v>
      </c>
      <c r="B1942">
        <v>161.35</v>
      </c>
    </row>
    <row r="1943" spans="1:2" x14ac:dyDescent="0.25">
      <c r="A1943" s="2">
        <v>42258</v>
      </c>
      <c r="B1943">
        <v>160.91999999999999</v>
      </c>
    </row>
    <row r="1944" spans="1:2" x14ac:dyDescent="0.25">
      <c r="A1944" s="2">
        <v>42259</v>
      </c>
      <c r="B1944">
        <v>160.91999999999999</v>
      </c>
    </row>
    <row r="1945" spans="1:2" x14ac:dyDescent="0.25">
      <c r="A1945" s="2">
        <v>42260</v>
      </c>
      <c r="B1945">
        <v>160.91999999999999</v>
      </c>
    </row>
    <row r="1946" spans="1:2" x14ac:dyDescent="0.25">
      <c r="A1946" s="2">
        <v>42261</v>
      </c>
      <c r="B1946">
        <v>159.74</v>
      </c>
    </row>
    <row r="1947" spans="1:2" x14ac:dyDescent="0.25">
      <c r="A1947" s="2">
        <v>42262</v>
      </c>
      <c r="B1947">
        <v>161.58000000000001</v>
      </c>
    </row>
    <row r="1948" spans="1:2" x14ac:dyDescent="0.25">
      <c r="A1948" s="2">
        <v>42263</v>
      </c>
      <c r="B1948">
        <v>164.33</v>
      </c>
    </row>
    <row r="1949" spans="1:2" x14ac:dyDescent="0.25">
      <c r="A1949" s="2">
        <v>42264</v>
      </c>
      <c r="B1949">
        <v>162.71</v>
      </c>
    </row>
    <row r="1950" spans="1:2" x14ac:dyDescent="0.25">
      <c r="A1950" s="2">
        <v>42265</v>
      </c>
      <c r="B1950">
        <v>158.59</v>
      </c>
    </row>
    <row r="1951" spans="1:2" x14ac:dyDescent="0.25">
      <c r="A1951" s="2">
        <v>42266</v>
      </c>
      <c r="B1951">
        <v>158.59</v>
      </c>
    </row>
    <row r="1952" spans="1:2" x14ac:dyDescent="0.25">
      <c r="A1952" s="2">
        <v>42267</v>
      </c>
      <c r="B1952">
        <v>158.59</v>
      </c>
    </row>
    <row r="1953" spans="1:2" x14ac:dyDescent="0.25">
      <c r="A1953" s="2">
        <v>42268</v>
      </c>
      <c r="B1953">
        <v>161.71</v>
      </c>
    </row>
    <row r="1954" spans="1:2" x14ac:dyDescent="0.25">
      <c r="A1954" s="2">
        <v>42269</v>
      </c>
      <c r="B1954">
        <v>161.08000000000001</v>
      </c>
    </row>
    <row r="1955" spans="1:2" x14ac:dyDescent="0.25">
      <c r="A1955" s="2">
        <v>42270</v>
      </c>
      <c r="B1955">
        <v>160.83000000000001</v>
      </c>
    </row>
    <row r="1956" spans="1:2" x14ac:dyDescent="0.25">
      <c r="A1956" s="2">
        <v>42271</v>
      </c>
      <c r="B1956">
        <v>158.97999999999999</v>
      </c>
    </row>
    <row r="1957" spans="1:2" x14ac:dyDescent="0.25">
      <c r="A1957" s="2">
        <v>42272</v>
      </c>
      <c r="B1957">
        <v>160.19</v>
      </c>
    </row>
    <row r="1958" spans="1:2" x14ac:dyDescent="0.25">
      <c r="A1958" s="2">
        <v>42273</v>
      </c>
      <c r="B1958">
        <v>160.19</v>
      </c>
    </row>
    <row r="1959" spans="1:2" x14ac:dyDescent="0.25">
      <c r="A1959" s="2">
        <v>42274</v>
      </c>
      <c r="B1959">
        <v>160.19</v>
      </c>
    </row>
    <row r="1960" spans="1:2" x14ac:dyDescent="0.25">
      <c r="A1960" s="2">
        <v>42275</v>
      </c>
      <c r="B1960">
        <v>155.85</v>
      </c>
    </row>
    <row r="1961" spans="1:2" x14ac:dyDescent="0.25">
      <c r="A1961" s="2">
        <v>42276</v>
      </c>
      <c r="B1961">
        <v>155.59</v>
      </c>
    </row>
    <row r="1962" spans="1:2" x14ac:dyDescent="0.25">
      <c r="A1962" s="2">
        <v>42277</v>
      </c>
      <c r="B1962">
        <v>158.57</v>
      </c>
    </row>
    <row r="1963" spans="1:2" x14ac:dyDescent="0.25">
      <c r="A1963" s="2">
        <v>42278</v>
      </c>
      <c r="B1963">
        <v>159.61000000000001</v>
      </c>
    </row>
    <row r="1964" spans="1:2" x14ac:dyDescent="0.25">
      <c r="A1964" s="2">
        <v>42279</v>
      </c>
      <c r="B1964">
        <v>161.80000000000001</v>
      </c>
    </row>
    <row r="1965" spans="1:2" x14ac:dyDescent="0.25">
      <c r="A1965" s="2">
        <v>42280</v>
      </c>
      <c r="B1965">
        <v>161.80000000000001</v>
      </c>
    </row>
    <row r="1966" spans="1:2" x14ac:dyDescent="0.25">
      <c r="A1966" s="2">
        <v>42281</v>
      </c>
      <c r="B1966">
        <v>161.80000000000001</v>
      </c>
    </row>
    <row r="1967" spans="1:2" x14ac:dyDescent="0.25">
      <c r="A1967" s="2">
        <v>42282</v>
      </c>
      <c r="B1967">
        <v>163.65</v>
      </c>
    </row>
    <row r="1968" spans="1:2" x14ac:dyDescent="0.25">
      <c r="A1968" s="2">
        <v>42283</v>
      </c>
      <c r="B1968">
        <v>163.24</v>
      </c>
    </row>
    <row r="1969" spans="1:2" x14ac:dyDescent="0.25">
      <c r="A1969" s="2">
        <v>42284</v>
      </c>
      <c r="B1969">
        <v>163.99</v>
      </c>
    </row>
    <row r="1970" spans="1:2" x14ac:dyDescent="0.25">
      <c r="A1970" s="2">
        <v>42285</v>
      </c>
      <c r="B1970">
        <v>165.61</v>
      </c>
    </row>
    <row r="1971" spans="1:2" x14ac:dyDescent="0.25">
      <c r="A1971" s="2">
        <v>42286</v>
      </c>
      <c r="B1971">
        <v>164.16</v>
      </c>
    </row>
    <row r="1972" spans="1:2" x14ac:dyDescent="0.25">
      <c r="A1972" s="2">
        <v>42287</v>
      </c>
      <c r="B1972">
        <v>164.16</v>
      </c>
    </row>
    <row r="1973" spans="1:2" x14ac:dyDescent="0.25">
      <c r="A1973" s="2">
        <v>42288</v>
      </c>
      <c r="B1973">
        <v>164.16</v>
      </c>
    </row>
    <row r="1974" spans="1:2" x14ac:dyDescent="0.25">
      <c r="A1974" s="2">
        <v>42289</v>
      </c>
      <c r="B1974">
        <v>164.2</v>
      </c>
    </row>
    <row r="1975" spans="1:2" x14ac:dyDescent="0.25">
      <c r="A1975" s="2">
        <v>42290</v>
      </c>
      <c r="B1975">
        <v>163.08000000000001</v>
      </c>
    </row>
    <row r="1976" spans="1:2" x14ac:dyDescent="0.25">
      <c r="A1976" s="2">
        <v>42291</v>
      </c>
      <c r="B1976">
        <v>161.81</v>
      </c>
    </row>
    <row r="1977" spans="1:2" x14ac:dyDescent="0.25">
      <c r="A1977" s="2">
        <v>42292</v>
      </c>
      <c r="B1977">
        <v>163.81</v>
      </c>
    </row>
    <row r="1978" spans="1:2" x14ac:dyDescent="0.25">
      <c r="A1978" s="2">
        <v>42293</v>
      </c>
      <c r="B1978">
        <v>165.7</v>
      </c>
    </row>
    <row r="1979" spans="1:2" x14ac:dyDescent="0.25">
      <c r="A1979" s="2">
        <v>42294</v>
      </c>
      <c r="B1979">
        <v>165.7</v>
      </c>
    </row>
    <row r="1980" spans="1:2" x14ac:dyDescent="0.25">
      <c r="A1980" s="2">
        <v>42295</v>
      </c>
      <c r="B1980">
        <v>165.7</v>
      </c>
    </row>
    <row r="1981" spans="1:2" x14ac:dyDescent="0.25">
      <c r="A1981" s="2">
        <v>42296</v>
      </c>
      <c r="B1981">
        <v>166.14</v>
      </c>
    </row>
    <row r="1982" spans="1:2" x14ac:dyDescent="0.25">
      <c r="A1982" s="2">
        <v>42297</v>
      </c>
      <c r="B1982">
        <v>165.32</v>
      </c>
    </row>
    <row r="1983" spans="1:2" x14ac:dyDescent="0.25">
      <c r="A1983" s="2">
        <v>42298</v>
      </c>
      <c r="B1983">
        <v>164.66</v>
      </c>
    </row>
    <row r="1984" spans="1:2" x14ac:dyDescent="0.25">
      <c r="A1984" s="2">
        <v>42299</v>
      </c>
      <c r="B1984">
        <v>168.01</v>
      </c>
    </row>
    <row r="1985" spans="1:2" x14ac:dyDescent="0.25">
      <c r="A1985" s="2">
        <v>42300</v>
      </c>
      <c r="B1985">
        <v>173.37</v>
      </c>
    </row>
    <row r="1986" spans="1:2" x14ac:dyDescent="0.25">
      <c r="A1986" s="2">
        <v>42301</v>
      </c>
      <c r="B1986">
        <v>173.37</v>
      </c>
    </row>
    <row r="1987" spans="1:2" x14ac:dyDescent="0.25">
      <c r="A1987" s="2">
        <v>42302</v>
      </c>
      <c r="B1987">
        <v>173.37</v>
      </c>
    </row>
    <row r="1988" spans="1:2" x14ac:dyDescent="0.25">
      <c r="A1988" s="2">
        <v>42303</v>
      </c>
      <c r="B1988">
        <v>174.19</v>
      </c>
    </row>
    <row r="1989" spans="1:2" x14ac:dyDescent="0.25">
      <c r="A1989" s="2">
        <v>42304</v>
      </c>
      <c r="B1989">
        <v>172.96</v>
      </c>
    </row>
    <row r="1990" spans="1:2" x14ac:dyDescent="0.25">
      <c r="A1990" s="2">
        <v>42305</v>
      </c>
      <c r="B1990">
        <v>174.64</v>
      </c>
    </row>
    <row r="1991" spans="1:2" x14ac:dyDescent="0.25">
      <c r="A1991" s="2">
        <v>42306</v>
      </c>
      <c r="B1991">
        <v>177.05</v>
      </c>
    </row>
    <row r="1992" spans="1:2" x14ac:dyDescent="0.25">
      <c r="A1992" s="2">
        <v>42307</v>
      </c>
      <c r="B1992">
        <v>174.81</v>
      </c>
    </row>
    <row r="1993" spans="1:2" x14ac:dyDescent="0.25">
      <c r="A1993" s="2">
        <v>42308</v>
      </c>
      <c r="B1993">
        <v>174.81</v>
      </c>
    </row>
    <row r="1994" spans="1:2" x14ac:dyDescent="0.25">
      <c r="A1994" s="2">
        <v>42309</v>
      </c>
      <c r="B1994">
        <v>174.81</v>
      </c>
    </row>
    <row r="1995" spans="1:2" x14ac:dyDescent="0.25">
      <c r="A1995" s="2">
        <v>42310</v>
      </c>
      <c r="B1995">
        <v>176.64</v>
      </c>
    </row>
    <row r="1996" spans="1:2" x14ac:dyDescent="0.25">
      <c r="A1996" s="2">
        <v>42311</v>
      </c>
      <c r="B1996">
        <v>178.03</v>
      </c>
    </row>
    <row r="1997" spans="1:2" x14ac:dyDescent="0.25">
      <c r="A1997" s="2">
        <v>42312</v>
      </c>
      <c r="B1997">
        <v>178.12</v>
      </c>
    </row>
    <row r="1998" spans="1:2" x14ac:dyDescent="0.25">
      <c r="A1998" s="2">
        <v>42313</v>
      </c>
      <c r="B1998">
        <v>178.8</v>
      </c>
    </row>
    <row r="1999" spans="1:2" x14ac:dyDescent="0.25">
      <c r="A1999" s="2">
        <v>42314</v>
      </c>
      <c r="B1999">
        <v>179.07</v>
      </c>
    </row>
    <row r="2000" spans="1:2" x14ac:dyDescent="0.25">
      <c r="A2000" s="2">
        <v>42315</v>
      </c>
      <c r="B2000">
        <v>179.07</v>
      </c>
    </row>
    <row r="2001" spans="1:2" x14ac:dyDescent="0.25">
      <c r="A2001" s="2">
        <v>42316</v>
      </c>
      <c r="B2001">
        <v>179.07</v>
      </c>
    </row>
    <row r="2002" spans="1:2" x14ac:dyDescent="0.25">
      <c r="A2002" s="2">
        <v>42317</v>
      </c>
      <c r="B2002">
        <v>178.79</v>
      </c>
    </row>
    <row r="2003" spans="1:2" x14ac:dyDescent="0.25">
      <c r="A2003" s="2">
        <v>42318</v>
      </c>
      <c r="B2003">
        <v>180.18</v>
      </c>
    </row>
    <row r="2004" spans="1:2" x14ac:dyDescent="0.25">
      <c r="A2004" s="2">
        <v>42319</v>
      </c>
      <c r="B2004">
        <v>179.52</v>
      </c>
    </row>
    <row r="2005" spans="1:2" x14ac:dyDescent="0.25">
      <c r="A2005" s="2">
        <v>42320</v>
      </c>
      <c r="B2005">
        <v>176.87</v>
      </c>
    </row>
    <row r="2006" spans="1:2" x14ac:dyDescent="0.25">
      <c r="A2006" s="2">
        <v>42321</v>
      </c>
      <c r="B2006">
        <v>174.28</v>
      </c>
    </row>
    <row r="2007" spans="1:2" x14ac:dyDescent="0.25">
      <c r="A2007" s="2">
        <v>42322</v>
      </c>
      <c r="B2007">
        <v>174.28</v>
      </c>
    </row>
    <row r="2008" spans="1:2" x14ac:dyDescent="0.25">
      <c r="A2008" s="2">
        <v>42323</v>
      </c>
      <c r="B2008">
        <v>174.28</v>
      </c>
    </row>
    <row r="2009" spans="1:2" x14ac:dyDescent="0.25">
      <c r="A2009" s="2">
        <v>42324</v>
      </c>
      <c r="B2009">
        <v>177.57</v>
      </c>
    </row>
    <row r="2010" spans="1:2" x14ac:dyDescent="0.25">
      <c r="A2010" s="2">
        <v>42325</v>
      </c>
      <c r="B2010">
        <v>178.25</v>
      </c>
    </row>
    <row r="2011" spans="1:2" x14ac:dyDescent="0.25">
      <c r="A2011" s="2">
        <v>42326</v>
      </c>
      <c r="B2011">
        <v>181.21</v>
      </c>
    </row>
    <row r="2012" spans="1:2" x14ac:dyDescent="0.25">
      <c r="A2012" s="2">
        <v>42327</v>
      </c>
      <c r="B2012">
        <v>180.66</v>
      </c>
    </row>
    <row r="2013" spans="1:2" x14ac:dyDescent="0.25">
      <c r="A2013" s="2">
        <v>42328</v>
      </c>
      <c r="B2013">
        <v>181.35</v>
      </c>
    </row>
    <row r="2014" spans="1:2" x14ac:dyDescent="0.25">
      <c r="A2014" s="2">
        <v>42329</v>
      </c>
      <c r="B2014">
        <v>181.35</v>
      </c>
    </row>
    <row r="2015" spans="1:2" x14ac:dyDescent="0.25">
      <c r="A2015" s="2">
        <v>42330</v>
      </c>
      <c r="B2015">
        <v>181.35</v>
      </c>
    </row>
    <row r="2016" spans="1:2" x14ac:dyDescent="0.25">
      <c r="A2016" s="2">
        <v>42331</v>
      </c>
      <c r="B2016">
        <v>182.11</v>
      </c>
    </row>
    <row r="2017" spans="1:2" x14ac:dyDescent="0.25">
      <c r="A2017" s="2">
        <v>42332</v>
      </c>
      <c r="B2017">
        <v>181.99</v>
      </c>
    </row>
    <row r="2018" spans="1:2" x14ac:dyDescent="0.25">
      <c r="A2018" s="2">
        <v>42333</v>
      </c>
      <c r="B2018">
        <v>183.1</v>
      </c>
    </row>
    <row r="2019" spans="1:2" x14ac:dyDescent="0.25">
      <c r="A2019" s="2">
        <v>42334</v>
      </c>
      <c r="B2019">
        <v>182.65</v>
      </c>
    </row>
    <row r="2020" spans="1:2" x14ac:dyDescent="0.25">
      <c r="A2020" s="2">
        <v>42335</v>
      </c>
      <c r="B2020">
        <v>183.35</v>
      </c>
    </row>
    <row r="2021" spans="1:2" x14ac:dyDescent="0.25">
      <c r="A2021" s="2">
        <v>42336</v>
      </c>
      <c r="B2021">
        <v>183.35</v>
      </c>
    </row>
    <row r="2022" spans="1:2" x14ac:dyDescent="0.25">
      <c r="A2022" s="2">
        <v>42337</v>
      </c>
      <c r="B2022">
        <v>183.35</v>
      </c>
    </row>
    <row r="2023" spans="1:2" x14ac:dyDescent="0.25">
      <c r="A2023" s="2">
        <v>42338</v>
      </c>
      <c r="B2023">
        <v>182.52</v>
      </c>
    </row>
    <row r="2024" spans="1:2" x14ac:dyDescent="0.25">
      <c r="A2024" s="2">
        <v>42339</v>
      </c>
      <c r="B2024">
        <v>184.11</v>
      </c>
    </row>
    <row r="2025" spans="1:2" x14ac:dyDescent="0.25">
      <c r="A2025" s="2">
        <v>42340</v>
      </c>
      <c r="B2025">
        <v>181.93</v>
      </c>
    </row>
    <row r="2026" spans="1:2" x14ac:dyDescent="0.25">
      <c r="A2026" s="2">
        <v>42341</v>
      </c>
      <c r="B2026">
        <v>178.32</v>
      </c>
    </row>
    <row r="2027" spans="1:2" x14ac:dyDescent="0.25">
      <c r="A2027" s="2">
        <v>42342</v>
      </c>
      <c r="B2027">
        <v>178.13</v>
      </c>
    </row>
    <row r="2028" spans="1:2" x14ac:dyDescent="0.25">
      <c r="A2028" s="2">
        <v>42343</v>
      </c>
      <c r="B2028">
        <v>178.13</v>
      </c>
    </row>
    <row r="2029" spans="1:2" x14ac:dyDescent="0.25">
      <c r="A2029" s="2">
        <v>42344</v>
      </c>
      <c r="B2029">
        <v>178.13</v>
      </c>
    </row>
    <row r="2030" spans="1:2" x14ac:dyDescent="0.25">
      <c r="A2030" s="2">
        <v>42345</v>
      </c>
      <c r="B2030">
        <v>178.43</v>
      </c>
    </row>
    <row r="2031" spans="1:2" x14ac:dyDescent="0.25">
      <c r="A2031" s="2">
        <v>42346</v>
      </c>
      <c r="B2031">
        <v>176.2</v>
      </c>
    </row>
    <row r="2032" spans="1:2" x14ac:dyDescent="0.25">
      <c r="A2032" s="2">
        <v>42347</v>
      </c>
      <c r="B2032">
        <v>173.79</v>
      </c>
    </row>
    <row r="2033" spans="1:2" x14ac:dyDescent="0.25">
      <c r="A2033" s="2">
        <v>42348</v>
      </c>
      <c r="B2033">
        <v>174.17</v>
      </c>
    </row>
    <row r="2034" spans="1:2" x14ac:dyDescent="0.25">
      <c r="A2034" s="2">
        <v>42349</v>
      </c>
      <c r="B2034">
        <v>170.69</v>
      </c>
    </row>
    <row r="2035" spans="1:2" x14ac:dyDescent="0.25">
      <c r="A2035" s="2">
        <v>42350</v>
      </c>
      <c r="B2035">
        <v>170.69</v>
      </c>
    </row>
    <row r="2036" spans="1:2" x14ac:dyDescent="0.25">
      <c r="A2036" s="2">
        <v>42351</v>
      </c>
      <c r="B2036">
        <v>170.69</v>
      </c>
    </row>
    <row r="2037" spans="1:2" x14ac:dyDescent="0.25">
      <c r="A2037" s="2">
        <v>42352</v>
      </c>
      <c r="B2037">
        <v>171</v>
      </c>
    </row>
    <row r="2038" spans="1:2" x14ac:dyDescent="0.25">
      <c r="A2038" s="2">
        <v>42353</v>
      </c>
      <c r="B2038">
        <v>172.71</v>
      </c>
    </row>
    <row r="2039" spans="1:2" x14ac:dyDescent="0.25">
      <c r="A2039" s="2">
        <v>42354</v>
      </c>
      <c r="B2039">
        <v>176.15</v>
      </c>
    </row>
    <row r="2040" spans="1:2" x14ac:dyDescent="0.25">
      <c r="A2040" s="2">
        <v>42355</v>
      </c>
      <c r="B2040">
        <v>174.98</v>
      </c>
    </row>
    <row r="2041" spans="1:2" x14ac:dyDescent="0.25">
      <c r="A2041" s="2">
        <v>42356</v>
      </c>
      <c r="B2041">
        <v>171.95</v>
      </c>
    </row>
    <row r="2042" spans="1:2" x14ac:dyDescent="0.25">
      <c r="A2042" s="2">
        <v>42357</v>
      </c>
      <c r="B2042">
        <v>171.95</v>
      </c>
    </row>
    <row r="2043" spans="1:2" x14ac:dyDescent="0.25">
      <c r="A2043" s="2">
        <v>42358</v>
      </c>
      <c r="B2043">
        <v>171.95</v>
      </c>
    </row>
    <row r="2044" spans="1:2" x14ac:dyDescent="0.25">
      <c r="A2044" s="2">
        <v>42359</v>
      </c>
      <c r="B2044">
        <v>172.77</v>
      </c>
    </row>
    <row r="2045" spans="1:2" x14ac:dyDescent="0.25">
      <c r="A2045" s="2">
        <v>42360</v>
      </c>
      <c r="B2045">
        <v>173</v>
      </c>
    </row>
    <row r="2046" spans="1:2" x14ac:dyDescent="0.25">
      <c r="A2046" s="2">
        <v>42361</v>
      </c>
      <c r="B2046">
        <v>175.73</v>
      </c>
    </row>
    <row r="2047" spans="1:2" x14ac:dyDescent="0.25">
      <c r="A2047" s="2">
        <v>42362</v>
      </c>
      <c r="B2047">
        <v>174.96</v>
      </c>
    </row>
    <row r="2048" spans="1:2" x14ac:dyDescent="0.25">
      <c r="A2048" s="2">
        <v>42363</v>
      </c>
      <c r="B2048">
        <v>175.62</v>
      </c>
    </row>
    <row r="2049" spans="1:2" x14ac:dyDescent="0.25">
      <c r="A2049" s="2">
        <v>42364</v>
      </c>
      <c r="B2049">
        <v>175.62</v>
      </c>
    </row>
    <row r="2050" spans="1:2" x14ac:dyDescent="0.25">
      <c r="A2050" s="2">
        <v>42365</v>
      </c>
      <c r="B2050">
        <v>175.62</v>
      </c>
    </row>
    <row r="2051" spans="1:2" x14ac:dyDescent="0.25">
      <c r="A2051" s="2">
        <v>42366</v>
      </c>
      <c r="B2051">
        <v>173.35</v>
      </c>
    </row>
    <row r="2052" spans="1:2" x14ac:dyDescent="0.25">
      <c r="A2052" s="2">
        <v>42367</v>
      </c>
      <c r="B2052">
        <v>176.38</v>
      </c>
    </row>
    <row r="2053" spans="1:2" x14ac:dyDescent="0.25">
      <c r="A2053" s="2">
        <v>42368</v>
      </c>
      <c r="B2053">
        <v>175.54</v>
      </c>
    </row>
    <row r="2054" spans="1:2" x14ac:dyDescent="0.25">
      <c r="A2054" s="2">
        <v>42369</v>
      </c>
      <c r="B2054">
        <v>174.51</v>
      </c>
    </row>
    <row r="2055" spans="1:2" x14ac:dyDescent="0.25">
      <c r="A2055" s="2">
        <v>42370</v>
      </c>
      <c r="B2055">
        <v>174.51</v>
      </c>
    </row>
    <row r="2056" spans="1:2" x14ac:dyDescent="0.25">
      <c r="A2056" s="2">
        <v>42371</v>
      </c>
      <c r="B2056">
        <v>174.51</v>
      </c>
    </row>
    <row r="2057" spans="1:2" x14ac:dyDescent="0.25">
      <c r="A2057" s="2">
        <v>42372</v>
      </c>
      <c r="B2057">
        <v>174.51</v>
      </c>
    </row>
    <row r="2058" spans="1:2" x14ac:dyDescent="0.25">
      <c r="A2058" s="2">
        <v>42373</v>
      </c>
      <c r="B2058">
        <v>171.7</v>
      </c>
    </row>
    <row r="2059" spans="1:2" x14ac:dyDescent="0.25">
      <c r="A2059" s="2">
        <v>42374</v>
      </c>
      <c r="B2059">
        <v>174.47</v>
      </c>
    </row>
    <row r="2060" spans="1:2" x14ac:dyDescent="0.25">
      <c r="A2060" s="2">
        <v>42375</v>
      </c>
      <c r="B2060">
        <v>172.3</v>
      </c>
    </row>
    <row r="2061" spans="1:2" x14ac:dyDescent="0.25">
      <c r="A2061" s="2">
        <v>42376</v>
      </c>
      <c r="B2061">
        <v>166.28</v>
      </c>
    </row>
    <row r="2062" spans="1:2" x14ac:dyDescent="0.25">
      <c r="A2062" s="2">
        <v>42377</v>
      </c>
      <c r="B2062">
        <v>164.58</v>
      </c>
    </row>
    <row r="2063" spans="1:2" x14ac:dyDescent="0.25">
      <c r="A2063" s="2">
        <v>42378</v>
      </c>
      <c r="B2063">
        <v>164.58</v>
      </c>
    </row>
    <row r="2064" spans="1:2" x14ac:dyDescent="0.25">
      <c r="A2064" s="2">
        <v>42379</v>
      </c>
      <c r="B2064">
        <v>164.58</v>
      </c>
    </row>
    <row r="2065" spans="1:2" x14ac:dyDescent="0.25">
      <c r="A2065" s="2">
        <v>42380</v>
      </c>
      <c r="B2065">
        <v>164.31</v>
      </c>
    </row>
    <row r="2066" spans="1:2" x14ac:dyDescent="0.25">
      <c r="A2066" s="2">
        <v>42381</v>
      </c>
      <c r="B2066">
        <v>166.39</v>
      </c>
    </row>
    <row r="2067" spans="1:2" x14ac:dyDescent="0.25">
      <c r="A2067" s="2">
        <v>42382</v>
      </c>
      <c r="B2067">
        <v>162.55000000000001</v>
      </c>
    </row>
    <row r="2068" spans="1:2" x14ac:dyDescent="0.25">
      <c r="A2068" s="2">
        <v>42383</v>
      </c>
      <c r="B2068">
        <v>164.1</v>
      </c>
    </row>
    <row r="2069" spans="1:2" x14ac:dyDescent="0.25">
      <c r="A2069" s="2">
        <v>42384</v>
      </c>
      <c r="B2069">
        <v>160.24</v>
      </c>
    </row>
    <row r="2070" spans="1:2" x14ac:dyDescent="0.25">
      <c r="A2070" s="2">
        <v>42385</v>
      </c>
      <c r="B2070">
        <v>160.24</v>
      </c>
    </row>
    <row r="2071" spans="1:2" x14ac:dyDescent="0.25">
      <c r="A2071" s="2">
        <v>42386</v>
      </c>
      <c r="B2071">
        <v>160.24</v>
      </c>
    </row>
    <row r="2072" spans="1:2" x14ac:dyDescent="0.25">
      <c r="A2072" s="2">
        <v>42387</v>
      </c>
      <c r="B2072">
        <v>160.57</v>
      </c>
    </row>
    <row r="2073" spans="1:2" x14ac:dyDescent="0.25">
      <c r="A2073" s="2">
        <v>42388</v>
      </c>
      <c r="B2073">
        <v>161</v>
      </c>
    </row>
    <row r="2074" spans="1:2" x14ac:dyDescent="0.25">
      <c r="A2074" s="2">
        <v>42389</v>
      </c>
      <c r="B2074">
        <v>158.58000000000001</v>
      </c>
    </row>
    <row r="2075" spans="1:2" x14ac:dyDescent="0.25">
      <c r="A2075" s="2">
        <v>42390</v>
      </c>
      <c r="B2075">
        <v>159.61000000000001</v>
      </c>
    </row>
    <row r="2076" spans="1:2" x14ac:dyDescent="0.25">
      <c r="A2076" s="2">
        <v>42391</v>
      </c>
      <c r="B2076">
        <v>164.13</v>
      </c>
    </row>
    <row r="2077" spans="1:2" x14ac:dyDescent="0.25">
      <c r="A2077" s="2">
        <v>42392</v>
      </c>
      <c r="B2077">
        <v>164.13</v>
      </c>
    </row>
    <row r="2078" spans="1:2" x14ac:dyDescent="0.25">
      <c r="A2078" s="2">
        <v>42393</v>
      </c>
      <c r="B2078">
        <v>164.13</v>
      </c>
    </row>
    <row r="2079" spans="1:2" x14ac:dyDescent="0.25">
      <c r="A2079" s="2">
        <v>42394</v>
      </c>
      <c r="B2079">
        <v>161.44999999999999</v>
      </c>
    </row>
    <row r="2080" spans="1:2" x14ac:dyDescent="0.25">
      <c r="A2080" s="2">
        <v>42395</v>
      </c>
      <c r="B2080">
        <v>163.4</v>
      </c>
    </row>
    <row r="2081" spans="1:2" x14ac:dyDescent="0.25">
      <c r="A2081" s="2">
        <v>42396</v>
      </c>
      <c r="B2081">
        <v>160.87</v>
      </c>
    </row>
    <row r="2082" spans="1:2" x14ac:dyDescent="0.25">
      <c r="A2082" s="2">
        <v>42397</v>
      </c>
      <c r="B2082">
        <v>161.55000000000001</v>
      </c>
    </row>
    <row r="2083" spans="1:2" x14ac:dyDescent="0.25">
      <c r="A2083" s="2">
        <v>42398</v>
      </c>
      <c r="B2083">
        <v>165.31</v>
      </c>
    </row>
    <row r="2084" spans="1:2" x14ac:dyDescent="0.25">
      <c r="A2084" s="2">
        <v>42399</v>
      </c>
      <c r="B2084">
        <v>165.31</v>
      </c>
    </row>
    <row r="2085" spans="1:2" x14ac:dyDescent="0.25">
      <c r="A2085" s="2">
        <v>42400</v>
      </c>
      <c r="B2085">
        <v>165.31</v>
      </c>
    </row>
    <row r="2086" spans="1:2" x14ac:dyDescent="0.25">
      <c r="A2086" s="2">
        <v>42401</v>
      </c>
      <c r="B2086">
        <v>165.78</v>
      </c>
    </row>
    <row r="2087" spans="1:2" x14ac:dyDescent="0.25">
      <c r="A2087" s="2">
        <v>42402</v>
      </c>
      <c r="B2087">
        <v>162.16</v>
      </c>
    </row>
    <row r="2088" spans="1:2" x14ac:dyDescent="0.25">
      <c r="A2088" s="2">
        <v>42403</v>
      </c>
      <c r="B2088">
        <v>162.80000000000001</v>
      </c>
    </row>
    <row r="2089" spans="1:2" x14ac:dyDescent="0.25">
      <c r="A2089" s="2">
        <v>42404</v>
      </c>
      <c r="B2089">
        <v>159.11000000000001</v>
      </c>
    </row>
    <row r="2090" spans="1:2" x14ac:dyDescent="0.25">
      <c r="A2090" s="2">
        <v>42405</v>
      </c>
      <c r="B2090">
        <v>156.22999999999999</v>
      </c>
    </row>
    <row r="2091" spans="1:2" x14ac:dyDescent="0.25">
      <c r="A2091" s="2">
        <v>42406</v>
      </c>
      <c r="B2091">
        <v>156.22999999999999</v>
      </c>
    </row>
    <row r="2092" spans="1:2" x14ac:dyDescent="0.25">
      <c r="A2092" s="2">
        <v>42407</v>
      </c>
      <c r="B2092">
        <v>156.22999999999999</v>
      </c>
    </row>
    <row r="2093" spans="1:2" x14ac:dyDescent="0.25">
      <c r="A2093" s="2">
        <v>42408</v>
      </c>
      <c r="B2093">
        <v>155.44</v>
      </c>
    </row>
    <row r="2094" spans="1:2" x14ac:dyDescent="0.25">
      <c r="A2094" s="2">
        <v>42409</v>
      </c>
      <c r="B2094">
        <v>153.5</v>
      </c>
    </row>
    <row r="2095" spans="1:2" x14ac:dyDescent="0.25">
      <c r="A2095" s="2">
        <v>42410</v>
      </c>
      <c r="B2095">
        <v>153.22</v>
      </c>
    </row>
    <row r="2096" spans="1:2" x14ac:dyDescent="0.25">
      <c r="A2096" s="2">
        <v>42411</v>
      </c>
      <c r="B2096">
        <v>150.16</v>
      </c>
    </row>
    <row r="2097" spans="1:2" x14ac:dyDescent="0.25">
      <c r="A2097" s="2">
        <v>42412</v>
      </c>
      <c r="B2097">
        <v>154.08000000000001</v>
      </c>
    </row>
    <row r="2098" spans="1:2" x14ac:dyDescent="0.25">
      <c r="A2098" s="2">
        <v>42413</v>
      </c>
      <c r="B2098">
        <v>154.08000000000001</v>
      </c>
    </row>
    <row r="2099" spans="1:2" x14ac:dyDescent="0.25">
      <c r="A2099" s="2">
        <v>42414</v>
      </c>
      <c r="B2099">
        <v>154.08000000000001</v>
      </c>
    </row>
    <row r="2100" spans="1:2" x14ac:dyDescent="0.25">
      <c r="A2100" s="2">
        <v>42415</v>
      </c>
      <c r="B2100">
        <v>155.38999999999999</v>
      </c>
    </row>
    <row r="2101" spans="1:2" x14ac:dyDescent="0.25">
      <c r="A2101" s="2">
        <v>42416</v>
      </c>
      <c r="B2101">
        <v>158.19999999999999</v>
      </c>
    </row>
    <row r="2102" spans="1:2" x14ac:dyDescent="0.25">
      <c r="A2102" s="2">
        <v>42417</v>
      </c>
      <c r="B2102">
        <v>161.26</v>
      </c>
    </row>
    <row r="2103" spans="1:2" x14ac:dyDescent="0.25">
      <c r="A2103" s="2">
        <v>42418</v>
      </c>
      <c r="B2103">
        <v>161.27000000000001</v>
      </c>
    </row>
    <row r="2104" spans="1:2" x14ac:dyDescent="0.25">
      <c r="A2104" s="2">
        <v>42419</v>
      </c>
      <c r="B2104">
        <v>161.1</v>
      </c>
    </row>
    <row r="2105" spans="1:2" x14ac:dyDescent="0.25">
      <c r="A2105" s="2">
        <v>42420</v>
      </c>
      <c r="B2105">
        <v>161.1</v>
      </c>
    </row>
    <row r="2106" spans="1:2" x14ac:dyDescent="0.25">
      <c r="A2106" s="2">
        <v>42421</v>
      </c>
      <c r="B2106">
        <v>161.1</v>
      </c>
    </row>
    <row r="2107" spans="1:2" x14ac:dyDescent="0.25">
      <c r="A2107" s="2">
        <v>42422</v>
      </c>
      <c r="B2107">
        <v>164.47</v>
      </c>
    </row>
    <row r="2108" spans="1:2" x14ac:dyDescent="0.25">
      <c r="A2108" s="2">
        <v>42423</v>
      </c>
      <c r="B2108">
        <v>162.79</v>
      </c>
    </row>
    <row r="2109" spans="1:2" x14ac:dyDescent="0.25">
      <c r="A2109" s="2">
        <v>42424</v>
      </c>
      <c r="B2109">
        <v>163.83000000000001</v>
      </c>
    </row>
    <row r="2110" spans="1:2" x14ac:dyDescent="0.25">
      <c r="A2110" s="2">
        <v>42425</v>
      </c>
      <c r="B2110">
        <v>165.03</v>
      </c>
    </row>
    <row r="2111" spans="1:2" x14ac:dyDescent="0.25">
      <c r="A2111" s="2">
        <v>42426</v>
      </c>
      <c r="B2111">
        <v>165.05</v>
      </c>
    </row>
    <row r="2112" spans="1:2" x14ac:dyDescent="0.25">
      <c r="A2112" s="2">
        <v>42427</v>
      </c>
      <c r="B2112">
        <v>165.05</v>
      </c>
    </row>
    <row r="2113" spans="1:2" x14ac:dyDescent="0.25">
      <c r="A2113" s="2">
        <v>42428</v>
      </c>
      <c r="B2113">
        <v>165.05</v>
      </c>
    </row>
    <row r="2114" spans="1:2" x14ac:dyDescent="0.25">
      <c r="A2114" s="2">
        <v>42429</v>
      </c>
      <c r="B2114">
        <v>165.5</v>
      </c>
    </row>
    <row r="2115" spans="1:2" x14ac:dyDescent="0.25">
      <c r="A2115" s="2">
        <v>42430</v>
      </c>
      <c r="B2115">
        <v>169.7</v>
      </c>
    </row>
    <row r="2116" spans="1:2" x14ac:dyDescent="0.25">
      <c r="A2116" s="2">
        <v>42431</v>
      </c>
      <c r="B2116">
        <v>170.66</v>
      </c>
    </row>
    <row r="2117" spans="1:2" x14ac:dyDescent="0.25">
      <c r="A2117" s="2">
        <v>42432</v>
      </c>
      <c r="B2117">
        <v>170.57</v>
      </c>
    </row>
    <row r="2118" spans="1:2" x14ac:dyDescent="0.25">
      <c r="A2118" s="2">
        <v>42433</v>
      </c>
      <c r="B2118">
        <v>170.05</v>
      </c>
    </row>
    <row r="2119" spans="1:2" x14ac:dyDescent="0.25">
      <c r="A2119" s="2">
        <v>42434</v>
      </c>
      <c r="B2119">
        <v>170.05</v>
      </c>
    </row>
    <row r="2120" spans="1:2" x14ac:dyDescent="0.25">
      <c r="A2120" s="2">
        <v>42435</v>
      </c>
      <c r="B2120">
        <v>170.05</v>
      </c>
    </row>
    <row r="2121" spans="1:2" x14ac:dyDescent="0.25">
      <c r="A2121" s="2">
        <v>42436</v>
      </c>
      <c r="B2121">
        <v>170.47</v>
      </c>
    </row>
    <row r="2122" spans="1:2" x14ac:dyDescent="0.25">
      <c r="A2122" s="2">
        <v>42437</v>
      </c>
      <c r="B2122">
        <v>167.45</v>
      </c>
    </row>
    <row r="2123" spans="1:2" x14ac:dyDescent="0.25">
      <c r="A2123" s="2">
        <v>42438</v>
      </c>
      <c r="B2123">
        <v>169.16</v>
      </c>
    </row>
    <row r="2124" spans="1:2" x14ac:dyDescent="0.25">
      <c r="A2124" s="2">
        <v>42439</v>
      </c>
      <c r="B2124">
        <v>171</v>
      </c>
    </row>
    <row r="2125" spans="1:2" x14ac:dyDescent="0.25">
      <c r="A2125" s="2">
        <v>42440</v>
      </c>
      <c r="B2125">
        <v>170.19</v>
      </c>
    </row>
    <row r="2126" spans="1:2" x14ac:dyDescent="0.25">
      <c r="A2126" s="2">
        <v>42441</v>
      </c>
      <c r="B2126">
        <v>170.19</v>
      </c>
    </row>
    <row r="2127" spans="1:2" x14ac:dyDescent="0.25">
      <c r="A2127" s="2">
        <v>42442</v>
      </c>
      <c r="B2127">
        <v>170.19</v>
      </c>
    </row>
    <row r="2128" spans="1:2" x14ac:dyDescent="0.25">
      <c r="A2128" s="2">
        <v>42443</v>
      </c>
      <c r="B2128">
        <v>169.54</v>
      </c>
    </row>
    <row r="2129" spans="1:2" x14ac:dyDescent="0.25">
      <c r="A2129" s="2">
        <v>42444</v>
      </c>
      <c r="B2129">
        <v>169.39</v>
      </c>
    </row>
    <row r="2130" spans="1:2" x14ac:dyDescent="0.25">
      <c r="A2130" s="2">
        <v>42445</v>
      </c>
      <c r="B2130">
        <v>171.03</v>
      </c>
    </row>
    <row r="2131" spans="1:2" x14ac:dyDescent="0.25">
      <c r="A2131" s="2">
        <v>42446</v>
      </c>
      <c r="B2131">
        <v>168.39</v>
      </c>
    </row>
    <row r="2132" spans="1:2" x14ac:dyDescent="0.25">
      <c r="A2132" s="2">
        <v>42447</v>
      </c>
      <c r="B2132">
        <v>169.62</v>
      </c>
    </row>
    <row r="2133" spans="1:2" x14ac:dyDescent="0.25">
      <c r="A2133" s="2">
        <v>42448</v>
      </c>
      <c r="B2133">
        <v>169.62</v>
      </c>
    </row>
    <row r="2134" spans="1:2" x14ac:dyDescent="0.25">
      <c r="A2134" s="2">
        <v>42449</v>
      </c>
      <c r="B2134">
        <v>169.62</v>
      </c>
    </row>
    <row r="2135" spans="1:2" x14ac:dyDescent="0.25">
      <c r="A2135" s="2">
        <v>42450</v>
      </c>
      <c r="B2135">
        <v>169.91</v>
      </c>
    </row>
    <row r="2136" spans="1:2" x14ac:dyDescent="0.25">
      <c r="A2136" s="2">
        <v>42451</v>
      </c>
      <c r="B2136">
        <v>170.67</v>
      </c>
    </row>
    <row r="2137" spans="1:2" x14ac:dyDescent="0.25">
      <c r="A2137" s="2">
        <v>42452</v>
      </c>
      <c r="B2137">
        <v>170.2</v>
      </c>
    </row>
    <row r="2138" spans="1:2" x14ac:dyDescent="0.25">
      <c r="A2138" s="2">
        <v>42453</v>
      </c>
      <c r="B2138">
        <v>170.4</v>
      </c>
    </row>
    <row r="2139" spans="1:2" x14ac:dyDescent="0.25">
      <c r="A2139" s="2">
        <v>42454</v>
      </c>
      <c r="B2139">
        <v>170.37</v>
      </c>
    </row>
    <row r="2140" spans="1:2" x14ac:dyDescent="0.25">
      <c r="A2140" s="2">
        <v>42455</v>
      </c>
      <c r="B2140">
        <v>170.37</v>
      </c>
    </row>
    <row r="2141" spans="1:2" x14ac:dyDescent="0.25">
      <c r="A2141" s="2">
        <v>42456</v>
      </c>
      <c r="B2141">
        <v>170.37</v>
      </c>
    </row>
    <row r="2142" spans="1:2" x14ac:dyDescent="0.25">
      <c r="A2142" s="2">
        <v>42457</v>
      </c>
      <c r="B2142">
        <v>170.37</v>
      </c>
    </row>
    <row r="2143" spans="1:2" x14ac:dyDescent="0.25">
      <c r="A2143" s="2">
        <v>42458</v>
      </c>
      <c r="B2143">
        <v>171.4</v>
      </c>
    </row>
    <row r="2144" spans="1:2" x14ac:dyDescent="0.25">
      <c r="A2144" s="2">
        <v>42459</v>
      </c>
      <c r="B2144">
        <v>170.19</v>
      </c>
    </row>
    <row r="2145" spans="1:2" x14ac:dyDescent="0.25">
      <c r="A2145" s="2">
        <v>42460</v>
      </c>
      <c r="B2145">
        <v>168.93</v>
      </c>
    </row>
    <row r="2146" spans="1:2" x14ac:dyDescent="0.25">
      <c r="A2146" s="2">
        <v>42461</v>
      </c>
      <c r="B2146">
        <v>169.31</v>
      </c>
    </row>
    <row r="2147" spans="1:2" x14ac:dyDescent="0.25">
      <c r="A2147" s="2">
        <v>42462</v>
      </c>
      <c r="B2147">
        <v>169.31</v>
      </c>
    </row>
    <row r="2148" spans="1:2" x14ac:dyDescent="0.25">
      <c r="A2148" s="2">
        <v>42463</v>
      </c>
      <c r="B2148">
        <v>169.31</v>
      </c>
    </row>
    <row r="2149" spans="1:2" x14ac:dyDescent="0.25">
      <c r="A2149" s="2">
        <v>42464</v>
      </c>
      <c r="B2149">
        <v>169.56</v>
      </c>
    </row>
    <row r="2150" spans="1:2" x14ac:dyDescent="0.25">
      <c r="A2150" s="2">
        <v>42465</v>
      </c>
      <c r="B2150">
        <v>168.04</v>
      </c>
    </row>
    <row r="2151" spans="1:2" x14ac:dyDescent="0.25">
      <c r="A2151" s="2">
        <v>42466</v>
      </c>
      <c r="B2151">
        <v>170.32</v>
      </c>
    </row>
    <row r="2152" spans="1:2" x14ac:dyDescent="0.25">
      <c r="A2152" s="2">
        <v>42467</v>
      </c>
      <c r="B2152">
        <v>167.87</v>
      </c>
    </row>
    <row r="2153" spans="1:2" x14ac:dyDescent="0.25">
      <c r="A2153" s="2">
        <v>42468</v>
      </c>
      <c r="B2153">
        <v>168.35</v>
      </c>
    </row>
    <row r="2154" spans="1:2" x14ac:dyDescent="0.25">
      <c r="A2154" s="2">
        <v>42469</v>
      </c>
      <c r="B2154">
        <v>168.35</v>
      </c>
    </row>
    <row r="2155" spans="1:2" x14ac:dyDescent="0.25">
      <c r="A2155" s="2">
        <v>42470</v>
      </c>
      <c r="B2155">
        <v>168.35</v>
      </c>
    </row>
    <row r="2156" spans="1:2" x14ac:dyDescent="0.25">
      <c r="A2156" s="2">
        <v>42471</v>
      </c>
      <c r="B2156">
        <v>167.49</v>
      </c>
    </row>
    <row r="2157" spans="1:2" x14ac:dyDescent="0.25">
      <c r="A2157" s="2">
        <v>42472</v>
      </c>
      <c r="B2157">
        <v>169.02</v>
      </c>
    </row>
    <row r="2158" spans="1:2" x14ac:dyDescent="0.25">
      <c r="A2158" s="2">
        <v>42473</v>
      </c>
      <c r="B2158">
        <v>172.23</v>
      </c>
    </row>
    <row r="2159" spans="1:2" x14ac:dyDescent="0.25">
      <c r="A2159" s="2">
        <v>42474</v>
      </c>
      <c r="B2159">
        <v>172.97</v>
      </c>
    </row>
    <row r="2160" spans="1:2" x14ac:dyDescent="0.25">
      <c r="A2160" s="2">
        <v>42475</v>
      </c>
      <c r="B2160">
        <v>172.31</v>
      </c>
    </row>
    <row r="2161" spans="1:2" x14ac:dyDescent="0.25">
      <c r="A2161" s="2">
        <v>42476</v>
      </c>
      <c r="B2161">
        <v>172.31</v>
      </c>
    </row>
    <row r="2162" spans="1:2" x14ac:dyDescent="0.25">
      <c r="A2162" s="2">
        <v>42477</v>
      </c>
      <c r="B2162">
        <v>172.31</v>
      </c>
    </row>
    <row r="2163" spans="1:2" x14ac:dyDescent="0.25">
      <c r="A2163" s="2">
        <v>42478</v>
      </c>
      <c r="B2163">
        <v>173.1</v>
      </c>
    </row>
    <row r="2164" spans="1:2" x14ac:dyDescent="0.25">
      <c r="A2164" s="2">
        <v>42479</v>
      </c>
      <c r="B2164">
        <v>173.07</v>
      </c>
    </row>
    <row r="2165" spans="1:2" x14ac:dyDescent="0.25">
      <c r="A2165" s="2">
        <v>42480</v>
      </c>
      <c r="B2165">
        <v>172.66</v>
      </c>
    </row>
    <row r="2166" spans="1:2" x14ac:dyDescent="0.25">
      <c r="A2166" s="2">
        <v>42481</v>
      </c>
      <c r="B2166">
        <v>172.13</v>
      </c>
    </row>
    <row r="2167" spans="1:2" x14ac:dyDescent="0.25">
      <c r="A2167" s="2">
        <v>42482</v>
      </c>
      <c r="B2167">
        <v>173.54</v>
      </c>
    </row>
    <row r="2168" spans="1:2" x14ac:dyDescent="0.25">
      <c r="A2168" s="2">
        <v>42483</v>
      </c>
      <c r="B2168">
        <v>173.54</v>
      </c>
    </row>
    <row r="2169" spans="1:2" x14ac:dyDescent="0.25">
      <c r="A2169" s="2">
        <v>42484</v>
      </c>
      <c r="B2169">
        <v>173.54</v>
      </c>
    </row>
    <row r="2170" spans="1:2" x14ac:dyDescent="0.25">
      <c r="A2170" s="2">
        <v>42485</v>
      </c>
      <c r="B2170">
        <v>173.22</v>
      </c>
    </row>
    <row r="2171" spans="1:2" x14ac:dyDescent="0.25">
      <c r="A2171" s="2">
        <v>42486</v>
      </c>
      <c r="B2171">
        <v>173.18</v>
      </c>
    </row>
    <row r="2172" spans="1:2" x14ac:dyDescent="0.25">
      <c r="A2172" s="2">
        <v>42487</v>
      </c>
      <c r="B2172">
        <v>173.24</v>
      </c>
    </row>
    <row r="2173" spans="1:2" x14ac:dyDescent="0.25">
      <c r="A2173" s="2">
        <v>42488</v>
      </c>
      <c r="B2173">
        <v>170.81</v>
      </c>
    </row>
    <row r="2174" spans="1:2" x14ac:dyDescent="0.25">
      <c r="A2174" s="2">
        <v>42489</v>
      </c>
      <c r="B2174">
        <v>169.28</v>
      </c>
    </row>
    <row r="2175" spans="1:2" x14ac:dyDescent="0.25">
      <c r="A2175" s="2">
        <v>42490</v>
      </c>
      <c r="B2175">
        <v>169.28</v>
      </c>
    </row>
    <row r="2176" spans="1:2" x14ac:dyDescent="0.25">
      <c r="A2176" s="2">
        <v>42491</v>
      </c>
      <c r="B2176">
        <v>169.28</v>
      </c>
    </row>
    <row r="2177" spans="1:2" x14ac:dyDescent="0.25">
      <c r="A2177" s="2">
        <v>42492</v>
      </c>
      <c r="B2177">
        <v>168.29</v>
      </c>
    </row>
    <row r="2178" spans="1:2" x14ac:dyDescent="0.25">
      <c r="A2178" s="2">
        <v>42493</v>
      </c>
      <c r="B2178">
        <v>166.7</v>
      </c>
    </row>
    <row r="2179" spans="1:2" x14ac:dyDescent="0.25">
      <c r="A2179" s="2">
        <v>42494</v>
      </c>
      <c r="B2179">
        <v>166.67</v>
      </c>
    </row>
    <row r="2180" spans="1:2" x14ac:dyDescent="0.25">
      <c r="A2180" s="2">
        <v>42495</v>
      </c>
      <c r="B2180">
        <v>167.62</v>
      </c>
    </row>
    <row r="2181" spans="1:2" x14ac:dyDescent="0.25">
      <c r="A2181" s="2">
        <v>42496</v>
      </c>
      <c r="B2181">
        <v>168.35</v>
      </c>
    </row>
    <row r="2182" spans="1:2" x14ac:dyDescent="0.25">
      <c r="A2182" s="2">
        <v>42497</v>
      </c>
      <c r="B2182">
        <v>168.35</v>
      </c>
    </row>
    <row r="2183" spans="1:2" x14ac:dyDescent="0.25">
      <c r="A2183" s="2">
        <v>42498</v>
      </c>
      <c r="B2183">
        <v>168.35</v>
      </c>
    </row>
    <row r="2184" spans="1:2" x14ac:dyDescent="0.25">
      <c r="A2184" s="2">
        <v>42499</v>
      </c>
      <c r="B2184">
        <v>168.94</v>
      </c>
    </row>
    <row r="2185" spans="1:2" x14ac:dyDescent="0.25">
      <c r="A2185" s="2">
        <v>42500</v>
      </c>
      <c r="B2185">
        <v>171.36</v>
      </c>
    </row>
    <row r="2186" spans="1:2" x14ac:dyDescent="0.25">
      <c r="A2186" s="2">
        <v>42501</v>
      </c>
      <c r="B2186">
        <v>169.29</v>
      </c>
    </row>
    <row r="2187" spans="1:2" x14ac:dyDescent="0.25">
      <c r="A2187" s="2">
        <v>42502</v>
      </c>
      <c r="B2187">
        <v>169.57</v>
      </c>
    </row>
    <row r="2188" spans="1:2" x14ac:dyDescent="0.25">
      <c r="A2188" s="2">
        <v>42503</v>
      </c>
      <c r="B2188">
        <v>168.75</v>
      </c>
    </row>
    <row r="2189" spans="1:2" x14ac:dyDescent="0.25">
      <c r="A2189" s="2">
        <v>42504</v>
      </c>
      <c r="B2189">
        <v>168.75</v>
      </c>
    </row>
    <row r="2190" spans="1:2" x14ac:dyDescent="0.25">
      <c r="A2190" s="2">
        <v>42505</v>
      </c>
      <c r="B2190">
        <v>168.75</v>
      </c>
    </row>
    <row r="2191" spans="1:2" x14ac:dyDescent="0.25">
      <c r="A2191" s="2">
        <v>42506</v>
      </c>
      <c r="B2191">
        <v>170.79</v>
      </c>
    </row>
    <row r="2192" spans="1:2" x14ac:dyDescent="0.25">
      <c r="A2192" s="2">
        <v>42507</v>
      </c>
      <c r="B2192">
        <v>169.31</v>
      </c>
    </row>
    <row r="2193" spans="1:2" x14ac:dyDescent="0.25">
      <c r="A2193" s="2">
        <v>42508</v>
      </c>
      <c r="B2193">
        <v>169.95</v>
      </c>
    </row>
    <row r="2194" spans="1:2" x14ac:dyDescent="0.25">
      <c r="A2194" s="2">
        <v>42509</v>
      </c>
      <c r="B2194">
        <v>170.56</v>
      </c>
    </row>
    <row r="2195" spans="1:2" x14ac:dyDescent="0.25">
      <c r="A2195" s="2">
        <v>42510</v>
      </c>
      <c r="B2195">
        <v>171.28</v>
      </c>
    </row>
    <row r="2196" spans="1:2" x14ac:dyDescent="0.25">
      <c r="A2196" s="2">
        <v>42511</v>
      </c>
      <c r="B2196">
        <v>171.28</v>
      </c>
    </row>
    <row r="2197" spans="1:2" x14ac:dyDescent="0.25">
      <c r="A2197" s="2">
        <v>42512</v>
      </c>
      <c r="B2197">
        <v>171.28</v>
      </c>
    </row>
    <row r="2198" spans="1:2" x14ac:dyDescent="0.25">
      <c r="A2198" s="2">
        <v>42513</v>
      </c>
      <c r="B2198">
        <v>170.99</v>
      </c>
    </row>
    <row r="2199" spans="1:2" x14ac:dyDescent="0.25">
      <c r="A2199" s="2">
        <v>42514</v>
      </c>
      <c r="B2199">
        <v>174.06</v>
      </c>
    </row>
    <row r="2200" spans="1:2" x14ac:dyDescent="0.25">
      <c r="A2200" s="2">
        <v>42515</v>
      </c>
      <c r="B2200">
        <v>175.62</v>
      </c>
    </row>
    <row r="2201" spans="1:2" x14ac:dyDescent="0.25">
      <c r="A2201" s="2">
        <v>42516</v>
      </c>
      <c r="B2201">
        <v>175.26</v>
      </c>
    </row>
    <row r="2202" spans="1:2" x14ac:dyDescent="0.25">
      <c r="A2202" s="2">
        <v>42517</v>
      </c>
      <c r="B2202">
        <v>176.04</v>
      </c>
    </row>
    <row r="2203" spans="1:2" x14ac:dyDescent="0.25">
      <c r="A2203" s="2">
        <v>42518</v>
      </c>
      <c r="B2203">
        <v>176.04</v>
      </c>
    </row>
    <row r="2204" spans="1:2" x14ac:dyDescent="0.25">
      <c r="A2204" s="2">
        <v>42519</v>
      </c>
      <c r="B2204">
        <v>176.04</v>
      </c>
    </row>
    <row r="2205" spans="1:2" x14ac:dyDescent="0.25">
      <c r="A2205" s="2">
        <v>42520</v>
      </c>
      <c r="B2205">
        <v>176.86</v>
      </c>
    </row>
    <row r="2206" spans="1:2" x14ac:dyDescent="0.25">
      <c r="A2206" s="2">
        <v>42521</v>
      </c>
      <c r="B2206">
        <v>176.09</v>
      </c>
    </row>
    <row r="2207" spans="1:2" x14ac:dyDescent="0.25">
      <c r="A2207" s="2">
        <v>42522</v>
      </c>
      <c r="B2207">
        <v>176</v>
      </c>
    </row>
    <row r="2208" spans="1:2" x14ac:dyDescent="0.25">
      <c r="A2208" s="2">
        <v>42523</v>
      </c>
      <c r="B2208">
        <v>176.3</v>
      </c>
    </row>
    <row r="2209" spans="1:2" x14ac:dyDescent="0.25">
      <c r="A2209" s="2">
        <v>42524</v>
      </c>
      <c r="B2209">
        <v>176.32</v>
      </c>
    </row>
    <row r="2210" spans="1:2" x14ac:dyDescent="0.25">
      <c r="A2210" s="2">
        <v>42525</v>
      </c>
      <c r="B2210">
        <v>176.32</v>
      </c>
    </row>
    <row r="2211" spans="1:2" x14ac:dyDescent="0.25">
      <c r="A2211" s="2">
        <v>42526</v>
      </c>
      <c r="B2211">
        <v>176.32</v>
      </c>
    </row>
    <row r="2212" spans="1:2" x14ac:dyDescent="0.25">
      <c r="A2212" s="2">
        <v>42527</v>
      </c>
      <c r="B2212">
        <v>174.14</v>
      </c>
    </row>
    <row r="2213" spans="1:2" x14ac:dyDescent="0.25">
      <c r="A2213" s="2">
        <v>42528</v>
      </c>
      <c r="B2213">
        <v>174.38</v>
      </c>
    </row>
    <row r="2214" spans="1:2" x14ac:dyDescent="0.25">
      <c r="A2214" s="2">
        <v>42529</v>
      </c>
      <c r="B2214">
        <v>174.53</v>
      </c>
    </row>
    <row r="2215" spans="1:2" x14ac:dyDescent="0.25">
      <c r="A2215" s="2">
        <v>42530</v>
      </c>
      <c r="B2215">
        <v>174.77</v>
      </c>
    </row>
    <row r="2216" spans="1:2" x14ac:dyDescent="0.25">
      <c r="A2216" s="2">
        <v>42531</v>
      </c>
      <c r="B2216">
        <v>173.77</v>
      </c>
    </row>
    <row r="2217" spans="1:2" x14ac:dyDescent="0.25">
      <c r="A2217" s="2">
        <v>42532</v>
      </c>
      <c r="B2217">
        <v>173.77</v>
      </c>
    </row>
    <row r="2218" spans="1:2" x14ac:dyDescent="0.25">
      <c r="A2218" s="2">
        <v>42533</v>
      </c>
      <c r="B2218">
        <v>173.77</v>
      </c>
    </row>
    <row r="2219" spans="1:2" x14ac:dyDescent="0.25">
      <c r="A2219" s="2">
        <v>42534</v>
      </c>
      <c r="B2219">
        <v>172.95</v>
      </c>
    </row>
    <row r="2220" spans="1:2" x14ac:dyDescent="0.25">
      <c r="A2220" s="2">
        <v>42535</v>
      </c>
      <c r="B2220">
        <v>173.31</v>
      </c>
    </row>
    <row r="2221" spans="1:2" x14ac:dyDescent="0.25">
      <c r="A2221" s="2">
        <v>42536</v>
      </c>
      <c r="B2221">
        <v>172.93</v>
      </c>
    </row>
    <row r="2222" spans="1:2" x14ac:dyDescent="0.25">
      <c r="A2222" s="2">
        <v>42537</v>
      </c>
      <c r="B2222">
        <v>174.37</v>
      </c>
    </row>
    <row r="2223" spans="1:2" x14ac:dyDescent="0.25">
      <c r="A2223" s="2">
        <v>42538</v>
      </c>
      <c r="B2223">
        <v>172.56</v>
      </c>
    </row>
    <row r="2224" spans="1:2" x14ac:dyDescent="0.25">
      <c r="A2224" s="2">
        <v>42539</v>
      </c>
      <c r="B2224">
        <v>172.56</v>
      </c>
    </row>
    <row r="2225" spans="1:2" x14ac:dyDescent="0.25">
      <c r="A2225" s="2">
        <v>42540</v>
      </c>
      <c r="B2225">
        <v>172.56</v>
      </c>
    </row>
    <row r="2226" spans="1:2" x14ac:dyDescent="0.25">
      <c r="A2226" s="2">
        <v>42541</v>
      </c>
      <c r="B2226">
        <v>172.37</v>
      </c>
    </row>
    <row r="2227" spans="1:2" x14ac:dyDescent="0.25">
      <c r="A2227" s="2">
        <v>42542</v>
      </c>
      <c r="B2227">
        <v>173.12</v>
      </c>
    </row>
    <row r="2228" spans="1:2" x14ac:dyDescent="0.25">
      <c r="A2228" s="2">
        <v>42543</v>
      </c>
      <c r="B2228">
        <v>173.31</v>
      </c>
    </row>
    <row r="2229" spans="1:2" x14ac:dyDescent="0.25">
      <c r="A2229" s="2">
        <v>42544</v>
      </c>
      <c r="B2229">
        <v>173.99</v>
      </c>
    </row>
    <row r="2230" spans="1:2" x14ac:dyDescent="0.25">
      <c r="A2230" s="2">
        <v>42545</v>
      </c>
      <c r="B2230">
        <v>172.64</v>
      </c>
    </row>
    <row r="2231" spans="1:2" x14ac:dyDescent="0.25">
      <c r="A2231" s="2">
        <v>42546</v>
      </c>
      <c r="B2231">
        <v>172.64</v>
      </c>
    </row>
    <row r="2232" spans="1:2" x14ac:dyDescent="0.25">
      <c r="A2232" s="2">
        <v>42547</v>
      </c>
      <c r="B2232">
        <v>172.64</v>
      </c>
    </row>
    <row r="2233" spans="1:2" x14ac:dyDescent="0.25">
      <c r="A2233" s="2">
        <v>42548</v>
      </c>
      <c r="B2233">
        <v>170.56</v>
      </c>
    </row>
    <row r="2234" spans="1:2" x14ac:dyDescent="0.25">
      <c r="A2234" s="2">
        <v>42549</v>
      </c>
      <c r="B2234">
        <v>172.46</v>
      </c>
    </row>
    <row r="2235" spans="1:2" x14ac:dyDescent="0.25">
      <c r="A2235" s="2">
        <v>42550</v>
      </c>
      <c r="B2235">
        <v>175.14</v>
      </c>
    </row>
    <row r="2236" spans="1:2" x14ac:dyDescent="0.25">
      <c r="A2236" s="2">
        <v>42551</v>
      </c>
      <c r="B2236">
        <v>177.32</v>
      </c>
    </row>
    <row r="2237" spans="1:2" x14ac:dyDescent="0.25">
      <c r="A2237" s="2">
        <v>42552</v>
      </c>
      <c r="B2237">
        <v>177.17</v>
      </c>
    </row>
    <row r="2238" spans="1:2" x14ac:dyDescent="0.25">
      <c r="A2238" s="2">
        <v>42553</v>
      </c>
      <c r="B2238">
        <v>177.17</v>
      </c>
    </row>
    <row r="2239" spans="1:2" x14ac:dyDescent="0.25">
      <c r="A2239" s="2">
        <v>42554</v>
      </c>
      <c r="B2239">
        <v>177.17</v>
      </c>
    </row>
    <row r="2240" spans="1:2" x14ac:dyDescent="0.25">
      <c r="A2240" s="2">
        <v>42555</v>
      </c>
      <c r="B2240">
        <v>177.12</v>
      </c>
    </row>
    <row r="2241" spans="1:2" x14ac:dyDescent="0.25">
      <c r="A2241" s="2">
        <v>42556</v>
      </c>
      <c r="B2241">
        <v>175.79</v>
      </c>
    </row>
    <row r="2242" spans="1:2" x14ac:dyDescent="0.25">
      <c r="A2242" s="2">
        <v>42557</v>
      </c>
      <c r="B2242">
        <v>178.02</v>
      </c>
    </row>
    <row r="2243" spans="1:2" x14ac:dyDescent="0.25">
      <c r="A2243" s="2">
        <v>42558</v>
      </c>
      <c r="B2243">
        <v>177.7</v>
      </c>
    </row>
    <row r="2244" spans="1:2" x14ac:dyDescent="0.25">
      <c r="A2244" s="2">
        <v>42559</v>
      </c>
      <c r="B2244">
        <v>180.57</v>
      </c>
    </row>
    <row r="2245" spans="1:2" x14ac:dyDescent="0.25">
      <c r="A2245" s="2">
        <v>42560</v>
      </c>
      <c r="B2245">
        <v>180.57</v>
      </c>
    </row>
    <row r="2246" spans="1:2" x14ac:dyDescent="0.25">
      <c r="A2246" s="2">
        <v>42561</v>
      </c>
      <c r="B2246">
        <v>180.57</v>
      </c>
    </row>
    <row r="2247" spans="1:2" x14ac:dyDescent="0.25">
      <c r="A2247" s="2">
        <v>42562</v>
      </c>
      <c r="B2247">
        <v>181.53</v>
      </c>
    </row>
    <row r="2248" spans="1:2" x14ac:dyDescent="0.25">
      <c r="A2248" s="2">
        <v>42563</v>
      </c>
      <c r="B2248">
        <v>182.1</v>
      </c>
    </row>
    <row r="2249" spans="1:2" x14ac:dyDescent="0.25">
      <c r="A2249" s="2">
        <v>42564</v>
      </c>
      <c r="B2249">
        <v>182.46</v>
      </c>
    </row>
    <row r="2250" spans="1:2" x14ac:dyDescent="0.25">
      <c r="A2250" s="2">
        <v>42565</v>
      </c>
      <c r="B2250">
        <v>182.03</v>
      </c>
    </row>
    <row r="2251" spans="1:2" x14ac:dyDescent="0.25">
      <c r="A2251" s="2">
        <v>42566</v>
      </c>
      <c r="B2251">
        <v>182.33</v>
      </c>
    </row>
    <row r="2252" spans="1:2" x14ac:dyDescent="0.25">
      <c r="A2252" s="2">
        <v>42567</v>
      </c>
      <c r="B2252">
        <v>182.33</v>
      </c>
    </row>
    <row r="2253" spans="1:2" x14ac:dyDescent="0.25">
      <c r="A2253" s="2">
        <v>42568</v>
      </c>
      <c r="B2253">
        <v>182.33</v>
      </c>
    </row>
    <row r="2254" spans="1:2" x14ac:dyDescent="0.25">
      <c r="A2254" s="2">
        <v>42569</v>
      </c>
      <c r="B2254">
        <v>184.01</v>
      </c>
    </row>
    <row r="2255" spans="1:2" x14ac:dyDescent="0.25">
      <c r="A2255" s="2">
        <v>42570</v>
      </c>
      <c r="B2255">
        <v>184.05</v>
      </c>
    </row>
    <row r="2256" spans="1:2" x14ac:dyDescent="0.25">
      <c r="A2256" s="2">
        <v>42571</v>
      </c>
      <c r="B2256">
        <v>185.23</v>
      </c>
    </row>
    <row r="2257" spans="1:2" x14ac:dyDescent="0.25">
      <c r="A2257" s="2">
        <v>42572</v>
      </c>
      <c r="B2257">
        <v>184.53</v>
      </c>
    </row>
    <row r="2258" spans="1:2" x14ac:dyDescent="0.25">
      <c r="A2258" s="2">
        <v>42573</v>
      </c>
      <c r="B2258">
        <v>185.38</v>
      </c>
    </row>
    <row r="2259" spans="1:2" x14ac:dyDescent="0.25">
      <c r="A2259" s="2">
        <v>42574</v>
      </c>
      <c r="B2259">
        <v>185.38</v>
      </c>
    </row>
    <row r="2260" spans="1:2" x14ac:dyDescent="0.25">
      <c r="A2260" s="2">
        <v>42575</v>
      </c>
      <c r="B2260">
        <v>185.38</v>
      </c>
    </row>
    <row r="2261" spans="1:2" x14ac:dyDescent="0.25">
      <c r="A2261" s="2">
        <v>42576</v>
      </c>
      <c r="B2261">
        <v>185.37</v>
      </c>
    </row>
    <row r="2262" spans="1:2" x14ac:dyDescent="0.25">
      <c r="A2262" s="2">
        <v>42577</v>
      </c>
      <c r="B2262">
        <v>185.18</v>
      </c>
    </row>
    <row r="2263" spans="1:2" x14ac:dyDescent="0.25">
      <c r="A2263" s="2">
        <v>42578</v>
      </c>
      <c r="B2263">
        <v>185.07</v>
      </c>
    </row>
    <row r="2264" spans="1:2" x14ac:dyDescent="0.25">
      <c r="A2264" s="2">
        <v>42579</v>
      </c>
      <c r="B2264">
        <v>183.72</v>
      </c>
    </row>
    <row r="2265" spans="1:2" x14ac:dyDescent="0.25">
      <c r="A2265" s="2">
        <v>42580</v>
      </c>
      <c r="B2265">
        <v>183.65</v>
      </c>
    </row>
    <row r="2266" spans="1:2" x14ac:dyDescent="0.25">
      <c r="A2266" s="2">
        <v>42581</v>
      </c>
      <c r="B2266">
        <v>183.65</v>
      </c>
    </row>
    <row r="2267" spans="1:2" x14ac:dyDescent="0.25">
      <c r="A2267" s="2">
        <v>42582</v>
      </c>
      <c r="B2267">
        <v>183.65</v>
      </c>
    </row>
    <row r="2268" spans="1:2" x14ac:dyDescent="0.25">
      <c r="A2268" s="2">
        <v>42583</v>
      </c>
      <c r="B2268">
        <v>182.58</v>
      </c>
    </row>
    <row r="2269" spans="1:2" x14ac:dyDescent="0.25">
      <c r="A2269" s="2">
        <v>42584</v>
      </c>
      <c r="B2269">
        <v>180.94</v>
      </c>
    </row>
    <row r="2270" spans="1:2" x14ac:dyDescent="0.25">
      <c r="A2270" s="2">
        <v>42585</v>
      </c>
      <c r="B2270">
        <v>181.45</v>
      </c>
    </row>
    <row r="2271" spans="1:2" x14ac:dyDescent="0.25">
      <c r="A2271" s="2">
        <v>42586</v>
      </c>
      <c r="B2271">
        <v>182.56</v>
      </c>
    </row>
    <row r="2272" spans="1:2" x14ac:dyDescent="0.25">
      <c r="A2272" s="2">
        <v>42587</v>
      </c>
      <c r="B2272">
        <v>183.8</v>
      </c>
    </row>
    <row r="2273" spans="1:2" x14ac:dyDescent="0.25">
      <c r="A2273" s="2">
        <v>42588</v>
      </c>
      <c r="B2273">
        <v>183.8</v>
      </c>
    </row>
    <row r="2274" spans="1:2" x14ac:dyDescent="0.25">
      <c r="A2274" s="2">
        <v>42589</v>
      </c>
      <c r="B2274">
        <v>183.8</v>
      </c>
    </row>
    <row r="2275" spans="1:2" x14ac:dyDescent="0.25">
      <c r="A2275" s="2">
        <v>42590</v>
      </c>
      <c r="B2275">
        <v>184.79</v>
      </c>
    </row>
    <row r="2276" spans="1:2" x14ac:dyDescent="0.25">
      <c r="A2276" s="2">
        <v>42591</v>
      </c>
      <c r="B2276">
        <v>185.02</v>
      </c>
    </row>
    <row r="2277" spans="1:2" x14ac:dyDescent="0.25">
      <c r="A2277" s="2">
        <v>42592</v>
      </c>
      <c r="B2277">
        <v>182.81</v>
      </c>
    </row>
    <row r="2278" spans="1:2" x14ac:dyDescent="0.25">
      <c r="A2278" s="2">
        <v>42593</v>
      </c>
      <c r="B2278">
        <v>184.2</v>
      </c>
    </row>
    <row r="2279" spans="1:2" x14ac:dyDescent="0.25">
      <c r="A2279" s="2">
        <v>42594</v>
      </c>
      <c r="B2279">
        <v>183.98</v>
      </c>
    </row>
    <row r="2280" spans="1:2" x14ac:dyDescent="0.25">
      <c r="A2280" s="2">
        <v>42595</v>
      </c>
      <c r="B2280">
        <v>183.98</v>
      </c>
    </row>
    <row r="2281" spans="1:2" x14ac:dyDescent="0.25">
      <c r="A2281" s="2">
        <v>42596</v>
      </c>
      <c r="B2281">
        <v>183.98</v>
      </c>
    </row>
    <row r="2282" spans="1:2" x14ac:dyDescent="0.25">
      <c r="A2282" s="2">
        <v>42597</v>
      </c>
      <c r="B2282">
        <v>184.15</v>
      </c>
    </row>
    <row r="2283" spans="1:2" x14ac:dyDescent="0.25">
      <c r="A2283" s="2">
        <v>42598</v>
      </c>
      <c r="B2283">
        <v>181.31</v>
      </c>
    </row>
    <row r="2284" spans="1:2" x14ac:dyDescent="0.25">
      <c r="A2284" s="2">
        <v>42599</v>
      </c>
      <c r="B2284">
        <v>181.99</v>
      </c>
    </row>
    <row r="2285" spans="1:2" x14ac:dyDescent="0.25">
      <c r="A2285" s="2">
        <v>42600</v>
      </c>
      <c r="B2285">
        <v>181.66</v>
      </c>
    </row>
    <row r="2286" spans="1:2" x14ac:dyDescent="0.25">
      <c r="A2286" s="2">
        <v>42601</v>
      </c>
      <c r="B2286">
        <v>181.34</v>
      </c>
    </row>
    <row r="2287" spans="1:2" x14ac:dyDescent="0.25">
      <c r="A2287" s="2">
        <v>42602</v>
      </c>
      <c r="B2287">
        <v>181.34</v>
      </c>
    </row>
    <row r="2288" spans="1:2" x14ac:dyDescent="0.25">
      <c r="A2288" s="2">
        <v>42603</v>
      </c>
      <c r="B2288">
        <v>181.34</v>
      </c>
    </row>
    <row r="2289" spans="1:2" x14ac:dyDescent="0.25">
      <c r="A2289" s="2">
        <v>42604</v>
      </c>
      <c r="B2289">
        <v>181.57</v>
      </c>
    </row>
    <row r="2290" spans="1:2" x14ac:dyDescent="0.25">
      <c r="A2290" s="2">
        <v>42605</v>
      </c>
      <c r="B2290">
        <v>181.39</v>
      </c>
    </row>
    <row r="2291" spans="1:2" x14ac:dyDescent="0.25">
      <c r="A2291" s="2">
        <v>42606</v>
      </c>
      <c r="B2291">
        <v>181.62</v>
      </c>
    </row>
    <row r="2292" spans="1:2" x14ac:dyDescent="0.25">
      <c r="A2292" s="2">
        <v>42607</v>
      </c>
      <c r="B2292">
        <v>181.01</v>
      </c>
    </row>
    <row r="2293" spans="1:2" x14ac:dyDescent="0.25">
      <c r="A2293" s="2">
        <v>42608</v>
      </c>
      <c r="B2293">
        <v>180.73</v>
      </c>
    </row>
    <row r="2294" spans="1:2" x14ac:dyDescent="0.25">
      <c r="A2294" s="2">
        <v>42609</v>
      </c>
      <c r="B2294">
        <v>180.73</v>
      </c>
    </row>
    <row r="2295" spans="1:2" x14ac:dyDescent="0.25">
      <c r="A2295" s="2">
        <v>42610</v>
      </c>
      <c r="B2295">
        <v>180.73</v>
      </c>
    </row>
    <row r="2296" spans="1:2" x14ac:dyDescent="0.25">
      <c r="A2296" s="2">
        <v>42611</v>
      </c>
      <c r="B2296">
        <v>183.58</v>
      </c>
    </row>
    <row r="2297" spans="1:2" x14ac:dyDescent="0.25">
      <c r="A2297" s="2">
        <v>42612</v>
      </c>
      <c r="B2297">
        <v>183.34</v>
      </c>
    </row>
    <row r="2298" spans="1:2" x14ac:dyDescent="0.25">
      <c r="A2298" s="2">
        <v>42613</v>
      </c>
      <c r="B2298">
        <v>183.52</v>
      </c>
    </row>
    <row r="2299" spans="1:2" x14ac:dyDescent="0.25">
      <c r="A2299" s="2">
        <v>42614</v>
      </c>
      <c r="B2299">
        <v>183.29</v>
      </c>
    </row>
    <row r="2300" spans="1:2" x14ac:dyDescent="0.25">
      <c r="A2300" s="2">
        <v>42615</v>
      </c>
      <c r="B2300">
        <v>183.29</v>
      </c>
    </row>
    <row r="2301" spans="1:2" x14ac:dyDescent="0.25">
      <c r="A2301" s="2">
        <v>42616</v>
      </c>
      <c r="B2301">
        <v>183.29</v>
      </c>
    </row>
    <row r="2302" spans="1:2" x14ac:dyDescent="0.25">
      <c r="A2302" s="2">
        <v>42617</v>
      </c>
      <c r="B2302">
        <v>183.29</v>
      </c>
    </row>
    <row r="2303" spans="1:2" x14ac:dyDescent="0.25">
      <c r="A2303" s="2">
        <v>42618</v>
      </c>
      <c r="B2303">
        <v>183.9</v>
      </c>
    </row>
    <row r="2304" spans="1:2" x14ac:dyDescent="0.25">
      <c r="A2304" s="2">
        <v>42619</v>
      </c>
      <c r="B2304">
        <v>184.4</v>
      </c>
    </row>
    <row r="2305" spans="1:2" x14ac:dyDescent="0.25">
      <c r="A2305" s="2">
        <v>42620</v>
      </c>
      <c r="B2305">
        <v>183.13</v>
      </c>
    </row>
    <row r="2306" spans="1:2" x14ac:dyDescent="0.25">
      <c r="A2306" s="2">
        <v>42621</v>
      </c>
      <c r="B2306">
        <v>181.77</v>
      </c>
    </row>
    <row r="2307" spans="1:2" x14ac:dyDescent="0.25">
      <c r="A2307" s="2">
        <v>42622</v>
      </c>
      <c r="B2307">
        <v>177.76</v>
      </c>
    </row>
    <row r="2308" spans="1:2" x14ac:dyDescent="0.25">
      <c r="A2308" s="2">
        <v>42623</v>
      </c>
      <c r="B2308">
        <v>177.76</v>
      </c>
    </row>
    <row r="2309" spans="1:2" x14ac:dyDescent="0.25">
      <c r="A2309" s="2">
        <v>42624</v>
      </c>
      <c r="B2309">
        <v>177.76</v>
      </c>
    </row>
    <row r="2310" spans="1:2" x14ac:dyDescent="0.25">
      <c r="A2310" s="2">
        <v>42625</v>
      </c>
      <c r="B2310">
        <v>181.05</v>
      </c>
    </row>
    <row r="2311" spans="1:2" x14ac:dyDescent="0.25">
      <c r="A2311" s="2">
        <v>42626</v>
      </c>
      <c r="B2311">
        <v>178.08</v>
      </c>
    </row>
    <row r="2312" spans="1:2" x14ac:dyDescent="0.25">
      <c r="A2312" s="2">
        <v>42627</v>
      </c>
      <c r="B2312">
        <v>178.45</v>
      </c>
    </row>
    <row r="2313" spans="1:2" x14ac:dyDescent="0.25">
      <c r="A2313" s="2">
        <v>42628</v>
      </c>
      <c r="B2313">
        <v>179.7</v>
      </c>
    </row>
    <row r="2314" spans="1:2" x14ac:dyDescent="0.25">
      <c r="A2314" s="2">
        <v>42629</v>
      </c>
      <c r="B2314">
        <v>179.47</v>
      </c>
    </row>
    <row r="2315" spans="1:2" x14ac:dyDescent="0.25">
      <c r="A2315" s="2">
        <v>42630</v>
      </c>
      <c r="B2315">
        <v>179.47</v>
      </c>
    </row>
    <row r="2316" spans="1:2" x14ac:dyDescent="0.25">
      <c r="A2316" s="2">
        <v>42631</v>
      </c>
      <c r="B2316">
        <v>179.47</v>
      </c>
    </row>
    <row r="2317" spans="1:2" x14ac:dyDescent="0.25">
      <c r="A2317" s="2">
        <v>42632</v>
      </c>
      <c r="B2317">
        <v>180.45</v>
      </c>
    </row>
    <row r="2318" spans="1:2" x14ac:dyDescent="0.25">
      <c r="A2318" s="2">
        <v>42633</v>
      </c>
      <c r="B2318">
        <v>180.19</v>
      </c>
    </row>
    <row r="2319" spans="1:2" x14ac:dyDescent="0.25">
      <c r="A2319" s="2">
        <v>42634</v>
      </c>
      <c r="B2319">
        <v>182.72</v>
      </c>
    </row>
    <row r="2320" spans="1:2" x14ac:dyDescent="0.25">
      <c r="A2320" s="2">
        <v>42635</v>
      </c>
      <c r="B2320">
        <v>182.47</v>
      </c>
    </row>
    <row r="2321" spans="1:2" x14ac:dyDescent="0.25">
      <c r="A2321" s="2">
        <v>42636</v>
      </c>
      <c r="B2321">
        <v>181.81</v>
      </c>
    </row>
    <row r="2322" spans="1:2" x14ac:dyDescent="0.25">
      <c r="A2322" s="2">
        <v>42637</v>
      </c>
      <c r="B2322">
        <v>181.81</v>
      </c>
    </row>
    <row r="2323" spans="1:2" x14ac:dyDescent="0.25">
      <c r="A2323" s="2">
        <v>42638</v>
      </c>
      <c r="B2323">
        <v>181.81</v>
      </c>
    </row>
    <row r="2324" spans="1:2" x14ac:dyDescent="0.25">
      <c r="A2324" s="2">
        <v>42639</v>
      </c>
      <c r="B2324">
        <v>179.5</v>
      </c>
    </row>
    <row r="2325" spans="1:2" x14ac:dyDescent="0.25">
      <c r="A2325" s="2">
        <v>42640</v>
      </c>
      <c r="B2325">
        <v>181.33</v>
      </c>
    </row>
    <row r="2326" spans="1:2" x14ac:dyDescent="0.25">
      <c r="A2326" s="2">
        <v>42641</v>
      </c>
      <c r="B2326">
        <v>182.24</v>
      </c>
    </row>
    <row r="2327" spans="1:2" x14ac:dyDescent="0.25">
      <c r="A2327" s="2">
        <v>42642</v>
      </c>
      <c r="B2327">
        <v>180.61</v>
      </c>
    </row>
    <row r="2328" spans="1:2" x14ac:dyDescent="0.25">
      <c r="A2328" s="2">
        <v>42643</v>
      </c>
      <c r="B2328">
        <v>183.03</v>
      </c>
    </row>
    <row r="2329" spans="1:2" x14ac:dyDescent="0.25">
      <c r="A2329" s="2">
        <v>42644</v>
      </c>
      <c r="B2329">
        <v>183.03</v>
      </c>
    </row>
    <row r="2330" spans="1:2" x14ac:dyDescent="0.25">
      <c r="A2330" s="2">
        <v>42645</v>
      </c>
      <c r="B2330">
        <v>183.03</v>
      </c>
    </row>
    <row r="2331" spans="1:2" x14ac:dyDescent="0.25">
      <c r="A2331" s="2">
        <v>42646</v>
      </c>
      <c r="B2331">
        <v>181.23</v>
      </c>
    </row>
    <row r="2332" spans="1:2" x14ac:dyDescent="0.25">
      <c r="A2332" s="2">
        <v>42647</v>
      </c>
      <c r="B2332">
        <v>181.56</v>
      </c>
    </row>
    <row r="2333" spans="1:2" x14ac:dyDescent="0.25">
      <c r="A2333" s="2">
        <v>42648</v>
      </c>
      <c r="B2333">
        <v>181.58</v>
      </c>
    </row>
    <row r="2334" spans="1:2" x14ac:dyDescent="0.25">
      <c r="A2334" s="2">
        <v>42649</v>
      </c>
      <c r="B2334">
        <v>182.1</v>
      </c>
    </row>
    <row r="2335" spans="1:2" x14ac:dyDescent="0.25">
      <c r="A2335" s="2">
        <v>42650</v>
      </c>
      <c r="B2335">
        <v>182.24</v>
      </c>
    </row>
    <row r="2336" spans="1:2" x14ac:dyDescent="0.25">
      <c r="A2336" s="2">
        <v>42651</v>
      </c>
      <c r="B2336">
        <v>182.24</v>
      </c>
    </row>
    <row r="2337" spans="1:2" x14ac:dyDescent="0.25">
      <c r="A2337" s="2">
        <v>42652</v>
      </c>
      <c r="B2337">
        <v>182.24</v>
      </c>
    </row>
    <row r="2338" spans="1:2" x14ac:dyDescent="0.25">
      <c r="A2338" s="2">
        <v>42653</v>
      </c>
      <c r="B2338">
        <v>182.76</v>
      </c>
    </row>
    <row r="2339" spans="1:2" x14ac:dyDescent="0.25">
      <c r="A2339" s="2">
        <v>42654</v>
      </c>
      <c r="B2339">
        <v>181.8</v>
      </c>
    </row>
    <row r="2340" spans="1:2" x14ac:dyDescent="0.25">
      <c r="A2340" s="2">
        <v>42655</v>
      </c>
      <c r="B2340">
        <v>183</v>
      </c>
    </row>
    <row r="2341" spans="1:2" x14ac:dyDescent="0.25">
      <c r="A2341" s="2">
        <v>42656</v>
      </c>
      <c r="B2341">
        <v>182.14</v>
      </c>
    </row>
    <row r="2342" spans="1:2" x14ac:dyDescent="0.25">
      <c r="A2342" s="2">
        <v>42657</v>
      </c>
      <c r="B2342">
        <v>182.78</v>
      </c>
    </row>
    <row r="2343" spans="1:2" x14ac:dyDescent="0.25">
      <c r="A2343" s="2">
        <v>42658</v>
      </c>
      <c r="B2343">
        <v>182.78</v>
      </c>
    </row>
    <row r="2344" spans="1:2" x14ac:dyDescent="0.25">
      <c r="A2344" s="2">
        <v>42659</v>
      </c>
      <c r="B2344">
        <v>182.78</v>
      </c>
    </row>
    <row r="2345" spans="1:2" x14ac:dyDescent="0.25">
      <c r="A2345" s="2">
        <v>42660</v>
      </c>
      <c r="B2345">
        <v>182.36</v>
      </c>
    </row>
    <row r="2346" spans="1:2" x14ac:dyDescent="0.25">
      <c r="A2346" s="2">
        <v>42661</v>
      </c>
      <c r="B2346">
        <v>183.5</v>
      </c>
    </row>
    <row r="2347" spans="1:2" x14ac:dyDescent="0.25">
      <c r="A2347" s="2">
        <v>42662</v>
      </c>
      <c r="B2347">
        <v>184.15</v>
      </c>
    </row>
    <row r="2348" spans="1:2" x14ac:dyDescent="0.25">
      <c r="A2348" s="2">
        <v>42663</v>
      </c>
      <c r="B2348">
        <v>183.9</v>
      </c>
    </row>
    <row r="2349" spans="1:2" x14ac:dyDescent="0.25">
      <c r="A2349" s="2">
        <v>42664</v>
      </c>
      <c r="B2349">
        <v>185.47</v>
      </c>
    </row>
    <row r="2350" spans="1:2" x14ac:dyDescent="0.25">
      <c r="A2350" s="2">
        <v>42665</v>
      </c>
      <c r="B2350">
        <v>185.47</v>
      </c>
    </row>
    <row r="2351" spans="1:2" x14ac:dyDescent="0.25">
      <c r="A2351" s="2">
        <v>42666</v>
      </c>
      <c r="B2351">
        <v>185.47</v>
      </c>
    </row>
    <row r="2352" spans="1:2" x14ac:dyDescent="0.25">
      <c r="A2352" s="2">
        <v>42667</v>
      </c>
      <c r="B2352">
        <v>186.26</v>
      </c>
    </row>
    <row r="2353" spans="1:2" x14ac:dyDescent="0.25">
      <c r="A2353" s="2">
        <v>42668</v>
      </c>
      <c r="B2353">
        <v>185.88</v>
      </c>
    </row>
    <row r="2354" spans="1:2" x14ac:dyDescent="0.25">
      <c r="A2354" s="2">
        <v>42669</v>
      </c>
      <c r="B2354">
        <v>184.66</v>
      </c>
    </row>
    <row r="2355" spans="1:2" x14ac:dyDescent="0.25">
      <c r="A2355" s="2">
        <v>42670</v>
      </c>
      <c r="B2355">
        <v>184.08</v>
      </c>
    </row>
    <row r="2356" spans="1:2" x14ac:dyDescent="0.25">
      <c r="A2356" s="2">
        <v>42671</v>
      </c>
      <c r="B2356">
        <v>183.6</v>
      </c>
    </row>
    <row r="2357" spans="1:2" x14ac:dyDescent="0.25">
      <c r="A2357" s="2">
        <v>42672</v>
      </c>
      <c r="B2357">
        <v>183.6</v>
      </c>
    </row>
    <row r="2358" spans="1:2" x14ac:dyDescent="0.25">
      <c r="A2358" s="2">
        <v>42673</v>
      </c>
      <c r="B2358">
        <v>183.6</v>
      </c>
    </row>
    <row r="2359" spans="1:2" x14ac:dyDescent="0.25">
      <c r="A2359" s="2">
        <v>42674</v>
      </c>
      <c r="B2359">
        <v>183.18</v>
      </c>
    </row>
    <row r="2360" spans="1:2" x14ac:dyDescent="0.25">
      <c r="A2360" s="2">
        <v>42675</v>
      </c>
      <c r="B2360">
        <v>180.63</v>
      </c>
    </row>
    <row r="2361" spans="1:2" x14ac:dyDescent="0.25">
      <c r="A2361" s="2">
        <v>42676</v>
      </c>
      <c r="B2361">
        <v>178.34</v>
      </c>
    </row>
    <row r="2362" spans="1:2" x14ac:dyDescent="0.25">
      <c r="A2362" s="2">
        <v>42677</v>
      </c>
      <c r="B2362">
        <v>178.11</v>
      </c>
    </row>
    <row r="2363" spans="1:2" x14ac:dyDescent="0.25">
      <c r="A2363" s="2">
        <v>42678</v>
      </c>
      <c r="B2363">
        <v>177.36</v>
      </c>
    </row>
    <row r="2364" spans="1:2" x14ac:dyDescent="0.25">
      <c r="A2364" s="2">
        <v>42679</v>
      </c>
      <c r="B2364">
        <v>177.36</v>
      </c>
    </row>
    <row r="2365" spans="1:2" x14ac:dyDescent="0.25">
      <c r="A2365" s="2">
        <v>42680</v>
      </c>
      <c r="B2365">
        <v>177.36</v>
      </c>
    </row>
    <row r="2366" spans="1:2" x14ac:dyDescent="0.25">
      <c r="A2366" s="2">
        <v>42681</v>
      </c>
      <c r="B2366">
        <v>181.8</v>
      </c>
    </row>
    <row r="2367" spans="1:2" x14ac:dyDescent="0.25">
      <c r="A2367" s="2">
        <v>42682</v>
      </c>
      <c r="B2367">
        <v>182.96</v>
      </c>
    </row>
    <row r="2368" spans="1:2" x14ac:dyDescent="0.25">
      <c r="A2368" s="2">
        <v>42683</v>
      </c>
      <c r="B2368">
        <v>185.27</v>
      </c>
    </row>
    <row r="2369" spans="1:2" x14ac:dyDescent="0.25">
      <c r="A2369" s="2">
        <v>42684</v>
      </c>
      <c r="B2369">
        <v>187.82</v>
      </c>
    </row>
    <row r="2370" spans="1:2" x14ac:dyDescent="0.25">
      <c r="A2370" s="2">
        <v>42685</v>
      </c>
      <c r="B2370">
        <v>187.4</v>
      </c>
    </row>
    <row r="2371" spans="1:2" x14ac:dyDescent="0.25">
      <c r="A2371" s="2">
        <v>42686</v>
      </c>
      <c r="B2371">
        <v>187.4</v>
      </c>
    </row>
    <row r="2372" spans="1:2" x14ac:dyDescent="0.25">
      <c r="A2372" s="2">
        <v>42687</v>
      </c>
      <c r="B2372">
        <v>187.4</v>
      </c>
    </row>
    <row r="2373" spans="1:2" x14ac:dyDescent="0.25">
      <c r="A2373" s="2">
        <v>42688</v>
      </c>
      <c r="B2373">
        <v>189.61</v>
      </c>
    </row>
    <row r="2374" spans="1:2" x14ac:dyDescent="0.25">
      <c r="A2374" s="2">
        <v>42689</v>
      </c>
      <c r="B2374">
        <v>191.28</v>
      </c>
    </row>
    <row r="2375" spans="1:2" x14ac:dyDescent="0.25">
      <c r="A2375" s="2">
        <v>42690</v>
      </c>
      <c r="B2375">
        <v>192.14</v>
      </c>
    </row>
    <row r="2376" spans="1:2" x14ac:dyDescent="0.25">
      <c r="A2376" s="2">
        <v>42691</v>
      </c>
      <c r="B2376">
        <v>192.79</v>
      </c>
    </row>
    <row r="2377" spans="1:2" x14ac:dyDescent="0.25">
      <c r="A2377" s="2">
        <v>42692</v>
      </c>
      <c r="B2377">
        <v>193.94</v>
      </c>
    </row>
    <row r="2378" spans="1:2" x14ac:dyDescent="0.25">
      <c r="A2378" s="2">
        <v>42693</v>
      </c>
      <c r="B2378">
        <v>193.94</v>
      </c>
    </row>
    <row r="2379" spans="1:2" x14ac:dyDescent="0.25">
      <c r="A2379" s="2">
        <v>42694</v>
      </c>
      <c r="B2379">
        <v>193.94</v>
      </c>
    </row>
    <row r="2380" spans="1:2" x14ac:dyDescent="0.25">
      <c r="A2380" s="2">
        <v>42695</v>
      </c>
      <c r="B2380">
        <v>195.35</v>
      </c>
    </row>
    <row r="2381" spans="1:2" x14ac:dyDescent="0.25">
      <c r="A2381" s="2">
        <v>42696</v>
      </c>
      <c r="B2381">
        <v>196.04</v>
      </c>
    </row>
    <row r="2382" spans="1:2" x14ac:dyDescent="0.25">
      <c r="A2382" s="2">
        <v>42697</v>
      </c>
      <c r="B2382">
        <v>196.48</v>
      </c>
    </row>
    <row r="2383" spans="1:2" x14ac:dyDescent="0.25">
      <c r="A2383" s="2">
        <v>42698</v>
      </c>
      <c r="B2383">
        <v>197.49</v>
      </c>
    </row>
    <row r="2384" spans="1:2" x14ac:dyDescent="0.25">
      <c r="A2384" s="2">
        <v>42699</v>
      </c>
      <c r="B2384">
        <v>197.44</v>
      </c>
    </row>
    <row r="2385" spans="1:2" x14ac:dyDescent="0.25">
      <c r="A2385" s="2">
        <v>42700</v>
      </c>
      <c r="B2385">
        <v>197.44</v>
      </c>
    </row>
    <row r="2386" spans="1:2" x14ac:dyDescent="0.25">
      <c r="A2386" s="2">
        <v>42701</v>
      </c>
      <c r="B2386">
        <v>197.44</v>
      </c>
    </row>
    <row r="2387" spans="1:2" x14ac:dyDescent="0.25">
      <c r="A2387" s="2">
        <v>42702</v>
      </c>
      <c r="B2387">
        <v>196.5</v>
      </c>
    </row>
    <row r="2388" spans="1:2" x14ac:dyDescent="0.25">
      <c r="A2388" s="2">
        <v>42703</v>
      </c>
      <c r="B2388">
        <v>197.02</v>
      </c>
    </row>
    <row r="2389" spans="1:2" x14ac:dyDescent="0.25">
      <c r="A2389" s="2">
        <v>42704</v>
      </c>
      <c r="B2389">
        <v>195.45</v>
      </c>
    </row>
    <row r="2390" spans="1:2" x14ac:dyDescent="0.25">
      <c r="A2390" s="2">
        <v>42705</v>
      </c>
      <c r="B2390">
        <v>194.91</v>
      </c>
    </row>
    <row r="2391" spans="1:2" x14ac:dyDescent="0.25">
      <c r="A2391" s="2">
        <v>42706</v>
      </c>
      <c r="B2391">
        <v>194.72</v>
      </c>
    </row>
    <row r="2392" spans="1:2" x14ac:dyDescent="0.25">
      <c r="A2392" s="2">
        <v>42707</v>
      </c>
      <c r="B2392">
        <v>194.72</v>
      </c>
    </row>
    <row r="2393" spans="1:2" x14ac:dyDescent="0.25">
      <c r="A2393" s="2">
        <v>42708</v>
      </c>
      <c r="B2393">
        <v>194.72</v>
      </c>
    </row>
    <row r="2394" spans="1:2" x14ac:dyDescent="0.25">
      <c r="A2394" s="2">
        <v>42709</v>
      </c>
      <c r="B2394">
        <v>194.77</v>
      </c>
    </row>
    <row r="2395" spans="1:2" x14ac:dyDescent="0.25">
      <c r="A2395" s="2">
        <v>42710</v>
      </c>
      <c r="B2395">
        <v>194.85</v>
      </c>
    </row>
    <row r="2396" spans="1:2" x14ac:dyDescent="0.25">
      <c r="A2396" s="2">
        <v>42711</v>
      </c>
      <c r="B2396">
        <v>197.51</v>
      </c>
    </row>
    <row r="2397" spans="1:2" x14ac:dyDescent="0.25">
      <c r="A2397" s="2">
        <v>42712</v>
      </c>
      <c r="B2397">
        <v>197.37</v>
      </c>
    </row>
    <row r="2398" spans="1:2" x14ac:dyDescent="0.25">
      <c r="A2398" s="2">
        <v>42713</v>
      </c>
      <c r="B2398">
        <v>202.36</v>
      </c>
    </row>
    <row r="2399" spans="1:2" x14ac:dyDescent="0.25">
      <c r="A2399" s="2">
        <v>42714</v>
      </c>
      <c r="B2399">
        <v>202.36</v>
      </c>
    </row>
    <row r="2400" spans="1:2" x14ac:dyDescent="0.25">
      <c r="A2400" s="2">
        <v>42715</v>
      </c>
      <c r="B2400">
        <v>202.36</v>
      </c>
    </row>
    <row r="2401" spans="1:2" x14ac:dyDescent="0.25">
      <c r="A2401" s="2">
        <v>42716</v>
      </c>
      <c r="B2401">
        <v>201.43</v>
      </c>
    </row>
    <row r="2402" spans="1:2" x14ac:dyDescent="0.25">
      <c r="A2402" s="2">
        <v>42717</v>
      </c>
      <c r="B2402">
        <v>202.52</v>
      </c>
    </row>
    <row r="2403" spans="1:2" x14ac:dyDescent="0.25">
      <c r="A2403" s="2">
        <v>42718</v>
      </c>
      <c r="B2403">
        <v>200.24</v>
      </c>
    </row>
    <row r="2404" spans="1:2" x14ac:dyDescent="0.25">
      <c r="A2404" s="2">
        <v>42719</v>
      </c>
      <c r="B2404">
        <v>205.37</v>
      </c>
    </row>
    <row r="2405" spans="1:2" x14ac:dyDescent="0.25">
      <c r="A2405" s="2">
        <v>42720</v>
      </c>
      <c r="B2405">
        <v>204.62</v>
      </c>
    </row>
    <row r="2406" spans="1:2" x14ac:dyDescent="0.25">
      <c r="A2406" s="2">
        <v>42721</v>
      </c>
      <c r="B2406">
        <v>204.62</v>
      </c>
    </row>
    <row r="2407" spans="1:2" x14ac:dyDescent="0.25">
      <c r="A2407" s="2">
        <v>42722</v>
      </c>
      <c r="B2407">
        <v>204.62</v>
      </c>
    </row>
    <row r="2408" spans="1:2" x14ac:dyDescent="0.25">
      <c r="A2408" s="2">
        <v>42723</v>
      </c>
      <c r="B2408">
        <v>205.36</v>
      </c>
    </row>
    <row r="2409" spans="1:2" x14ac:dyDescent="0.25">
      <c r="A2409" s="2">
        <v>42724</v>
      </c>
      <c r="B2409">
        <v>207.28</v>
      </c>
    </row>
    <row r="2410" spans="1:2" x14ac:dyDescent="0.25">
      <c r="A2410" s="2">
        <v>42725</v>
      </c>
      <c r="B2410">
        <v>205.65</v>
      </c>
    </row>
    <row r="2411" spans="1:2" x14ac:dyDescent="0.25">
      <c r="A2411" s="2">
        <v>42726</v>
      </c>
      <c r="B2411">
        <v>204.84</v>
      </c>
    </row>
    <row r="2412" spans="1:2" x14ac:dyDescent="0.25">
      <c r="A2412" s="2">
        <v>42727</v>
      </c>
      <c r="B2412">
        <v>205.07</v>
      </c>
    </row>
    <row r="2413" spans="1:2" x14ac:dyDescent="0.25">
      <c r="A2413" s="2">
        <v>42728</v>
      </c>
      <c r="B2413">
        <v>205.07</v>
      </c>
    </row>
    <row r="2414" spans="1:2" x14ac:dyDescent="0.25">
      <c r="A2414" s="2">
        <v>42729</v>
      </c>
      <c r="B2414">
        <v>205.07</v>
      </c>
    </row>
    <row r="2415" spans="1:2" x14ac:dyDescent="0.25">
      <c r="A2415" s="2">
        <v>42730</v>
      </c>
      <c r="B2415">
        <v>204.98</v>
      </c>
    </row>
    <row r="2416" spans="1:2" x14ac:dyDescent="0.25">
      <c r="A2416" s="2">
        <v>42731</v>
      </c>
      <c r="B2416">
        <v>205.47</v>
      </c>
    </row>
    <row r="2417" spans="1:2" x14ac:dyDescent="0.25">
      <c r="A2417" s="2">
        <v>42732</v>
      </c>
      <c r="B2417">
        <v>204.73</v>
      </c>
    </row>
    <row r="2418" spans="1:2" x14ac:dyDescent="0.25">
      <c r="A2418" s="2">
        <v>42733</v>
      </c>
      <c r="B2418">
        <v>203.66</v>
      </c>
    </row>
    <row r="2419" spans="1:2" x14ac:dyDescent="0.25">
      <c r="A2419" s="2">
        <v>42734</v>
      </c>
      <c r="B2419">
        <v>201.03</v>
      </c>
    </row>
    <row r="2420" spans="1:2" x14ac:dyDescent="0.25">
      <c r="A2420" s="2">
        <v>42735</v>
      </c>
      <c r="B2420">
        <v>201.03</v>
      </c>
    </row>
    <row r="2421" spans="1:2" x14ac:dyDescent="0.25">
      <c r="A2421" s="2">
        <v>42736</v>
      </c>
      <c r="B2421">
        <v>201.03</v>
      </c>
    </row>
    <row r="2422" spans="1:2" x14ac:dyDescent="0.25">
      <c r="A2422" s="2">
        <v>42737</v>
      </c>
      <c r="B2422">
        <v>203.86</v>
      </c>
    </row>
    <row r="2423" spans="1:2" x14ac:dyDescent="0.25">
      <c r="A2423" s="2">
        <v>42738</v>
      </c>
      <c r="B2423">
        <v>205.79</v>
      </c>
    </row>
    <row r="2424" spans="1:2" x14ac:dyDescent="0.25">
      <c r="A2424" s="2">
        <v>42739</v>
      </c>
      <c r="B2424">
        <v>205.97</v>
      </c>
    </row>
    <row r="2425" spans="1:2" x14ac:dyDescent="0.25">
      <c r="A2425" s="2">
        <v>42740</v>
      </c>
      <c r="B2425">
        <v>204.55</v>
      </c>
    </row>
    <row r="2426" spans="1:2" x14ac:dyDescent="0.25">
      <c r="A2426" s="2">
        <v>42741</v>
      </c>
      <c r="B2426">
        <v>203.63</v>
      </c>
    </row>
    <row r="2427" spans="1:2" x14ac:dyDescent="0.25">
      <c r="A2427" s="2">
        <v>42742</v>
      </c>
      <c r="B2427">
        <v>203.63</v>
      </c>
    </row>
    <row r="2428" spans="1:2" x14ac:dyDescent="0.25">
      <c r="A2428" s="2">
        <v>42743</v>
      </c>
      <c r="B2428">
        <v>203.63</v>
      </c>
    </row>
    <row r="2429" spans="1:2" x14ac:dyDescent="0.25">
      <c r="A2429" s="2">
        <v>42744</v>
      </c>
      <c r="B2429">
        <v>204.31</v>
      </c>
    </row>
    <row r="2430" spans="1:2" x14ac:dyDescent="0.25">
      <c r="A2430" s="2">
        <v>42745</v>
      </c>
      <c r="B2430">
        <v>203.32</v>
      </c>
    </row>
    <row r="2431" spans="1:2" x14ac:dyDescent="0.25">
      <c r="A2431" s="2">
        <v>42746</v>
      </c>
      <c r="B2431">
        <v>205.15</v>
      </c>
    </row>
    <row r="2432" spans="1:2" x14ac:dyDescent="0.25">
      <c r="A2432" s="2">
        <v>42747</v>
      </c>
      <c r="B2432">
        <v>201.34</v>
      </c>
    </row>
    <row r="2433" spans="1:2" x14ac:dyDescent="0.25">
      <c r="A2433" s="2">
        <v>42748</v>
      </c>
      <c r="B2433">
        <v>202.06</v>
      </c>
    </row>
    <row r="2434" spans="1:2" x14ac:dyDescent="0.25">
      <c r="A2434" s="2">
        <v>42749</v>
      </c>
      <c r="B2434">
        <v>202.06</v>
      </c>
    </row>
    <row r="2435" spans="1:2" x14ac:dyDescent="0.25">
      <c r="A2435" s="2">
        <v>42750</v>
      </c>
      <c r="B2435">
        <v>202.06</v>
      </c>
    </row>
    <row r="2436" spans="1:2" x14ac:dyDescent="0.25">
      <c r="A2436" s="2">
        <v>42751</v>
      </c>
      <c r="B2436">
        <v>203.34</v>
      </c>
    </row>
    <row r="2437" spans="1:2" x14ac:dyDescent="0.25">
      <c r="A2437" s="2">
        <v>42752</v>
      </c>
      <c r="B2437">
        <v>201.02</v>
      </c>
    </row>
    <row r="2438" spans="1:2" x14ac:dyDescent="0.25">
      <c r="A2438" s="2">
        <v>42753</v>
      </c>
      <c r="B2438">
        <v>201.78</v>
      </c>
    </row>
    <row r="2439" spans="1:2" x14ac:dyDescent="0.25">
      <c r="A2439" s="2">
        <v>42754</v>
      </c>
      <c r="B2439">
        <v>200.98</v>
      </c>
    </row>
    <row r="2440" spans="1:2" x14ac:dyDescent="0.25">
      <c r="A2440" s="2">
        <v>42755</v>
      </c>
      <c r="B2440">
        <v>202.35</v>
      </c>
    </row>
    <row r="2441" spans="1:2" x14ac:dyDescent="0.25">
      <c r="A2441" s="2">
        <v>42756</v>
      </c>
      <c r="B2441">
        <v>202.35</v>
      </c>
    </row>
    <row r="2442" spans="1:2" x14ac:dyDescent="0.25">
      <c r="A2442" s="2">
        <v>42757</v>
      </c>
      <c r="B2442">
        <v>202.35</v>
      </c>
    </row>
    <row r="2443" spans="1:2" x14ac:dyDescent="0.25">
      <c r="A2443" s="2">
        <v>42758</v>
      </c>
      <c r="B2443">
        <v>200.24</v>
      </c>
    </row>
    <row r="2444" spans="1:2" x14ac:dyDescent="0.25">
      <c r="A2444" s="2">
        <v>42759</v>
      </c>
      <c r="B2444">
        <v>200.94</v>
      </c>
    </row>
    <row r="2445" spans="1:2" x14ac:dyDescent="0.25">
      <c r="A2445" s="2">
        <v>42760</v>
      </c>
      <c r="B2445">
        <v>202.65</v>
      </c>
    </row>
    <row r="2446" spans="1:2" x14ac:dyDescent="0.25">
      <c r="A2446" s="2">
        <v>42761</v>
      </c>
      <c r="B2446">
        <v>203.32</v>
      </c>
    </row>
    <row r="2447" spans="1:2" x14ac:dyDescent="0.25">
      <c r="A2447" s="2">
        <v>42762</v>
      </c>
      <c r="B2447">
        <v>203.51</v>
      </c>
    </row>
    <row r="2448" spans="1:2" x14ac:dyDescent="0.25">
      <c r="A2448" s="2">
        <v>42763</v>
      </c>
      <c r="B2448">
        <v>203.51</v>
      </c>
    </row>
    <row r="2449" spans="1:2" x14ac:dyDescent="0.25">
      <c r="A2449" s="2">
        <v>42764</v>
      </c>
      <c r="B2449">
        <v>203.51</v>
      </c>
    </row>
    <row r="2450" spans="1:2" x14ac:dyDescent="0.25">
      <c r="A2450" s="2">
        <v>42765</v>
      </c>
      <c r="B2450">
        <v>203.27</v>
      </c>
    </row>
    <row r="2451" spans="1:2" x14ac:dyDescent="0.25">
      <c r="A2451" s="2">
        <v>42766</v>
      </c>
      <c r="B2451">
        <v>200.73</v>
      </c>
    </row>
    <row r="2452" spans="1:2" x14ac:dyDescent="0.25">
      <c r="A2452" s="2">
        <v>42767</v>
      </c>
      <c r="B2452">
        <v>200.18</v>
      </c>
    </row>
    <row r="2453" spans="1:2" x14ac:dyDescent="0.25">
      <c r="A2453" s="2">
        <v>42768</v>
      </c>
      <c r="B2453">
        <v>199.96</v>
      </c>
    </row>
    <row r="2454" spans="1:2" x14ac:dyDescent="0.25">
      <c r="A2454" s="2">
        <v>42769</v>
      </c>
      <c r="B2454">
        <v>202.68</v>
      </c>
    </row>
    <row r="2455" spans="1:2" x14ac:dyDescent="0.25">
      <c r="A2455" s="2">
        <v>42770</v>
      </c>
      <c r="B2455">
        <v>202.68</v>
      </c>
    </row>
    <row r="2456" spans="1:2" x14ac:dyDescent="0.25">
      <c r="A2456" s="2">
        <v>42771</v>
      </c>
      <c r="B2456">
        <v>202.68</v>
      </c>
    </row>
    <row r="2457" spans="1:2" x14ac:dyDescent="0.25">
      <c r="A2457" s="2">
        <v>42772</v>
      </c>
      <c r="B2457">
        <v>202.8</v>
      </c>
    </row>
    <row r="2458" spans="1:2" x14ac:dyDescent="0.25">
      <c r="A2458" s="2">
        <v>42773</v>
      </c>
      <c r="B2458">
        <v>203.56</v>
      </c>
    </row>
    <row r="2459" spans="1:2" x14ac:dyDescent="0.25">
      <c r="A2459" s="2">
        <v>42774</v>
      </c>
      <c r="B2459">
        <v>203.95</v>
      </c>
    </row>
    <row r="2460" spans="1:2" x14ac:dyDescent="0.25">
      <c r="A2460" s="2">
        <v>42775</v>
      </c>
      <c r="B2460">
        <v>204.63</v>
      </c>
    </row>
    <row r="2461" spans="1:2" x14ac:dyDescent="0.25">
      <c r="A2461" s="2">
        <v>42776</v>
      </c>
      <c r="B2461">
        <v>206.59</v>
      </c>
    </row>
    <row r="2462" spans="1:2" x14ac:dyDescent="0.25">
      <c r="A2462" s="2">
        <v>42777</v>
      </c>
      <c r="B2462">
        <v>206.59</v>
      </c>
    </row>
    <row r="2463" spans="1:2" x14ac:dyDescent="0.25">
      <c r="A2463" s="2">
        <v>42778</v>
      </c>
      <c r="B2463">
        <v>206.59</v>
      </c>
    </row>
    <row r="2464" spans="1:2" x14ac:dyDescent="0.25">
      <c r="A2464" s="2">
        <v>42779</v>
      </c>
      <c r="B2464">
        <v>207.71</v>
      </c>
    </row>
    <row r="2465" spans="1:2" x14ac:dyDescent="0.25">
      <c r="A2465" s="2">
        <v>42780</v>
      </c>
      <c r="B2465">
        <v>208.72</v>
      </c>
    </row>
    <row r="2466" spans="1:2" x14ac:dyDescent="0.25">
      <c r="A2466" s="2">
        <v>42781</v>
      </c>
      <c r="B2466">
        <v>211.13</v>
      </c>
    </row>
    <row r="2467" spans="1:2" x14ac:dyDescent="0.25">
      <c r="A2467" s="2">
        <v>42782</v>
      </c>
      <c r="B2467">
        <v>209.05</v>
      </c>
    </row>
    <row r="2468" spans="1:2" x14ac:dyDescent="0.25">
      <c r="A2468" s="2">
        <v>42783</v>
      </c>
      <c r="B2468">
        <v>209.45</v>
      </c>
    </row>
    <row r="2469" spans="1:2" x14ac:dyDescent="0.25">
      <c r="A2469" s="2">
        <v>42784</v>
      </c>
      <c r="B2469">
        <v>209.45</v>
      </c>
    </row>
    <row r="2470" spans="1:2" x14ac:dyDescent="0.25">
      <c r="A2470" s="2">
        <v>42785</v>
      </c>
      <c r="B2470">
        <v>209.45</v>
      </c>
    </row>
    <row r="2471" spans="1:2" x14ac:dyDescent="0.25">
      <c r="A2471" s="2">
        <v>42786</v>
      </c>
      <c r="B2471">
        <v>210.11</v>
      </c>
    </row>
    <row r="2472" spans="1:2" x14ac:dyDescent="0.25">
      <c r="A2472" s="2">
        <v>42787</v>
      </c>
      <c r="B2472">
        <v>212.96</v>
      </c>
    </row>
    <row r="2473" spans="1:2" x14ac:dyDescent="0.25">
      <c r="A2473" s="2">
        <v>42788</v>
      </c>
      <c r="B2473">
        <v>213.24</v>
      </c>
    </row>
    <row r="2474" spans="1:2" x14ac:dyDescent="0.25">
      <c r="A2474" s="2">
        <v>42789</v>
      </c>
      <c r="B2474">
        <v>212.14</v>
      </c>
    </row>
    <row r="2475" spans="1:2" x14ac:dyDescent="0.25">
      <c r="A2475" s="2">
        <v>42790</v>
      </c>
      <c r="B2475">
        <v>211.78</v>
      </c>
    </row>
    <row r="2476" spans="1:2" x14ac:dyDescent="0.25">
      <c r="A2476" s="2">
        <v>42791</v>
      </c>
      <c r="B2476">
        <v>211.78</v>
      </c>
    </row>
    <row r="2477" spans="1:2" x14ac:dyDescent="0.25">
      <c r="A2477" s="2">
        <v>42792</v>
      </c>
      <c r="B2477">
        <v>211.78</v>
      </c>
    </row>
    <row r="2478" spans="1:2" x14ac:dyDescent="0.25">
      <c r="A2478" s="2">
        <v>42793</v>
      </c>
      <c r="B2478">
        <v>212.46</v>
      </c>
    </row>
    <row r="2479" spans="1:2" x14ac:dyDescent="0.25">
      <c r="A2479" s="2">
        <v>42794</v>
      </c>
      <c r="B2479">
        <v>211.72</v>
      </c>
    </row>
    <row r="2480" spans="1:2" x14ac:dyDescent="0.25">
      <c r="A2480" s="2">
        <v>42795</v>
      </c>
      <c r="B2480">
        <v>215.95</v>
      </c>
    </row>
    <row r="2481" spans="1:2" x14ac:dyDescent="0.25">
      <c r="A2481" s="2">
        <v>42796</v>
      </c>
      <c r="B2481">
        <v>215.08</v>
      </c>
    </row>
    <row r="2482" spans="1:2" x14ac:dyDescent="0.25">
      <c r="A2482" s="2">
        <v>42797</v>
      </c>
      <c r="B2482">
        <v>214.16</v>
      </c>
    </row>
    <row r="2483" spans="1:2" x14ac:dyDescent="0.25">
      <c r="A2483" s="2">
        <v>42798</v>
      </c>
      <c r="B2483">
        <v>214.16</v>
      </c>
    </row>
    <row r="2484" spans="1:2" x14ac:dyDescent="0.25">
      <c r="A2484" s="2">
        <v>42799</v>
      </c>
      <c r="B2484">
        <v>214.16</v>
      </c>
    </row>
    <row r="2485" spans="1:2" x14ac:dyDescent="0.25">
      <c r="A2485" s="2">
        <v>42800</v>
      </c>
      <c r="B2485">
        <v>212.92</v>
      </c>
    </row>
    <row r="2486" spans="1:2" x14ac:dyDescent="0.25">
      <c r="A2486" s="2">
        <v>42801</v>
      </c>
      <c r="B2486">
        <v>212.64</v>
      </c>
    </row>
    <row r="2487" spans="1:2" x14ac:dyDescent="0.25">
      <c r="A2487" s="2">
        <v>42802</v>
      </c>
      <c r="B2487">
        <v>212.61</v>
      </c>
    </row>
    <row r="2488" spans="1:2" x14ac:dyDescent="0.25">
      <c r="A2488" s="2">
        <v>42803</v>
      </c>
      <c r="B2488">
        <v>212.88</v>
      </c>
    </row>
    <row r="2489" spans="1:2" x14ac:dyDescent="0.25">
      <c r="A2489" s="2">
        <v>42804</v>
      </c>
      <c r="B2489">
        <v>212.47</v>
      </c>
    </row>
    <row r="2490" spans="1:2" x14ac:dyDescent="0.25">
      <c r="A2490" s="2">
        <v>42805</v>
      </c>
      <c r="B2490">
        <v>212.47</v>
      </c>
    </row>
    <row r="2491" spans="1:2" x14ac:dyDescent="0.25">
      <c r="A2491" s="2">
        <v>42806</v>
      </c>
      <c r="B2491">
        <v>212.47</v>
      </c>
    </row>
    <row r="2492" spans="1:2" x14ac:dyDescent="0.25">
      <c r="A2492" s="2">
        <v>42807</v>
      </c>
      <c r="B2492">
        <v>211.48</v>
      </c>
    </row>
    <row r="2493" spans="1:2" x14ac:dyDescent="0.25">
      <c r="A2493" s="2">
        <v>42808</v>
      </c>
      <c r="B2493">
        <v>211.4</v>
      </c>
    </row>
    <row r="2494" spans="1:2" x14ac:dyDescent="0.25">
      <c r="A2494" s="2">
        <v>42809</v>
      </c>
      <c r="B2494">
        <v>213.36</v>
      </c>
    </row>
    <row r="2495" spans="1:2" x14ac:dyDescent="0.25">
      <c r="A2495" s="2">
        <v>42810</v>
      </c>
      <c r="B2495">
        <v>210.95</v>
      </c>
    </row>
    <row r="2496" spans="1:2" x14ac:dyDescent="0.25">
      <c r="A2496" s="2">
        <v>42811</v>
      </c>
      <c r="B2496">
        <v>210.46</v>
      </c>
    </row>
    <row r="2497" spans="1:2" x14ac:dyDescent="0.25">
      <c r="A2497" s="2">
        <v>42812</v>
      </c>
      <c r="B2497">
        <v>210.46</v>
      </c>
    </row>
    <row r="2498" spans="1:2" x14ac:dyDescent="0.25">
      <c r="A2498" s="2">
        <v>42813</v>
      </c>
      <c r="B2498">
        <v>210.46</v>
      </c>
    </row>
    <row r="2499" spans="1:2" x14ac:dyDescent="0.25">
      <c r="A2499" s="2">
        <v>42814</v>
      </c>
      <c r="B2499">
        <v>209.75</v>
      </c>
    </row>
    <row r="2500" spans="1:2" x14ac:dyDescent="0.25">
      <c r="A2500" s="2">
        <v>42815</v>
      </c>
      <c r="B2500">
        <v>206.18</v>
      </c>
    </row>
    <row r="2501" spans="1:2" x14ac:dyDescent="0.25">
      <c r="A2501" s="2">
        <v>42816</v>
      </c>
      <c r="B2501">
        <v>206.49</v>
      </c>
    </row>
    <row r="2502" spans="1:2" x14ac:dyDescent="0.25">
      <c r="A2502" s="2">
        <v>42817</v>
      </c>
      <c r="B2502">
        <v>206.68</v>
      </c>
    </row>
    <row r="2503" spans="1:2" x14ac:dyDescent="0.25">
      <c r="A2503" s="2">
        <v>42818</v>
      </c>
      <c r="B2503">
        <v>206.15</v>
      </c>
    </row>
    <row r="2504" spans="1:2" x14ac:dyDescent="0.25">
      <c r="A2504" s="2">
        <v>42819</v>
      </c>
      <c r="B2504">
        <v>206.15</v>
      </c>
    </row>
    <row r="2505" spans="1:2" x14ac:dyDescent="0.25">
      <c r="A2505" s="2">
        <v>42820</v>
      </c>
      <c r="B2505">
        <v>206.15</v>
      </c>
    </row>
    <row r="2506" spans="1:2" x14ac:dyDescent="0.25">
      <c r="A2506" s="2">
        <v>42821</v>
      </c>
      <c r="B2506">
        <v>204.34</v>
      </c>
    </row>
    <row r="2507" spans="1:2" x14ac:dyDescent="0.25">
      <c r="A2507" s="2">
        <v>42822</v>
      </c>
      <c r="B2507">
        <v>206.39</v>
      </c>
    </row>
    <row r="2508" spans="1:2" x14ac:dyDescent="0.25">
      <c r="A2508" s="2">
        <v>42823</v>
      </c>
      <c r="B2508">
        <v>208.78</v>
      </c>
    </row>
    <row r="2509" spans="1:2" x14ac:dyDescent="0.25">
      <c r="A2509" s="2">
        <v>42824</v>
      </c>
      <c r="B2509">
        <v>209.61</v>
      </c>
    </row>
    <row r="2510" spans="1:2" x14ac:dyDescent="0.25">
      <c r="A2510" s="2">
        <v>42825</v>
      </c>
      <c r="B2510">
        <v>210.04</v>
      </c>
    </row>
    <row r="2511" spans="1:2" x14ac:dyDescent="0.25">
      <c r="A2511" s="2">
        <v>42826</v>
      </c>
      <c r="B2511">
        <v>210.04</v>
      </c>
    </row>
    <row r="2512" spans="1:2" x14ac:dyDescent="0.25">
      <c r="A2512" s="2">
        <v>42827</v>
      </c>
      <c r="B2512">
        <v>210.04</v>
      </c>
    </row>
    <row r="2513" spans="1:2" x14ac:dyDescent="0.25">
      <c r="A2513" s="2">
        <v>42828</v>
      </c>
      <c r="B2513">
        <v>210.29</v>
      </c>
    </row>
    <row r="2514" spans="1:2" x14ac:dyDescent="0.25">
      <c r="A2514" s="2">
        <v>42829</v>
      </c>
      <c r="B2514">
        <v>210.63</v>
      </c>
    </row>
    <row r="2515" spans="1:2" x14ac:dyDescent="0.25">
      <c r="A2515" s="2">
        <v>42830</v>
      </c>
      <c r="B2515">
        <v>209.47</v>
      </c>
    </row>
    <row r="2516" spans="1:2" x14ac:dyDescent="0.25">
      <c r="A2516" s="2">
        <v>42831</v>
      </c>
      <c r="B2516">
        <v>210.16</v>
      </c>
    </row>
    <row r="2517" spans="1:2" x14ac:dyDescent="0.25">
      <c r="A2517" s="2">
        <v>42832</v>
      </c>
      <c r="B2517">
        <v>210.71</v>
      </c>
    </row>
    <row r="2518" spans="1:2" x14ac:dyDescent="0.25">
      <c r="A2518" s="2">
        <v>42833</v>
      </c>
      <c r="B2518">
        <v>210.71</v>
      </c>
    </row>
    <row r="2519" spans="1:2" x14ac:dyDescent="0.25">
      <c r="A2519" s="2">
        <v>42834</v>
      </c>
      <c r="B2519">
        <v>210.71</v>
      </c>
    </row>
    <row r="2520" spans="1:2" x14ac:dyDescent="0.25">
      <c r="A2520" s="2">
        <v>42835</v>
      </c>
      <c r="B2520">
        <v>211.89</v>
      </c>
    </row>
    <row r="2521" spans="1:2" x14ac:dyDescent="0.25">
      <c r="A2521" s="2">
        <v>42836</v>
      </c>
      <c r="B2521">
        <v>210.85</v>
      </c>
    </row>
    <row r="2522" spans="1:2" x14ac:dyDescent="0.25">
      <c r="A2522" s="2">
        <v>42837</v>
      </c>
      <c r="B2522">
        <v>210.28</v>
      </c>
    </row>
    <row r="2523" spans="1:2" x14ac:dyDescent="0.25">
      <c r="A2523" s="2">
        <v>42838</v>
      </c>
      <c r="B2523">
        <v>208.36</v>
      </c>
    </row>
    <row r="2524" spans="1:2" x14ac:dyDescent="0.25">
      <c r="A2524" s="2">
        <v>42839</v>
      </c>
      <c r="B2524">
        <v>209.02</v>
      </c>
    </row>
    <row r="2525" spans="1:2" x14ac:dyDescent="0.25">
      <c r="A2525" s="2">
        <v>42840</v>
      </c>
      <c r="B2525">
        <v>209.02</v>
      </c>
    </row>
    <row r="2526" spans="1:2" x14ac:dyDescent="0.25">
      <c r="A2526" s="2">
        <v>42841</v>
      </c>
      <c r="B2526">
        <v>209.02</v>
      </c>
    </row>
    <row r="2527" spans="1:2" x14ac:dyDescent="0.25">
      <c r="A2527" s="2">
        <v>42842</v>
      </c>
      <c r="B2527">
        <v>209.02</v>
      </c>
    </row>
    <row r="2528" spans="1:2" x14ac:dyDescent="0.25">
      <c r="A2528" s="2">
        <v>42843</v>
      </c>
      <c r="B2528">
        <v>208.53</v>
      </c>
    </row>
    <row r="2529" spans="1:2" x14ac:dyDescent="0.25">
      <c r="A2529" s="2">
        <v>42844</v>
      </c>
      <c r="B2529">
        <v>207.37</v>
      </c>
    </row>
    <row r="2530" spans="1:2" x14ac:dyDescent="0.25">
      <c r="A2530" s="2">
        <v>42845</v>
      </c>
      <c r="B2530">
        <v>208.54</v>
      </c>
    </row>
    <row r="2531" spans="1:2" x14ac:dyDescent="0.25">
      <c r="A2531" s="2">
        <v>42846</v>
      </c>
      <c r="B2531">
        <v>208.82</v>
      </c>
    </row>
    <row r="2532" spans="1:2" x14ac:dyDescent="0.25">
      <c r="A2532" s="2">
        <v>42847</v>
      </c>
      <c r="B2532">
        <v>208.82</v>
      </c>
    </row>
    <row r="2533" spans="1:2" x14ac:dyDescent="0.25">
      <c r="A2533" s="2">
        <v>42848</v>
      </c>
      <c r="B2533">
        <v>208.82</v>
      </c>
    </row>
    <row r="2534" spans="1:2" x14ac:dyDescent="0.25">
      <c r="A2534" s="2">
        <v>42849</v>
      </c>
      <c r="B2534">
        <v>208.18</v>
      </c>
    </row>
    <row r="2535" spans="1:2" x14ac:dyDescent="0.25">
      <c r="A2535" s="2">
        <v>42850</v>
      </c>
      <c r="B2535">
        <v>208.61</v>
      </c>
    </row>
    <row r="2536" spans="1:2" x14ac:dyDescent="0.25">
      <c r="A2536" s="2">
        <v>42851</v>
      </c>
      <c r="B2536">
        <v>208.47</v>
      </c>
    </row>
    <row r="2537" spans="1:2" x14ac:dyDescent="0.25">
      <c r="A2537" s="2">
        <v>42852</v>
      </c>
      <c r="B2537">
        <v>208.84</v>
      </c>
    </row>
    <row r="2538" spans="1:2" x14ac:dyDescent="0.25">
      <c r="A2538" s="2">
        <v>42853</v>
      </c>
      <c r="B2538">
        <v>207.51</v>
      </c>
    </row>
    <row r="2539" spans="1:2" x14ac:dyDescent="0.25">
      <c r="A2539" s="2">
        <v>42854</v>
      </c>
      <c r="B2539">
        <v>207.51</v>
      </c>
    </row>
    <row r="2540" spans="1:2" x14ac:dyDescent="0.25">
      <c r="A2540" s="2">
        <v>42855</v>
      </c>
      <c r="B2540">
        <v>207.51</v>
      </c>
    </row>
    <row r="2541" spans="1:2" x14ac:dyDescent="0.25">
      <c r="A2541" s="2">
        <v>42856</v>
      </c>
      <c r="B2541">
        <v>208.26</v>
      </c>
    </row>
    <row r="2542" spans="1:2" x14ac:dyDescent="0.25">
      <c r="A2542" s="2">
        <v>42857</v>
      </c>
      <c r="B2542">
        <v>208.4</v>
      </c>
    </row>
    <row r="2543" spans="1:2" x14ac:dyDescent="0.25">
      <c r="A2543" s="2">
        <v>42858</v>
      </c>
      <c r="B2543">
        <v>208.1</v>
      </c>
    </row>
    <row r="2544" spans="1:2" x14ac:dyDescent="0.25">
      <c r="A2544" s="2">
        <v>42859</v>
      </c>
      <c r="B2544">
        <v>208.08</v>
      </c>
    </row>
    <row r="2545" spans="1:2" x14ac:dyDescent="0.25">
      <c r="A2545" s="2">
        <v>42860</v>
      </c>
      <c r="B2545">
        <v>208.28</v>
      </c>
    </row>
    <row r="2546" spans="1:2" x14ac:dyDescent="0.25">
      <c r="A2546" s="2">
        <v>42861</v>
      </c>
      <c r="B2546">
        <v>208.28</v>
      </c>
    </row>
    <row r="2547" spans="1:2" x14ac:dyDescent="0.25">
      <c r="A2547" s="2">
        <v>42862</v>
      </c>
      <c r="B2547">
        <v>208.28</v>
      </c>
    </row>
    <row r="2548" spans="1:2" x14ac:dyDescent="0.25">
      <c r="A2548" s="2">
        <v>42863</v>
      </c>
      <c r="B2548">
        <v>208.74</v>
      </c>
    </row>
    <row r="2549" spans="1:2" x14ac:dyDescent="0.25">
      <c r="A2549" s="2">
        <v>42864</v>
      </c>
      <c r="B2549">
        <v>209.49</v>
      </c>
    </row>
    <row r="2550" spans="1:2" x14ac:dyDescent="0.25">
      <c r="A2550" s="2">
        <v>42865</v>
      </c>
      <c r="B2550">
        <v>209.91</v>
      </c>
    </row>
    <row r="2551" spans="1:2" x14ac:dyDescent="0.25">
      <c r="A2551" s="2">
        <v>42866</v>
      </c>
      <c r="B2551">
        <v>209.94</v>
      </c>
    </row>
    <row r="2552" spans="1:2" x14ac:dyDescent="0.25">
      <c r="A2552" s="2">
        <v>42867</v>
      </c>
      <c r="B2552">
        <v>209.32</v>
      </c>
    </row>
    <row r="2553" spans="1:2" x14ac:dyDescent="0.25">
      <c r="A2553" s="2">
        <v>42868</v>
      </c>
      <c r="B2553">
        <v>209.32</v>
      </c>
    </row>
    <row r="2554" spans="1:2" x14ac:dyDescent="0.25">
      <c r="A2554" s="2">
        <v>42869</v>
      </c>
      <c r="B2554">
        <v>209.32</v>
      </c>
    </row>
    <row r="2555" spans="1:2" x14ac:dyDescent="0.25">
      <c r="A2555" s="2">
        <v>42870</v>
      </c>
      <c r="B2555">
        <v>208.5</v>
      </c>
    </row>
    <row r="2556" spans="1:2" x14ac:dyDescent="0.25">
      <c r="A2556" s="2">
        <v>42871</v>
      </c>
      <c r="B2556">
        <v>206.76</v>
      </c>
    </row>
    <row r="2557" spans="1:2" x14ac:dyDescent="0.25">
      <c r="A2557" s="2">
        <v>42872</v>
      </c>
      <c r="B2557">
        <v>202</v>
      </c>
    </row>
    <row r="2558" spans="1:2" x14ac:dyDescent="0.25">
      <c r="A2558" s="2">
        <v>42873</v>
      </c>
      <c r="B2558">
        <v>202.52</v>
      </c>
    </row>
    <row r="2559" spans="1:2" x14ac:dyDescent="0.25">
      <c r="A2559" s="2">
        <v>42874</v>
      </c>
      <c r="B2559">
        <v>202.98</v>
      </c>
    </row>
    <row r="2560" spans="1:2" x14ac:dyDescent="0.25">
      <c r="A2560" s="2">
        <v>42875</v>
      </c>
      <c r="B2560">
        <v>202.98</v>
      </c>
    </row>
    <row r="2561" spans="1:2" x14ac:dyDescent="0.25">
      <c r="A2561" s="2">
        <v>42876</v>
      </c>
      <c r="B2561">
        <v>202.98</v>
      </c>
    </row>
    <row r="2562" spans="1:2" x14ac:dyDescent="0.25">
      <c r="A2562" s="2">
        <v>42877</v>
      </c>
      <c r="B2562">
        <v>202.87</v>
      </c>
    </row>
    <row r="2563" spans="1:2" x14ac:dyDescent="0.25">
      <c r="A2563" s="2">
        <v>42878</v>
      </c>
      <c r="B2563">
        <v>203.75</v>
      </c>
    </row>
    <row r="2564" spans="1:2" x14ac:dyDescent="0.25">
      <c r="A2564" s="2">
        <v>42879</v>
      </c>
      <c r="B2564">
        <v>204.66</v>
      </c>
    </row>
    <row r="2565" spans="1:2" x14ac:dyDescent="0.25">
      <c r="A2565" s="2">
        <v>42880</v>
      </c>
      <c r="B2565">
        <v>205.22</v>
      </c>
    </row>
    <row r="2566" spans="1:2" x14ac:dyDescent="0.25">
      <c r="A2566" s="2">
        <v>42881</v>
      </c>
      <c r="B2566">
        <v>205.64</v>
      </c>
    </row>
    <row r="2567" spans="1:2" x14ac:dyDescent="0.25">
      <c r="A2567" s="2">
        <v>42882</v>
      </c>
      <c r="B2567">
        <v>205.64</v>
      </c>
    </row>
    <row r="2568" spans="1:2" x14ac:dyDescent="0.25">
      <c r="A2568" s="2">
        <v>42883</v>
      </c>
      <c r="B2568">
        <v>205.64</v>
      </c>
    </row>
    <row r="2569" spans="1:2" x14ac:dyDescent="0.25">
      <c r="A2569" s="2">
        <v>42884</v>
      </c>
      <c r="B2569">
        <v>206.03</v>
      </c>
    </row>
    <row r="2570" spans="1:2" x14ac:dyDescent="0.25">
      <c r="A2570" s="2">
        <v>42885</v>
      </c>
      <c r="B2570">
        <v>205.84</v>
      </c>
    </row>
    <row r="2571" spans="1:2" x14ac:dyDescent="0.25">
      <c r="A2571" s="2">
        <v>42886</v>
      </c>
      <c r="B2571">
        <v>204.89</v>
      </c>
    </row>
    <row r="2572" spans="1:2" x14ac:dyDescent="0.25">
      <c r="A2572" s="2">
        <v>42887</v>
      </c>
      <c r="B2572">
        <v>206.5</v>
      </c>
    </row>
    <row r="2573" spans="1:2" x14ac:dyDescent="0.25">
      <c r="A2573" s="2">
        <v>42888</v>
      </c>
      <c r="B2573">
        <v>207.3</v>
      </c>
    </row>
    <row r="2574" spans="1:2" x14ac:dyDescent="0.25">
      <c r="A2574" s="2">
        <v>42889</v>
      </c>
      <c r="B2574">
        <v>207.3</v>
      </c>
    </row>
    <row r="2575" spans="1:2" x14ac:dyDescent="0.25">
      <c r="A2575" s="2">
        <v>42890</v>
      </c>
      <c r="B2575">
        <v>207.3</v>
      </c>
    </row>
    <row r="2576" spans="1:2" x14ac:dyDescent="0.25">
      <c r="A2576" s="2">
        <v>42891</v>
      </c>
      <c r="B2576">
        <v>206.46</v>
      </c>
    </row>
    <row r="2577" spans="1:2" x14ac:dyDescent="0.25">
      <c r="A2577" s="2">
        <v>42892</v>
      </c>
      <c r="B2577">
        <v>205.73</v>
      </c>
    </row>
    <row r="2578" spans="1:2" x14ac:dyDescent="0.25">
      <c r="A2578" s="2">
        <v>42893</v>
      </c>
      <c r="B2578">
        <v>206.85</v>
      </c>
    </row>
    <row r="2579" spans="1:2" x14ac:dyDescent="0.25">
      <c r="A2579" s="2">
        <v>42894</v>
      </c>
      <c r="B2579">
        <v>206.68</v>
      </c>
    </row>
    <row r="2580" spans="1:2" x14ac:dyDescent="0.25">
      <c r="A2580" s="2">
        <v>42895</v>
      </c>
      <c r="B2580">
        <v>207.49</v>
      </c>
    </row>
    <row r="2581" spans="1:2" x14ac:dyDescent="0.25">
      <c r="A2581" s="2">
        <v>42896</v>
      </c>
      <c r="B2581">
        <v>207.49</v>
      </c>
    </row>
    <row r="2582" spans="1:2" x14ac:dyDescent="0.25">
      <c r="A2582" s="2">
        <v>42897</v>
      </c>
      <c r="B2582">
        <v>207.49</v>
      </c>
    </row>
    <row r="2583" spans="1:2" x14ac:dyDescent="0.25">
      <c r="A2583" s="2">
        <v>42898</v>
      </c>
      <c r="B2583">
        <v>206.46</v>
      </c>
    </row>
    <row r="2584" spans="1:2" x14ac:dyDescent="0.25">
      <c r="A2584" s="2">
        <v>42899</v>
      </c>
      <c r="B2584">
        <v>207.52</v>
      </c>
    </row>
    <row r="2585" spans="1:2" x14ac:dyDescent="0.25">
      <c r="A2585" s="2">
        <v>42900</v>
      </c>
      <c r="B2585">
        <v>207.58</v>
      </c>
    </row>
    <row r="2586" spans="1:2" x14ac:dyDescent="0.25">
      <c r="A2586" s="2">
        <v>42901</v>
      </c>
      <c r="B2586">
        <v>207.84</v>
      </c>
    </row>
    <row r="2587" spans="1:2" x14ac:dyDescent="0.25">
      <c r="A2587" s="2">
        <v>42902</v>
      </c>
      <c r="B2587">
        <v>207.87</v>
      </c>
    </row>
    <row r="2588" spans="1:2" x14ac:dyDescent="0.25">
      <c r="A2588" s="2">
        <v>42903</v>
      </c>
      <c r="B2588">
        <v>207.87</v>
      </c>
    </row>
    <row r="2589" spans="1:2" x14ac:dyDescent="0.25">
      <c r="A2589" s="2">
        <v>42904</v>
      </c>
      <c r="B2589">
        <v>207.87</v>
      </c>
    </row>
    <row r="2590" spans="1:2" x14ac:dyDescent="0.25">
      <c r="A2590" s="2">
        <v>42905</v>
      </c>
      <c r="B2590">
        <v>209.01</v>
      </c>
    </row>
    <row r="2591" spans="1:2" x14ac:dyDescent="0.25">
      <c r="A2591" s="2">
        <v>42906</v>
      </c>
      <c r="B2591">
        <v>208.42</v>
      </c>
    </row>
    <row r="2592" spans="1:2" x14ac:dyDescent="0.25">
      <c r="A2592" s="2">
        <v>42907</v>
      </c>
      <c r="B2592">
        <v>208.48</v>
      </c>
    </row>
    <row r="2593" spans="1:2" x14ac:dyDescent="0.25">
      <c r="A2593" s="2">
        <v>42908</v>
      </c>
      <c r="B2593">
        <v>207.98</v>
      </c>
    </row>
    <row r="2594" spans="1:2" x14ac:dyDescent="0.25">
      <c r="A2594" s="2">
        <v>42909</v>
      </c>
      <c r="B2594">
        <v>208.23</v>
      </c>
    </row>
    <row r="2595" spans="1:2" x14ac:dyDescent="0.25">
      <c r="A2595" s="2">
        <v>42910</v>
      </c>
      <c r="B2595">
        <v>208.23</v>
      </c>
    </row>
    <row r="2596" spans="1:2" x14ac:dyDescent="0.25">
      <c r="A2596" s="2">
        <v>42911</v>
      </c>
      <c r="B2596">
        <v>208.23</v>
      </c>
    </row>
    <row r="2597" spans="1:2" x14ac:dyDescent="0.25">
      <c r="A2597" s="2">
        <v>42912</v>
      </c>
      <c r="B2597">
        <v>208.03</v>
      </c>
    </row>
    <row r="2598" spans="1:2" x14ac:dyDescent="0.25">
      <c r="A2598" s="2">
        <v>42913</v>
      </c>
      <c r="B2598">
        <v>204.68</v>
      </c>
    </row>
    <row r="2599" spans="1:2" x14ac:dyDescent="0.25">
      <c r="A2599" s="2">
        <v>42914</v>
      </c>
      <c r="B2599">
        <v>204.76</v>
      </c>
    </row>
    <row r="2600" spans="1:2" x14ac:dyDescent="0.25">
      <c r="A2600" s="2">
        <v>42915</v>
      </c>
      <c r="B2600">
        <v>202.33</v>
      </c>
    </row>
    <row r="2601" spans="1:2" x14ac:dyDescent="0.25">
      <c r="A2601" s="2">
        <v>42916</v>
      </c>
      <c r="B2601">
        <v>202.66</v>
      </c>
    </row>
    <row r="2602" spans="1:2" x14ac:dyDescent="0.25">
      <c r="A2602" s="2">
        <v>42917</v>
      </c>
      <c r="B2602">
        <v>202.66</v>
      </c>
    </row>
    <row r="2603" spans="1:2" x14ac:dyDescent="0.25">
      <c r="A2603" s="2">
        <v>42918</v>
      </c>
      <c r="B2603">
        <v>202.66</v>
      </c>
    </row>
    <row r="2604" spans="1:2" x14ac:dyDescent="0.25">
      <c r="A2604" s="2">
        <v>42919</v>
      </c>
      <c r="B2604">
        <v>203.91</v>
      </c>
    </row>
    <row r="2605" spans="1:2" x14ac:dyDescent="0.25">
      <c r="A2605" s="2">
        <v>42920</v>
      </c>
      <c r="B2605">
        <v>204.2</v>
      </c>
    </row>
    <row r="2606" spans="1:2" x14ac:dyDescent="0.25">
      <c r="A2606" s="2">
        <v>42921</v>
      </c>
      <c r="B2606">
        <v>204.97</v>
      </c>
    </row>
    <row r="2607" spans="1:2" x14ac:dyDescent="0.25">
      <c r="A2607" s="2">
        <v>42922</v>
      </c>
      <c r="B2607">
        <v>202.12</v>
      </c>
    </row>
    <row r="2608" spans="1:2" x14ac:dyDescent="0.25">
      <c r="A2608" s="2">
        <v>42923</v>
      </c>
      <c r="B2608">
        <v>202.93</v>
      </c>
    </row>
    <row r="2609" spans="1:2" x14ac:dyDescent="0.25">
      <c r="A2609" s="2">
        <v>42924</v>
      </c>
      <c r="B2609">
        <v>202.93</v>
      </c>
    </row>
    <row r="2610" spans="1:2" x14ac:dyDescent="0.25">
      <c r="A2610" s="2">
        <v>42925</v>
      </c>
      <c r="B2610">
        <v>202.93</v>
      </c>
    </row>
    <row r="2611" spans="1:2" x14ac:dyDescent="0.25">
      <c r="A2611" s="2">
        <v>42926</v>
      </c>
      <c r="B2611">
        <v>203.57</v>
      </c>
    </row>
    <row r="2612" spans="1:2" x14ac:dyDescent="0.25">
      <c r="A2612" s="2">
        <v>42927</v>
      </c>
      <c r="B2612">
        <v>203.09</v>
      </c>
    </row>
    <row r="2613" spans="1:2" x14ac:dyDescent="0.25">
      <c r="A2613" s="2">
        <v>42928</v>
      </c>
      <c r="B2613">
        <v>203.8</v>
      </c>
    </row>
    <row r="2614" spans="1:2" x14ac:dyDescent="0.25">
      <c r="A2614" s="2">
        <v>42929</v>
      </c>
      <c r="B2614">
        <v>204.76</v>
      </c>
    </row>
    <row r="2615" spans="1:2" x14ac:dyDescent="0.25">
      <c r="A2615" s="2">
        <v>42930</v>
      </c>
      <c r="B2615">
        <v>205.75</v>
      </c>
    </row>
    <row r="2616" spans="1:2" x14ac:dyDescent="0.25">
      <c r="A2616" s="2">
        <v>42931</v>
      </c>
      <c r="B2616">
        <v>205.75</v>
      </c>
    </row>
    <row r="2617" spans="1:2" x14ac:dyDescent="0.25">
      <c r="A2617" s="2">
        <v>42932</v>
      </c>
      <c r="B2617">
        <v>205.75</v>
      </c>
    </row>
    <row r="2618" spans="1:2" x14ac:dyDescent="0.25">
      <c r="A2618" s="2">
        <v>42933</v>
      </c>
      <c r="B2618">
        <v>204.9</v>
      </c>
    </row>
    <row r="2619" spans="1:2" x14ac:dyDescent="0.25">
      <c r="A2619" s="2">
        <v>42934</v>
      </c>
      <c r="B2619">
        <v>203.38</v>
      </c>
    </row>
    <row r="2620" spans="1:2" x14ac:dyDescent="0.25">
      <c r="A2620" s="2">
        <v>42935</v>
      </c>
      <c r="B2620">
        <v>204.86</v>
      </c>
    </row>
    <row r="2621" spans="1:2" x14ac:dyDescent="0.25">
      <c r="A2621" s="2">
        <v>42936</v>
      </c>
      <c r="B2621">
        <v>205.7</v>
      </c>
    </row>
    <row r="2622" spans="1:2" x14ac:dyDescent="0.25">
      <c r="A2622" s="2">
        <v>42937</v>
      </c>
      <c r="B2622">
        <v>202.85</v>
      </c>
    </row>
    <row r="2623" spans="1:2" x14ac:dyDescent="0.25">
      <c r="A2623" s="2">
        <v>42938</v>
      </c>
      <c r="B2623">
        <v>202.85</v>
      </c>
    </row>
    <row r="2624" spans="1:2" x14ac:dyDescent="0.25">
      <c r="A2624" s="2">
        <v>42939</v>
      </c>
      <c r="B2624">
        <v>202.85</v>
      </c>
    </row>
    <row r="2625" spans="1:2" x14ac:dyDescent="0.25">
      <c r="A2625" s="2">
        <v>42940</v>
      </c>
      <c r="B2625">
        <v>202.53</v>
      </c>
    </row>
    <row r="2626" spans="1:2" x14ac:dyDescent="0.25">
      <c r="A2626" s="2">
        <v>42941</v>
      </c>
      <c r="B2626">
        <v>202.33</v>
      </c>
    </row>
    <row r="2627" spans="1:2" x14ac:dyDescent="0.25">
      <c r="A2627" s="2">
        <v>42942</v>
      </c>
      <c r="B2627">
        <v>203.25</v>
      </c>
    </row>
    <row r="2628" spans="1:2" x14ac:dyDescent="0.25">
      <c r="A2628" s="2">
        <v>42943</v>
      </c>
      <c r="B2628">
        <v>202.21</v>
      </c>
    </row>
    <row r="2629" spans="1:2" x14ac:dyDescent="0.25">
      <c r="A2629" s="2">
        <v>42944</v>
      </c>
      <c r="B2629">
        <v>201.34</v>
      </c>
    </row>
    <row r="2630" spans="1:2" x14ac:dyDescent="0.25">
      <c r="A2630" s="2">
        <v>42945</v>
      </c>
      <c r="B2630">
        <v>201.34</v>
      </c>
    </row>
    <row r="2631" spans="1:2" x14ac:dyDescent="0.25">
      <c r="A2631" s="2">
        <v>42946</v>
      </c>
      <c r="B2631">
        <v>201.34</v>
      </c>
    </row>
    <row r="2632" spans="1:2" x14ac:dyDescent="0.25">
      <c r="A2632" s="2">
        <v>42947</v>
      </c>
      <c r="B2632">
        <v>201.23</v>
      </c>
    </row>
    <row r="2633" spans="1:2" x14ac:dyDescent="0.25">
      <c r="A2633" s="2">
        <v>42948</v>
      </c>
      <c r="B2633">
        <v>200.27</v>
      </c>
    </row>
    <row r="2634" spans="1:2" x14ac:dyDescent="0.25">
      <c r="A2634" s="2">
        <v>42949</v>
      </c>
      <c r="B2634">
        <v>200.11</v>
      </c>
    </row>
    <row r="2635" spans="1:2" x14ac:dyDescent="0.25">
      <c r="A2635" s="2">
        <v>42950</v>
      </c>
      <c r="B2635">
        <v>199.18</v>
      </c>
    </row>
    <row r="2636" spans="1:2" x14ac:dyDescent="0.25">
      <c r="A2636" s="2">
        <v>42951</v>
      </c>
      <c r="B2636">
        <v>199.43</v>
      </c>
    </row>
    <row r="2637" spans="1:2" x14ac:dyDescent="0.25">
      <c r="A2637" s="2">
        <v>42952</v>
      </c>
      <c r="B2637">
        <v>199.43</v>
      </c>
    </row>
    <row r="2638" spans="1:2" x14ac:dyDescent="0.25">
      <c r="A2638" s="2">
        <v>42953</v>
      </c>
      <c r="B2638">
        <v>199.43</v>
      </c>
    </row>
    <row r="2639" spans="1:2" x14ac:dyDescent="0.25">
      <c r="A2639" s="2">
        <v>42954</v>
      </c>
      <c r="B2639">
        <v>200.96</v>
      </c>
    </row>
    <row r="2640" spans="1:2" x14ac:dyDescent="0.25">
      <c r="A2640" s="2">
        <v>42955</v>
      </c>
      <c r="B2640">
        <v>200.2</v>
      </c>
    </row>
    <row r="2641" spans="1:2" x14ac:dyDescent="0.25">
      <c r="A2641" s="2">
        <v>42956</v>
      </c>
      <c r="B2641">
        <v>201.57</v>
      </c>
    </row>
    <row r="2642" spans="1:2" x14ac:dyDescent="0.25">
      <c r="A2642" s="2">
        <v>42957</v>
      </c>
      <c r="B2642">
        <v>198.69</v>
      </c>
    </row>
    <row r="2643" spans="1:2" x14ac:dyDescent="0.25">
      <c r="A2643" s="2">
        <v>42958</v>
      </c>
      <c r="B2643">
        <v>198.39</v>
      </c>
    </row>
    <row r="2644" spans="1:2" x14ac:dyDescent="0.25">
      <c r="A2644" s="2">
        <v>42959</v>
      </c>
      <c r="B2644">
        <v>198.39</v>
      </c>
    </row>
    <row r="2645" spans="1:2" x14ac:dyDescent="0.25">
      <c r="A2645" s="2">
        <v>42960</v>
      </c>
      <c r="B2645">
        <v>198.39</v>
      </c>
    </row>
    <row r="2646" spans="1:2" x14ac:dyDescent="0.25">
      <c r="A2646" s="2">
        <v>42961</v>
      </c>
      <c r="B2646">
        <v>199.86</v>
      </c>
    </row>
    <row r="2647" spans="1:2" x14ac:dyDescent="0.25">
      <c r="A2647" s="2">
        <v>42962</v>
      </c>
      <c r="B2647">
        <v>200.7</v>
      </c>
    </row>
    <row r="2648" spans="1:2" x14ac:dyDescent="0.25">
      <c r="A2648" s="2">
        <v>42963</v>
      </c>
      <c r="B2648">
        <v>201.61</v>
      </c>
    </row>
    <row r="2649" spans="1:2" x14ac:dyDescent="0.25">
      <c r="A2649" s="2">
        <v>42964</v>
      </c>
      <c r="B2649">
        <v>198.73</v>
      </c>
    </row>
    <row r="2650" spans="1:2" x14ac:dyDescent="0.25">
      <c r="A2650" s="2">
        <v>42965</v>
      </c>
      <c r="B2650">
        <v>197.64</v>
      </c>
    </row>
    <row r="2651" spans="1:2" x14ac:dyDescent="0.25">
      <c r="A2651" s="2">
        <v>42966</v>
      </c>
      <c r="B2651">
        <v>197.64</v>
      </c>
    </row>
    <row r="2652" spans="1:2" x14ac:dyDescent="0.25">
      <c r="A2652" s="2">
        <v>42967</v>
      </c>
      <c r="B2652">
        <v>197.64</v>
      </c>
    </row>
    <row r="2653" spans="1:2" x14ac:dyDescent="0.25">
      <c r="A2653" s="2">
        <v>42968</v>
      </c>
      <c r="B2653">
        <v>197.52</v>
      </c>
    </row>
    <row r="2654" spans="1:2" x14ac:dyDescent="0.25">
      <c r="A2654" s="2">
        <v>42969</v>
      </c>
      <c r="B2654">
        <v>199.31</v>
      </c>
    </row>
    <row r="2655" spans="1:2" x14ac:dyDescent="0.25">
      <c r="A2655" s="2">
        <v>42970</v>
      </c>
      <c r="B2655">
        <v>198.17</v>
      </c>
    </row>
    <row r="2656" spans="1:2" x14ac:dyDescent="0.25">
      <c r="A2656" s="2">
        <v>42971</v>
      </c>
      <c r="B2656">
        <v>197.65</v>
      </c>
    </row>
    <row r="2657" spans="1:2" x14ac:dyDescent="0.25">
      <c r="A2657" s="2">
        <v>42972</v>
      </c>
      <c r="B2657">
        <v>197.96</v>
      </c>
    </row>
    <row r="2658" spans="1:2" x14ac:dyDescent="0.25">
      <c r="A2658" s="2">
        <v>42973</v>
      </c>
      <c r="B2658">
        <v>197.96</v>
      </c>
    </row>
    <row r="2659" spans="1:2" x14ac:dyDescent="0.25">
      <c r="A2659" s="2">
        <v>42974</v>
      </c>
      <c r="B2659">
        <v>197.96</v>
      </c>
    </row>
    <row r="2660" spans="1:2" x14ac:dyDescent="0.25">
      <c r="A2660" s="2">
        <v>42975</v>
      </c>
      <c r="B2660">
        <v>195.37</v>
      </c>
    </row>
    <row r="2661" spans="1:2" x14ac:dyDescent="0.25">
      <c r="A2661" s="2">
        <v>42976</v>
      </c>
      <c r="B2661">
        <v>194.31</v>
      </c>
    </row>
    <row r="2662" spans="1:2" x14ac:dyDescent="0.25">
      <c r="A2662" s="2">
        <v>42977</v>
      </c>
      <c r="B2662">
        <v>197.41</v>
      </c>
    </row>
    <row r="2663" spans="1:2" x14ac:dyDescent="0.25">
      <c r="A2663" s="2">
        <v>42978</v>
      </c>
      <c r="B2663">
        <v>200.07</v>
      </c>
    </row>
    <row r="2664" spans="1:2" x14ac:dyDescent="0.25">
      <c r="A2664" s="2">
        <v>42979</v>
      </c>
      <c r="B2664">
        <v>198.89</v>
      </c>
    </row>
    <row r="2665" spans="1:2" x14ac:dyDescent="0.25">
      <c r="A2665" s="2">
        <v>42980</v>
      </c>
      <c r="B2665">
        <v>198.89</v>
      </c>
    </row>
    <row r="2666" spans="1:2" x14ac:dyDescent="0.25">
      <c r="A2666" s="2">
        <v>42981</v>
      </c>
      <c r="B2666">
        <v>198.89</v>
      </c>
    </row>
    <row r="2667" spans="1:2" x14ac:dyDescent="0.25">
      <c r="A2667" s="2">
        <v>42982</v>
      </c>
      <c r="B2667">
        <v>199.14</v>
      </c>
    </row>
    <row r="2668" spans="1:2" x14ac:dyDescent="0.25">
      <c r="A2668" s="2">
        <v>42983</v>
      </c>
      <c r="B2668">
        <v>197.89</v>
      </c>
    </row>
    <row r="2669" spans="1:2" x14ac:dyDescent="0.25">
      <c r="A2669" s="2">
        <v>42984</v>
      </c>
      <c r="B2669">
        <v>197.82</v>
      </c>
    </row>
    <row r="2670" spans="1:2" x14ac:dyDescent="0.25">
      <c r="A2670" s="2">
        <v>42985</v>
      </c>
      <c r="B2670">
        <v>197.17</v>
      </c>
    </row>
    <row r="2671" spans="1:2" x14ac:dyDescent="0.25">
      <c r="A2671" s="2">
        <v>42986</v>
      </c>
      <c r="B2671">
        <v>195.42</v>
      </c>
    </row>
    <row r="2672" spans="1:2" x14ac:dyDescent="0.25">
      <c r="A2672" s="2">
        <v>42987</v>
      </c>
      <c r="B2672">
        <v>195.42</v>
      </c>
    </row>
    <row r="2673" spans="1:2" x14ac:dyDescent="0.25">
      <c r="A2673" s="2">
        <v>42988</v>
      </c>
      <c r="B2673">
        <v>195.42</v>
      </c>
    </row>
    <row r="2674" spans="1:2" x14ac:dyDescent="0.25">
      <c r="A2674" s="2">
        <v>42989</v>
      </c>
      <c r="B2674">
        <v>198.58</v>
      </c>
    </row>
    <row r="2675" spans="1:2" x14ac:dyDescent="0.25">
      <c r="A2675" s="2">
        <v>42990</v>
      </c>
      <c r="B2675">
        <v>200.33</v>
      </c>
    </row>
    <row r="2676" spans="1:2" x14ac:dyDescent="0.25">
      <c r="A2676" s="2">
        <v>42991</v>
      </c>
      <c r="B2676">
        <v>199.71</v>
      </c>
    </row>
    <row r="2677" spans="1:2" x14ac:dyDescent="0.25">
      <c r="A2677" s="2">
        <v>42992</v>
      </c>
      <c r="B2677">
        <v>201.13</v>
      </c>
    </row>
    <row r="2678" spans="1:2" x14ac:dyDescent="0.25">
      <c r="A2678" s="2">
        <v>42993</v>
      </c>
      <c r="B2678">
        <v>200.2</v>
      </c>
    </row>
    <row r="2679" spans="1:2" x14ac:dyDescent="0.25">
      <c r="A2679" s="2">
        <v>42994</v>
      </c>
      <c r="B2679">
        <v>200.2</v>
      </c>
    </row>
    <row r="2680" spans="1:2" x14ac:dyDescent="0.25">
      <c r="A2680" s="2">
        <v>42995</v>
      </c>
      <c r="B2680">
        <v>200.2</v>
      </c>
    </row>
    <row r="2681" spans="1:2" x14ac:dyDescent="0.25">
      <c r="A2681" s="2">
        <v>42996</v>
      </c>
      <c r="B2681">
        <v>200.75</v>
      </c>
    </row>
    <row r="2682" spans="1:2" x14ac:dyDescent="0.25">
      <c r="A2682" s="2">
        <v>42997</v>
      </c>
      <c r="B2682">
        <v>200.58</v>
      </c>
    </row>
    <row r="2683" spans="1:2" x14ac:dyDescent="0.25">
      <c r="A2683" s="2">
        <v>42998</v>
      </c>
      <c r="B2683">
        <v>200.12</v>
      </c>
    </row>
    <row r="2684" spans="1:2" x14ac:dyDescent="0.25">
      <c r="A2684" s="2">
        <v>42999</v>
      </c>
      <c r="B2684">
        <v>201.23</v>
      </c>
    </row>
    <row r="2685" spans="1:2" x14ac:dyDescent="0.25">
      <c r="A2685" s="2">
        <v>43000</v>
      </c>
      <c r="B2685">
        <v>200.42</v>
      </c>
    </row>
    <row r="2686" spans="1:2" x14ac:dyDescent="0.25">
      <c r="A2686" s="2">
        <v>43001</v>
      </c>
      <c r="B2686">
        <v>200.42</v>
      </c>
    </row>
    <row r="2687" spans="1:2" x14ac:dyDescent="0.25">
      <c r="A2687" s="2">
        <v>43002</v>
      </c>
      <c r="B2687">
        <v>200.42</v>
      </c>
    </row>
    <row r="2688" spans="1:2" x14ac:dyDescent="0.25">
      <c r="A2688" s="2">
        <v>43003</v>
      </c>
      <c r="B2688">
        <v>201.55</v>
      </c>
    </row>
    <row r="2689" spans="1:2" x14ac:dyDescent="0.25">
      <c r="A2689" s="2">
        <v>43004</v>
      </c>
      <c r="B2689">
        <v>202.95</v>
      </c>
    </row>
    <row r="2690" spans="1:2" x14ac:dyDescent="0.25">
      <c r="A2690" s="2">
        <v>43005</v>
      </c>
      <c r="B2690">
        <v>204.57</v>
      </c>
    </row>
    <row r="2691" spans="1:2" x14ac:dyDescent="0.25">
      <c r="A2691" s="2">
        <v>43006</v>
      </c>
      <c r="B2691">
        <v>204.22</v>
      </c>
    </row>
    <row r="2692" spans="1:2" x14ac:dyDescent="0.25">
      <c r="A2692" s="2">
        <v>43007</v>
      </c>
      <c r="B2692">
        <v>204.49</v>
      </c>
    </row>
    <row r="2693" spans="1:2" x14ac:dyDescent="0.25">
      <c r="A2693" s="2">
        <v>43008</v>
      </c>
      <c r="B2693">
        <v>204.49</v>
      </c>
    </row>
    <row r="2694" spans="1:2" x14ac:dyDescent="0.25">
      <c r="A2694" s="2">
        <v>43009</v>
      </c>
      <c r="B2694">
        <v>204.49</v>
      </c>
    </row>
    <row r="2695" spans="1:2" x14ac:dyDescent="0.25">
      <c r="A2695" s="2">
        <v>43010</v>
      </c>
      <c r="B2695">
        <v>206.37</v>
      </c>
    </row>
    <row r="2696" spans="1:2" x14ac:dyDescent="0.25">
      <c r="A2696" s="2">
        <v>43011</v>
      </c>
      <c r="B2696">
        <v>206.66</v>
      </c>
    </row>
    <row r="2697" spans="1:2" x14ac:dyDescent="0.25">
      <c r="A2697" s="2">
        <v>43012</v>
      </c>
      <c r="B2697">
        <v>206.33</v>
      </c>
    </row>
    <row r="2698" spans="1:2" x14ac:dyDescent="0.25">
      <c r="A2698" s="2">
        <v>43013</v>
      </c>
      <c r="B2698">
        <v>208.32</v>
      </c>
    </row>
    <row r="2699" spans="1:2" x14ac:dyDescent="0.25">
      <c r="A2699" s="2">
        <v>43014</v>
      </c>
      <c r="B2699">
        <v>208.78</v>
      </c>
    </row>
    <row r="2700" spans="1:2" x14ac:dyDescent="0.25">
      <c r="A2700" s="2">
        <v>43015</v>
      </c>
      <c r="B2700">
        <v>208.78</v>
      </c>
    </row>
    <row r="2701" spans="1:2" x14ac:dyDescent="0.25">
      <c r="A2701" s="2">
        <v>43016</v>
      </c>
      <c r="B2701">
        <v>208.78</v>
      </c>
    </row>
    <row r="2702" spans="1:2" x14ac:dyDescent="0.25">
      <c r="A2702" s="2">
        <v>43017</v>
      </c>
      <c r="B2702">
        <v>207.7</v>
      </c>
    </row>
    <row r="2703" spans="1:2" x14ac:dyDescent="0.25">
      <c r="A2703" s="2">
        <v>43018</v>
      </c>
      <c r="B2703">
        <v>207.29</v>
      </c>
    </row>
    <row r="2704" spans="1:2" x14ac:dyDescent="0.25">
      <c r="A2704" s="2">
        <v>43019</v>
      </c>
      <c r="B2704">
        <v>207.09</v>
      </c>
    </row>
    <row r="2705" spans="1:2" x14ac:dyDescent="0.25">
      <c r="A2705" s="2">
        <v>43020</v>
      </c>
      <c r="B2705">
        <v>206.3</v>
      </c>
    </row>
    <row r="2706" spans="1:2" x14ac:dyDescent="0.25">
      <c r="A2706" s="2">
        <v>43021</v>
      </c>
      <c r="B2706">
        <v>207.29</v>
      </c>
    </row>
    <row r="2707" spans="1:2" x14ac:dyDescent="0.25">
      <c r="A2707" s="2">
        <v>43022</v>
      </c>
      <c r="B2707">
        <v>207.29</v>
      </c>
    </row>
    <row r="2708" spans="1:2" x14ac:dyDescent="0.25">
      <c r="A2708" s="2">
        <v>43023</v>
      </c>
      <c r="B2708">
        <v>207.29</v>
      </c>
    </row>
    <row r="2709" spans="1:2" x14ac:dyDescent="0.25">
      <c r="A2709" s="2">
        <v>43024</v>
      </c>
      <c r="B2709">
        <v>207.78</v>
      </c>
    </row>
    <row r="2710" spans="1:2" x14ac:dyDescent="0.25">
      <c r="A2710" s="2">
        <v>43025</v>
      </c>
      <c r="B2710">
        <v>208.7</v>
      </c>
    </row>
    <row r="2711" spans="1:2" x14ac:dyDescent="0.25">
      <c r="A2711" s="2">
        <v>43026</v>
      </c>
      <c r="B2711">
        <v>209.05</v>
      </c>
    </row>
    <row r="2712" spans="1:2" x14ac:dyDescent="0.25">
      <c r="A2712" s="2">
        <v>43027</v>
      </c>
      <c r="B2712">
        <v>207.62</v>
      </c>
    </row>
    <row r="2713" spans="1:2" x14ac:dyDescent="0.25">
      <c r="A2713" s="2">
        <v>43028</v>
      </c>
      <c r="B2713">
        <v>208.98</v>
      </c>
    </row>
    <row r="2714" spans="1:2" x14ac:dyDescent="0.25">
      <c r="A2714" s="2">
        <v>43029</v>
      </c>
      <c r="B2714">
        <v>208.98</v>
      </c>
    </row>
    <row r="2715" spans="1:2" x14ac:dyDescent="0.25">
      <c r="A2715" s="2">
        <v>43030</v>
      </c>
      <c r="B2715">
        <v>208.98</v>
      </c>
    </row>
    <row r="2716" spans="1:2" x14ac:dyDescent="0.25">
      <c r="A2716" s="2">
        <v>43031</v>
      </c>
      <c r="B2716">
        <v>209.54</v>
      </c>
    </row>
    <row r="2717" spans="1:2" x14ac:dyDescent="0.25">
      <c r="A2717" s="2">
        <v>43032</v>
      </c>
      <c r="B2717">
        <v>209.51</v>
      </c>
    </row>
    <row r="2718" spans="1:2" x14ac:dyDescent="0.25">
      <c r="A2718" s="2">
        <v>43033</v>
      </c>
      <c r="B2718">
        <v>208.1</v>
      </c>
    </row>
    <row r="2719" spans="1:2" x14ac:dyDescent="0.25">
      <c r="A2719" s="2">
        <v>43034</v>
      </c>
      <c r="B2719">
        <v>208.94</v>
      </c>
    </row>
    <row r="2720" spans="1:2" x14ac:dyDescent="0.25">
      <c r="A2720" s="2">
        <v>43035</v>
      </c>
      <c r="B2720">
        <v>213.31</v>
      </c>
    </row>
    <row r="2721" spans="1:2" x14ac:dyDescent="0.25">
      <c r="A2721" s="2">
        <v>43036</v>
      </c>
      <c r="B2721">
        <v>213.31</v>
      </c>
    </row>
    <row r="2722" spans="1:2" x14ac:dyDescent="0.25">
      <c r="A2722" s="2">
        <v>43037</v>
      </c>
      <c r="B2722">
        <v>213.31</v>
      </c>
    </row>
    <row r="2723" spans="1:2" x14ac:dyDescent="0.25">
      <c r="A2723" s="2">
        <v>43038</v>
      </c>
      <c r="B2723">
        <v>212.52</v>
      </c>
    </row>
    <row r="2724" spans="1:2" x14ac:dyDescent="0.25">
      <c r="A2724" s="2">
        <v>43039</v>
      </c>
      <c r="B2724">
        <v>212.24</v>
      </c>
    </row>
    <row r="2725" spans="1:2" x14ac:dyDescent="0.25">
      <c r="A2725" s="2">
        <v>43040</v>
      </c>
      <c r="B2725">
        <v>213.06</v>
      </c>
    </row>
    <row r="2726" spans="1:2" x14ac:dyDescent="0.25">
      <c r="A2726" s="2">
        <v>43041</v>
      </c>
      <c r="B2726">
        <v>212.52</v>
      </c>
    </row>
    <row r="2727" spans="1:2" x14ac:dyDescent="0.25">
      <c r="A2727" s="2">
        <v>43042</v>
      </c>
      <c r="B2727">
        <v>212.97</v>
      </c>
    </row>
    <row r="2728" spans="1:2" x14ac:dyDescent="0.25">
      <c r="A2728" s="2">
        <v>43043</v>
      </c>
      <c r="B2728">
        <v>212.97</v>
      </c>
    </row>
    <row r="2729" spans="1:2" x14ac:dyDescent="0.25">
      <c r="A2729" s="2">
        <v>43044</v>
      </c>
      <c r="B2729">
        <v>212.97</v>
      </c>
    </row>
    <row r="2730" spans="1:2" x14ac:dyDescent="0.25">
      <c r="A2730" s="2">
        <v>43045</v>
      </c>
      <c r="B2730">
        <v>214.49</v>
      </c>
    </row>
    <row r="2731" spans="1:2" x14ac:dyDescent="0.25">
      <c r="A2731" s="2">
        <v>43046</v>
      </c>
      <c r="B2731">
        <v>214.97</v>
      </c>
    </row>
    <row r="2732" spans="1:2" x14ac:dyDescent="0.25">
      <c r="A2732" s="2">
        <v>43047</v>
      </c>
      <c r="B2732">
        <v>214.76</v>
      </c>
    </row>
    <row r="2733" spans="1:2" x14ac:dyDescent="0.25">
      <c r="A2733" s="2">
        <v>43048</v>
      </c>
      <c r="B2733">
        <v>213.27</v>
      </c>
    </row>
    <row r="2734" spans="1:2" x14ac:dyDescent="0.25">
      <c r="A2734" s="2">
        <v>43049</v>
      </c>
      <c r="B2734">
        <v>212.7</v>
      </c>
    </row>
    <row r="2735" spans="1:2" x14ac:dyDescent="0.25">
      <c r="A2735" s="2">
        <v>43050</v>
      </c>
      <c r="B2735">
        <v>212.7</v>
      </c>
    </row>
    <row r="2736" spans="1:2" x14ac:dyDescent="0.25">
      <c r="A2736" s="2">
        <v>43051</v>
      </c>
      <c r="B2736">
        <v>212.7</v>
      </c>
    </row>
    <row r="2737" spans="1:2" x14ac:dyDescent="0.25">
      <c r="A2737" s="2">
        <v>43052</v>
      </c>
      <c r="B2737">
        <v>212.88</v>
      </c>
    </row>
    <row r="2738" spans="1:2" x14ac:dyDescent="0.25">
      <c r="A2738" s="2">
        <v>43053</v>
      </c>
      <c r="B2738">
        <v>210.8</v>
      </c>
    </row>
    <row r="2739" spans="1:2" x14ac:dyDescent="0.25">
      <c r="A2739" s="2">
        <v>43054</v>
      </c>
      <c r="B2739">
        <v>208</v>
      </c>
    </row>
    <row r="2740" spans="1:2" x14ac:dyDescent="0.25">
      <c r="A2740" s="2">
        <v>43055</v>
      </c>
      <c r="B2740">
        <v>210.99</v>
      </c>
    </row>
    <row r="2741" spans="1:2" x14ac:dyDescent="0.25">
      <c r="A2741" s="2">
        <v>43056</v>
      </c>
      <c r="B2741">
        <v>210.02</v>
      </c>
    </row>
    <row r="2742" spans="1:2" x14ac:dyDescent="0.25">
      <c r="A2742" s="2">
        <v>43057</v>
      </c>
      <c r="B2742">
        <v>210.02</v>
      </c>
    </row>
    <row r="2743" spans="1:2" x14ac:dyDescent="0.25">
      <c r="A2743" s="2">
        <v>43058</v>
      </c>
      <c r="B2743">
        <v>210.02</v>
      </c>
    </row>
    <row r="2744" spans="1:2" x14ac:dyDescent="0.25">
      <c r="A2744" s="2">
        <v>43059</v>
      </c>
      <c r="B2744">
        <v>210.54</v>
      </c>
    </row>
    <row r="2745" spans="1:2" x14ac:dyDescent="0.25">
      <c r="A2745" s="2">
        <v>43060</v>
      </c>
      <c r="B2745">
        <v>213.06</v>
      </c>
    </row>
    <row r="2746" spans="1:2" x14ac:dyDescent="0.25">
      <c r="A2746" s="2">
        <v>43061</v>
      </c>
      <c r="B2746">
        <v>212.35</v>
      </c>
    </row>
    <row r="2747" spans="1:2" x14ac:dyDescent="0.25">
      <c r="A2747" s="2">
        <v>43062</v>
      </c>
      <c r="B2747">
        <v>210.58</v>
      </c>
    </row>
    <row r="2748" spans="1:2" x14ac:dyDescent="0.25">
      <c r="A2748" s="2">
        <v>43063</v>
      </c>
      <c r="B2748">
        <v>210.51</v>
      </c>
    </row>
    <row r="2749" spans="1:2" x14ac:dyDescent="0.25">
      <c r="A2749" s="2">
        <v>43064</v>
      </c>
      <c r="B2749">
        <v>210.51</v>
      </c>
    </row>
    <row r="2750" spans="1:2" x14ac:dyDescent="0.25">
      <c r="A2750" s="2">
        <v>43065</v>
      </c>
      <c r="B2750">
        <v>210.51</v>
      </c>
    </row>
    <row r="2751" spans="1:2" x14ac:dyDescent="0.25">
      <c r="A2751" s="2">
        <v>43066</v>
      </c>
      <c r="B2751">
        <v>209.12</v>
      </c>
    </row>
    <row r="2752" spans="1:2" x14ac:dyDescent="0.25">
      <c r="A2752" s="2">
        <v>43067</v>
      </c>
      <c r="B2752">
        <v>212.32</v>
      </c>
    </row>
    <row r="2753" spans="1:2" x14ac:dyDescent="0.25">
      <c r="A2753" s="2">
        <v>43068</v>
      </c>
      <c r="B2753">
        <v>213.37</v>
      </c>
    </row>
    <row r="2754" spans="1:2" x14ac:dyDescent="0.25">
      <c r="A2754" s="2">
        <v>43069</v>
      </c>
      <c r="B2754">
        <v>214.78</v>
      </c>
    </row>
    <row r="2755" spans="1:2" x14ac:dyDescent="0.25">
      <c r="A2755" s="2">
        <v>43070</v>
      </c>
      <c r="B2755">
        <v>213.7</v>
      </c>
    </row>
    <row r="2756" spans="1:2" x14ac:dyDescent="0.25">
      <c r="A2756" s="2">
        <v>43071</v>
      </c>
      <c r="B2756">
        <v>213.7</v>
      </c>
    </row>
    <row r="2757" spans="1:2" x14ac:dyDescent="0.25">
      <c r="A2757" s="2">
        <v>43072</v>
      </c>
      <c r="B2757">
        <v>213.7</v>
      </c>
    </row>
    <row r="2758" spans="1:2" x14ac:dyDescent="0.25">
      <c r="A2758" s="2">
        <v>43073</v>
      </c>
      <c r="B2758">
        <v>213.84</v>
      </c>
    </row>
    <row r="2759" spans="1:2" x14ac:dyDescent="0.25">
      <c r="A2759" s="2">
        <v>43074</v>
      </c>
      <c r="B2759">
        <v>213.37</v>
      </c>
    </row>
    <row r="2760" spans="1:2" x14ac:dyDescent="0.25">
      <c r="A2760" s="2">
        <v>43075</v>
      </c>
      <c r="B2760">
        <v>213.9</v>
      </c>
    </row>
    <row r="2761" spans="1:2" x14ac:dyDescent="0.25">
      <c r="A2761" s="2">
        <v>43076</v>
      </c>
      <c r="B2761">
        <v>215.12</v>
      </c>
    </row>
    <row r="2762" spans="1:2" x14ac:dyDescent="0.25">
      <c r="A2762" s="2">
        <v>43077</v>
      </c>
      <c r="B2762">
        <v>217.14</v>
      </c>
    </row>
    <row r="2763" spans="1:2" x14ac:dyDescent="0.25">
      <c r="A2763" s="2">
        <v>43078</v>
      </c>
      <c r="B2763">
        <v>217.14</v>
      </c>
    </row>
    <row r="2764" spans="1:2" x14ac:dyDescent="0.25">
      <c r="A2764" s="2">
        <v>43079</v>
      </c>
      <c r="B2764">
        <v>217.14</v>
      </c>
    </row>
    <row r="2765" spans="1:2" x14ac:dyDescent="0.25">
      <c r="A2765" s="2">
        <v>43080</v>
      </c>
      <c r="B2765">
        <v>216.83</v>
      </c>
    </row>
    <row r="2766" spans="1:2" x14ac:dyDescent="0.25">
      <c r="A2766" s="2">
        <v>43081</v>
      </c>
      <c r="B2766">
        <v>217.73</v>
      </c>
    </row>
    <row r="2767" spans="1:2" x14ac:dyDescent="0.25">
      <c r="A2767" s="2">
        <v>43082</v>
      </c>
      <c r="B2767">
        <v>218.18</v>
      </c>
    </row>
    <row r="2768" spans="1:2" x14ac:dyDescent="0.25">
      <c r="A2768" s="2">
        <v>43083</v>
      </c>
      <c r="B2768">
        <v>215.33</v>
      </c>
    </row>
    <row r="2769" spans="1:2" x14ac:dyDescent="0.25">
      <c r="A2769" s="2">
        <v>43084</v>
      </c>
      <c r="B2769">
        <v>217.99</v>
      </c>
    </row>
    <row r="2770" spans="1:2" x14ac:dyDescent="0.25">
      <c r="A2770" s="2">
        <v>43085</v>
      </c>
      <c r="B2770">
        <v>217.99</v>
      </c>
    </row>
    <row r="2771" spans="1:2" x14ac:dyDescent="0.25">
      <c r="A2771" s="2">
        <v>43086</v>
      </c>
      <c r="B2771">
        <v>217.99</v>
      </c>
    </row>
    <row r="2772" spans="1:2" x14ac:dyDescent="0.25">
      <c r="A2772" s="2">
        <v>43087</v>
      </c>
      <c r="B2772">
        <v>219.36</v>
      </c>
    </row>
    <row r="2773" spans="1:2" x14ac:dyDescent="0.25">
      <c r="A2773" s="2">
        <v>43088</v>
      </c>
      <c r="B2773">
        <v>218.14</v>
      </c>
    </row>
    <row r="2774" spans="1:2" x14ac:dyDescent="0.25">
      <c r="A2774" s="2">
        <v>43089</v>
      </c>
      <c r="B2774">
        <v>217.59</v>
      </c>
    </row>
    <row r="2775" spans="1:2" x14ac:dyDescent="0.25">
      <c r="A2775" s="2">
        <v>43090</v>
      </c>
      <c r="B2775">
        <v>217.76</v>
      </c>
    </row>
    <row r="2776" spans="1:2" x14ac:dyDescent="0.25">
      <c r="A2776" s="2">
        <v>43091</v>
      </c>
      <c r="B2776">
        <v>217.77</v>
      </c>
    </row>
    <row r="2777" spans="1:2" x14ac:dyDescent="0.25">
      <c r="A2777" s="2">
        <v>43092</v>
      </c>
      <c r="B2777">
        <v>217.77</v>
      </c>
    </row>
    <row r="2778" spans="1:2" x14ac:dyDescent="0.25">
      <c r="A2778" s="2">
        <v>43093</v>
      </c>
      <c r="B2778">
        <v>217.77</v>
      </c>
    </row>
    <row r="2779" spans="1:2" x14ac:dyDescent="0.25">
      <c r="A2779" s="2">
        <v>43094</v>
      </c>
      <c r="B2779">
        <v>217.83</v>
      </c>
    </row>
    <row r="2780" spans="1:2" x14ac:dyDescent="0.25">
      <c r="A2780" s="2">
        <v>43095</v>
      </c>
      <c r="B2780">
        <v>217.83</v>
      </c>
    </row>
    <row r="2781" spans="1:2" x14ac:dyDescent="0.25">
      <c r="A2781" s="2">
        <v>43096</v>
      </c>
      <c r="B2781">
        <v>216.96</v>
      </c>
    </row>
    <row r="2782" spans="1:2" x14ac:dyDescent="0.25">
      <c r="A2782" s="2">
        <v>43097</v>
      </c>
      <c r="B2782">
        <v>216.68</v>
      </c>
    </row>
    <row r="2783" spans="1:2" x14ac:dyDescent="0.25">
      <c r="A2783" s="2">
        <v>43098</v>
      </c>
      <c r="B2783">
        <v>214.51</v>
      </c>
    </row>
    <row r="2784" spans="1:2" x14ac:dyDescent="0.25">
      <c r="A2784" s="2">
        <v>43099</v>
      </c>
      <c r="B2784">
        <v>214.51</v>
      </c>
    </row>
    <row r="2785" spans="1:2" x14ac:dyDescent="0.25">
      <c r="A2785" s="2">
        <v>43100</v>
      </c>
      <c r="B2785">
        <v>214.51</v>
      </c>
    </row>
    <row r="2786" spans="1:2" x14ac:dyDescent="0.25">
      <c r="A2786" s="2">
        <v>43101</v>
      </c>
      <c r="B2786">
        <v>214.51</v>
      </c>
    </row>
    <row r="2787" spans="1:2" x14ac:dyDescent="0.25">
      <c r="A2787" s="2">
        <v>43102</v>
      </c>
      <c r="B2787">
        <v>215.01</v>
      </c>
    </row>
    <row r="2788" spans="1:2" x14ac:dyDescent="0.25">
      <c r="A2788" s="2">
        <v>43103</v>
      </c>
      <c r="B2788">
        <v>217.14</v>
      </c>
    </row>
    <row r="2789" spans="1:2" x14ac:dyDescent="0.25">
      <c r="A2789" s="2">
        <v>43104</v>
      </c>
      <c r="B2789">
        <v>217.29</v>
      </c>
    </row>
    <row r="2790" spans="1:2" x14ac:dyDescent="0.25">
      <c r="A2790" s="2">
        <v>43105</v>
      </c>
      <c r="B2790">
        <v>219.19</v>
      </c>
    </row>
    <row r="2791" spans="1:2" x14ac:dyDescent="0.25">
      <c r="A2791" s="2">
        <v>43106</v>
      </c>
      <c r="B2791">
        <v>219.19</v>
      </c>
    </row>
    <row r="2792" spans="1:2" x14ac:dyDescent="0.25">
      <c r="A2792" s="2">
        <v>43107</v>
      </c>
      <c r="B2792">
        <v>219.19</v>
      </c>
    </row>
    <row r="2793" spans="1:2" x14ac:dyDescent="0.25">
      <c r="A2793" s="2">
        <v>43108</v>
      </c>
      <c r="B2793">
        <v>220.87</v>
      </c>
    </row>
    <row r="2794" spans="1:2" x14ac:dyDescent="0.25">
      <c r="A2794" s="2">
        <v>43109</v>
      </c>
      <c r="B2794">
        <v>221.97</v>
      </c>
    </row>
    <row r="2795" spans="1:2" x14ac:dyDescent="0.25">
      <c r="A2795" s="2">
        <v>43110</v>
      </c>
      <c r="B2795">
        <v>220.62</v>
      </c>
    </row>
    <row r="2796" spans="1:2" x14ac:dyDescent="0.25">
      <c r="A2796" s="2">
        <v>43111</v>
      </c>
      <c r="B2796">
        <v>221.73</v>
      </c>
    </row>
    <row r="2797" spans="1:2" x14ac:dyDescent="0.25">
      <c r="A2797" s="2">
        <v>43112</v>
      </c>
      <c r="B2797">
        <v>221.01</v>
      </c>
    </row>
    <row r="2798" spans="1:2" x14ac:dyDescent="0.25">
      <c r="A2798" s="2">
        <v>43113</v>
      </c>
      <c r="B2798">
        <v>221.01</v>
      </c>
    </row>
    <row r="2799" spans="1:2" x14ac:dyDescent="0.25">
      <c r="A2799" s="2">
        <v>43114</v>
      </c>
      <c r="B2799">
        <v>221.01</v>
      </c>
    </row>
    <row r="2800" spans="1:2" x14ac:dyDescent="0.25">
      <c r="A2800" s="2">
        <v>43115</v>
      </c>
      <c r="B2800">
        <v>218.49</v>
      </c>
    </row>
    <row r="2801" spans="1:2" x14ac:dyDescent="0.25">
      <c r="A2801" s="2">
        <v>43116</v>
      </c>
      <c r="B2801">
        <v>218.56</v>
      </c>
    </row>
    <row r="2802" spans="1:2" x14ac:dyDescent="0.25">
      <c r="A2802" s="2">
        <v>43117</v>
      </c>
      <c r="B2802">
        <v>221.11</v>
      </c>
    </row>
    <row r="2803" spans="1:2" x14ac:dyDescent="0.25">
      <c r="A2803" s="2">
        <v>43118</v>
      </c>
      <c r="B2803">
        <v>220.19</v>
      </c>
    </row>
    <row r="2804" spans="1:2" x14ac:dyDescent="0.25">
      <c r="A2804" s="2">
        <v>43119</v>
      </c>
      <c r="B2804">
        <v>220.8</v>
      </c>
    </row>
    <row r="2805" spans="1:2" x14ac:dyDescent="0.25">
      <c r="A2805" s="2">
        <v>43120</v>
      </c>
      <c r="B2805">
        <v>220.8</v>
      </c>
    </row>
    <row r="2806" spans="1:2" x14ac:dyDescent="0.25">
      <c r="A2806" s="2">
        <v>43121</v>
      </c>
      <c r="B2806">
        <v>220.8</v>
      </c>
    </row>
    <row r="2807" spans="1:2" x14ac:dyDescent="0.25">
      <c r="A2807" s="2">
        <v>43122</v>
      </c>
      <c r="B2807">
        <v>222.87</v>
      </c>
    </row>
    <row r="2808" spans="1:2" x14ac:dyDescent="0.25">
      <c r="A2808" s="2">
        <v>43123</v>
      </c>
      <c r="B2808">
        <v>223.19</v>
      </c>
    </row>
    <row r="2809" spans="1:2" x14ac:dyDescent="0.25">
      <c r="A2809" s="2">
        <v>43124</v>
      </c>
      <c r="B2809">
        <v>221.19</v>
      </c>
    </row>
    <row r="2810" spans="1:2" x14ac:dyDescent="0.25">
      <c r="A2810" s="2">
        <v>43125</v>
      </c>
      <c r="B2810">
        <v>220.35</v>
      </c>
    </row>
    <row r="2811" spans="1:2" x14ac:dyDescent="0.25">
      <c r="A2811" s="2">
        <v>43126</v>
      </c>
      <c r="B2811">
        <v>222.44</v>
      </c>
    </row>
    <row r="2812" spans="1:2" x14ac:dyDescent="0.25">
      <c r="A2812" s="2">
        <v>43127</v>
      </c>
      <c r="B2812">
        <v>222.44</v>
      </c>
    </row>
    <row r="2813" spans="1:2" x14ac:dyDescent="0.25">
      <c r="A2813" s="2">
        <v>43128</v>
      </c>
      <c r="B2813">
        <v>222.44</v>
      </c>
    </row>
    <row r="2814" spans="1:2" x14ac:dyDescent="0.25">
      <c r="A2814" s="2">
        <v>43129</v>
      </c>
      <c r="B2814">
        <v>221.97</v>
      </c>
    </row>
    <row r="2815" spans="1:2" x14ac:dyDescent="0.25">
      <c r="A2815" s="2">
        <v>43130</v>
      </c>
      <c r="B2815">
        <v>218.82</v>
      </c>
    </row>
    <row r="2816" spans="1:2" x14ac:dyDescent="0.25">
      <c r="A2816" s="2">
        <v>43131</v>
      </c>
      <c r="B2816">
        <v>218.3</v>
      </c>
    </row>
    <row r="2817" spans="1:2" x14ac:dyDescent="0.25">
      <c r="A2817" s="2">
        <v>43132</v>
      </c>
      <c r="B2817">
        <v>218.16</v>
      </c>
    </row>
    <row r="2818" spans="1:2" x14ac:dyDescent="0.25">
      <c r="A2818" s="2">
        <v>43133</v>
      </c>
      <c r="B2818">
        <v>212.98</v>
      </c>
    </row>
    <row r="2819" spans="1:2" x14ac:dyDescent="0.25">
      <c r="A2819" s="2">
        <v>43134</v>
      </c>
      <c r="B2819">
        <v>212.98</v>
      </c>
    </row>
    <row r="2820" spans="1:2" x14ac:dyDescent="0.25">
      <c r="A2820" s="2">
        <v>43135</v>
      </c>
      <c r="B2820">
        <v>212.98</v>
      </c>
    </row>
    <row r="2821" spans="1:2" x14ac:dyDescent="0.25">
      <c r="A2821" s="2">
        <v>43136</v>
      </c>
      <c r="B2821">
        <v>205.1</v>
      </c>
    </row>
    <row r="2822" spans="1:2" x14ac:dyDescent="0.25">
      <c r="A2822" s="2">
        <v>43137</v>
      </c>
      <c r="B2822">
        <v>210.58</v>
      </c>
    </row>
    <row r="2823" spans="1:2" x14ac:dyDescent="0.25">
      <c r="A2823" s="2">
        <v>43138</v>
      </c>
      <c r="B2823">
        <v>209.38</v>
      </c>
    </row>
    <row r="2824" spans="1:2" x14ac:dyDescent="0.25">
      <c r="A2824" s="2">
        <v>43139</v>
      </c>
      <c r="B2824">
        <v>202.96</v>
      </c>
    </row>
    <row r="2825" spans="1:2" x14ac:dyDescent="0.25">
      <c r="A2825" s="2">
        <v>43140</v>
      </c>
      <c r="B2825">
        <v>205.7</v>
      </c>
    </row>
    <row r="2826" spans="1:2" x14ac:dyDescent="0.25">
      <c r="A2826" s="2">
        <v>43141</v>
      </c>
      <c r="B2826">
        <v>205.7</v>
      </c>
    </row>
    <row r="2827" spans="1:2" x14ac:dyDescent="0.25">
      <c r="A2827" s="2">
        <v>43142</v>
      </c>
      <c r="B2827">
        <v>205.7</v>
      </c>
    </row>
    <row r="2828" spans="1:2" x14ac:dyDescent="0.25">
      <c r="A2828" s="2">
        <v>43143</v>
      </c>
      <c r="B2828">
        <v>208.73</v>
      </c>
    </row>
    <row r="2829" spans="1:2" x14ac:dyDescent="0.25">
      <c r="A2829" s="2">
        <v>43144</v>
      </c>
      <c r="B2829">
        <v>208.1</v>
      </c>
    </row>
    <row r="2830" spans="1:2" x14ac:dyDescent="0.25">
      <c r="A2830" s="2">
        <v>43145</v>
      </c>
      <c r="B2830">
        <v>210.68</v>
      </c>
    </row>
    <row r="2831" spans="1:2" x14ac:dyDescent="0.25">
      <c r="A2831" s="2">
        <v>43146</v>
      </c>
      <c r="B2831">
        <v>210.8</v>
      </c>
    </row>
    <row r="2832" spans="1:2" x14ac:dyDescent="0.25">
      <c r="A2832" s="2">
        <v>43147</v>
      </c>
      <c r="B2832">
        <v>211.38</v>
      </c>
    </row>
    <row r="2833" spans="1:2" x14ac:dyDescent="0.25">
      <c r="A2833" s="2">
        <v>43148</v>
      </c>
      <c r="B2833">
        <v>211.38</v>
      </c>
    </row>
    <row r="2834" spans="1:2" x14ac:dyDescent="0.25">
      <c r="A2834" s="2">
        <v>43149</v>
      </c>
      <c r="B2834">
        <v>211.38</v>
      </c>
    </row>
    <row r="2835" spans="1:2" x14ac:dyDescent="0.25">
      <c r="A2835" s="2">
        <v>43150</v>
      </c>
      <c r="B2835">
        <v>212.3</v>
      </c>
    </row>
    <row r="2836" spans="1:2" x14ac:dyDescent="0.25">
      <c r="A2836" s="2">
        <v>43151</v>
      </c>
      <c r="B2836">
        <v>212.27</v>
      </c>
    </row>
    <row r="2837" spans="1:2" x14ac:dyDescent="0.25">
      <c r="A2837" s="2">
        <v>43152</v>
      </c>
      <c r="B2837">
        <v>211.58</v>
      </c>
    </row>
    <row r="2838" spans="1:2" x14ac:dyDescent="0.25">
      <c r="A2838" s="2">
        <v>43153</v>
      </c>
      <c r="B2838">
        <v>212.43</v>
      </c>
    </row>
    <row r="2839" spans="1:2" x14ac:dyDescent="0.25">
      <c r="A2839" s="2">
        <v>43154</v>
      </c>
      <c r="B2839">
        <v>215.44</v>
      </c>
    </row>
    <row r="2840" spans="1:2" x14ac:dyDescent="0.25">
      <c r="A2840" s="2">
        <v>43155</v>
      </c>
      <c r="B2840">
        <v>215.44</v>
      </c>
    </row>
    <row r="2841" spans="1:2" x14ac:dyDescent="0.25">
      <c r="A2841" s="2">
        <v>43156</v>
      </c>
      <c r="B2841">
        <v>215.44</v>
      </c>
    </row>
    <row r="2842" spans="1:2" x14ac:dyDescent="0.25">
      <c r="A2842" s="2">
        <v>43157</v>
      </c>
      <c r="B2842">
        <v>217.62</v>
      </c>
    </row>
    <row r="2843" spans="1:2" x14ac:dyDescent="0.25">
      <c r="A2843" s="2">
        <v>43158</v>
      </c>
      <c r="B2843">
        <v>215.21</v>
      </c>
    </row>
    <row r="2844" spans="1:2" x14ac:dyDescent="0.25">
      <c r="A2844" s="2">
        <v>43159</v>
      </c>
      <c r="B2844">
        <v>214.36</v>
      </c>
    </row>
    <row r="2845" spans="1:2" x14ac:dyDescent="0.25">
      <c r="A2845" s="2">
        <v>43160</v>
      </c>
      <c r="B2845">
        <v>212.28</v>
      </c>
    </row>
    <row r="2846" spans="1:2" x14ac:dyDescent="0.25">
      <c r="A2846" s="2">
        <v>43161</v>
      </c>
      <c r="B2846">
        <v>210.92</v>
      </c>
    </row>
    <row r="2847" spans="1:2" x14ac:dyDescent="0.25">
      <c r="A2847" s="2">
        <v>43162</v>
      </c>
      <c r="B2847">
        <v>210.92</v>
      </c>
    </row>
    <row r="2848" spans="1:2" x14ac:dyDescent="0.25">
      <c r="A2848" s="2">
        <v>43163</v>
      </c>
      <c r="B2848">
        <v>210.92</v>
      </c>
    </row>
    <row r="2849" spans="1:2" x14ac:dyDescent="0.25">
      <c r="A2849" s="2">
        <v>43164</v>
      </c>
      <c r="B2849">
        <v>213.34</v>
      </c>
    </row>
    <row r="2850" spans="1:2" x14ac:dyDescent="0.25">
      <c r="A2850" s="2">
        <v>43165</v>
      </c>
      <c r="B2850">
        <v>212.12</v>
      </c>
    </row>
    <row r="2851" spans="1:2" x14ac:dyDescent="0.25">
      <c r="A2851" s="2">
        <v>43166</v>
      </c>
      <c r="B2851">
        <v>211.93</v>
      </c>
    </row>
    <row r="2852" spans="1:2" x14ac:dyDescent="0.25">
      <c r="A2852" s="2">
        <v>43167</v>
      </c>
      <c r="B2852">
        <v>212.86</v>
      </c>
    </row>
    <row r="2853" spans="1:2" x14ac:dyDescent="0.25">
      <c r="A2853" s="2">
        <v>43168</v>
      </c>
      <c r="B2853">
        <v>218.85</v>
      </c>
    </row>
    <row r="2854" spans="1:2" x14ac:dyDescent="0.25">
      <c r="A2854" s="2">
        <v>43169</v>
      </c>
      <c r="B2854">
        <v>218.85</v>
      </c>
    </row>
    <row r="2855" spans="1:2" x14ac:dyDescent="0.25">
      <c r="A2855" s="2">
        <v>43170</v>
      </c>
      <c r="B2855">
        <v>218.85</v>
      </c>
    </row>
    <row r="2856" spans="1:2" x14ac:dyDescent="0.25">
      <c r="A2856" s="2">
        <v>43171</v>
      </c>
      <c r="B2856">
        <v>218.37</v>
      </c>
    </row>
    <row r="2857" spans="1:2" x14ac:dyDescent="0.25">
      <c r="A2857" s="2">
        <v>43172</v>
      </c>
      <c r="B2857">
        <v>215.66</v>
      </c>
    </row>
    <row r="2858" spans="1:2" x14ac:dyDescent="0.25">
      <c r="A2858" s="2">
        <v>43173</v>
      </c>
      <c r="B2858">
        <v>214.63</v>
      </c>
    </row>
    <row r="2859" spans="1:2" x14ac:dyDescent="0.25">
      <c r="A2859" s="2">
        <v>43174</v>
      </c>
      <c r="B2859">
        <v>214.97</v>
      </c>
    </row>
    <row r="2860" spans="1:2" x14ac:dyDescent="0.25">
      <c r="A2860" s="2">
        <v>43175</v>
      </c>
      <c r="B2860">
        <v>216.04</v>
      </c>
    </row>
    <row r="2861" spans="1:2" x14ac:dyDescent="0.25">
      <c r="A2861" s="2">
        <v>43176</v>
      </c>
      <c r="B2861">
        <v>216.04</v>
      </c>
    </row>
    <row r="2862" spans="1:2" x14ac:dyDescent="0.25">
      <c r="A2862" s="2">
        <v>43177</v>
      </c>
      <c r="B2862">
        <v>216.04</v>
      </c>
    </row>
    <row r="2863" spans="1:2" x14ac:dyDescent="0.25">
      <c r="A2863" s="2">
        <v>43178</v>
      </c>
      <c r="B2863">
        <v>212.83</v>
      </c>
    </row>
    <row r="2864" spans="1:2" x14ac:dyDescent="0.25">
      <c r="A2864" s="2">
        <v>43179</v>
      </c>
      <c r="B2864">
        <v>213.72</v>
      </c>
    </row>
    <row r="2865" spans="1:2" x14ac:dyDescent="0.25">
      <c r="A2865" s="2">
        <v>43180</v>
      </c>
      <c r="B2865">
        <v>213.18</v>
      </c>
    </row>
    <row r="2866" spans="1:2" x14ac:dyDescent="0.25">
      <c r="A2866" s="2">
        <v>43181</v>
      </c>
      <c r="B2866">
        <v>207.32</v>
      </c>
    </row>
    <row r="2867" spans="1:2" x14ac:dyDescent="0.25">
      <c r="A2867" s="2">
        <v>43182</v>
      </c>
      <c r="B2867">
        <v>202.48</v>
      </c>
    </row>
    <row r="2868" spans="1:2" x14ac:dyDescent="0.25">
      <c r="A2868" s="2">
        <v>43183</v>
      </c>
      <c r="B2868">
        <v>202.48</v>
      </c>
    </row>
    <row r="2869" spans="1:2" x14ac:dyDescent="0.25">
      <c r="A2869" s="2">
        <v>43184</v>
      </c>
      <c r="B2869">
        <v>202.48</v>
      </c>
    </row>
    <row r="2870" spans="1:2" x14ac:dyDescent="0.25">
      <c r="A2870" s="2">
        <v>43185</v>
      </c>
      <c r="B2870">
        <v>206.88</v>
      </c>
    </row>
    <row r="2871" spans="1:2" x14ac:dyDescent="0.25">
      <c r="A2871" s="2">
        <v>43186</v>
      </c>
      <c r="B2871">
        <v>203.89</v>
      </c>
    </row>
    <row r="2872" spans="1:2" x14ac:dyDescent="0.25">
      <c r="A2872" s="2">
        <v>43187</v>
      </c>
      <c r="B2872">
        <v>202.95</v>
      </c>
    </row>
    <row r="2873" spans="1:2" x14ac:dyDescent="0.25">
      <c r="A2873" s="2">
        <v>43188</v>
      </c>
      <c r="B2873">
        <v>207.04</v>
      </c>
    </row>
    <row r="2874" spans="1:2" x14ac:dyDescent="0.25">
      <c r="A2874" s="2">
        <v>43189</v>
      </c>
      <c r="B2874">
        <v>207.04</v>
      </c>
    </row>
    <row r="2875" spans="1:2" x14ac:dyDescent="0.25">
      <c r="A2875" s="2">
        <v>43190</v>
      </c>
      <c r="B2875">
        <v>207.04</v>
      </c>
    </row>
    <row r="2876" spans="1:2" x14ac:dyDescent="0.25">
      <c r="A2876" s="2">
        <v>43191</v>
      </c>
      <c r="B2876">
        <v>207.04</v>
      </c>
    </row>
    <row r="2877" spans="1:2" x14ac:dyDescent="0.25">
      <c r="A2877" s="2">
        <v>43192</v>
      </c>
      <c r="B2877">
        <v>207.04</v>
      </c>
    </row>
    <row r="2878" spans="1:2" x14ac:dyDescent="0.25">
      <c r="A2878" s="2">
        <v>43193</v>
      </c>
      <c r="B2878">
        <v>205.19</v>
      </c>
    </row>
    <row r="2879" spans="1:2" x14ac:dyDescent="0.25">
      <c r="A2879" s="2">
        <v>43194</v>
      </c>
      <c r="B2879">
        <v>208.12</v>
      </c>
    </row>
    <row r="2880" spans="1:2" x14ac:dyDescent="0.25">
      <c r="A2880" s="2">
        <v>43195</v>
      </c>
      <c r="B2880">
        <v>209.85</v>
      </c>
    </row>
    <row r="2881" spans="1:2" x14ac:dyDescent="0.25">
      <c r="A2881" s="2">
        <v>43196</v>
      </c>
      <c r="B2881">
        <v>205.69</v>
      </c>
    </row>
    <row r="2882" spans="1:2" x14ac:dyDescent="0.25">
      <c r="A2882" s="2">
        <v>43197</v>
      </c>
      <c r="B2882">
        <v>205.69</v>
      </c>
    </row>
    <row r="2883" spans="1:2" x14ac:dyDescent="0.25">
      <c r="A2883" s="2">
        <v>43198</v>
      </c>
      <c r="B2883">
        <v>205.69</v>
      </c>
    </row>
    <row r="2884" spans="1:2" x14ac:dyDescent="0.25">
      <c r="A2884" s="2">
        <v>43199</v>
      </c>
      <c r="B2884">
        <v>205.25</v>
      </c>
    </row>
    <row r="2885" spans="1:2" x14ac:dyDescent="0.25">
      <c r="A2885" s="2">
        <v>43200</v>
      </c>
      <c r="B2885">
        <v>207.73</v>
      </c>
    </row>
    <row r="2886" spans="1:2" x14ac:dyDescent="0.25">
      <c r="A2886" s="2">
        <v>43201</v>
      </c>
      <c r="B2886">
        <v>206.2</v>
      </c>
    </row>
    <row r="2887" spans="1:2" x14ac:dyDescent="0.25">
      <c r="A2887" s="2">
        <v>43202</v>
      </c>
      <c r="B2887">
        <v>208.96</v>
      </c>
    </row>
    <row r="2888" spans="1:2" x14ac:dyDescent="0.25">
      <c r="A2888" s="2">
        <v>43203</v>
      </c>
      <c r="B2888">
        <v>208.46</v>
      </c>
    </row>
    <row r="2889" spans="1:2" x14ac:dyDescent="0.25">
      <c r="A2889" s="2">
        <v>43204</v>
      </c>
      <c r="B2889">
        <v>208.46</v>
      </c>
    </row>
    <row r="2890" spans="1:2" x14ac:dyDescent="0.25">
      <c r="A2890" s="2">
        <v>43205</v>
      </c>
      <c r="B2890">
        <v>208.46</v>
      </c>
    </row>
    <row r="2891" spans="1:2" x14ac:dyDescent="0.25">
      <c r="A2891" s="2">
        <v>43206</v>
      </c>
      <c r="B2891">
        <v>209.25</v>
      </c>
    </row>
    <row r="2892" spans="1:2" x14ac:dyDescent="0.25">
      <c r="A2892" s="2">
        <v>43207</v>
      </c>
      <c r="B2892">
        <v>211.7</v>
      </c>
    </row>
    <row r="2893" spans="1:2" x14ac:dyDescent="0.25">
      <c r="A2893" s="2">
        <v>43208</v>
      </c>
      <c r="B2893">
        <v>211.35</v>
      </c>
    </row>
    <row r="2894" spans="1:2" x14ac:dyDescent="0.25">
      <c r="A2894" s="2">
        <v>43209</v>
      </c>
      <c r="B2894">
        <v>210.26</v>
      </c>
    </row>
    <row r="2895" spans="1:2" x14ac:dyDescent="0.25">
      <c r="A2895" s="2">
        <v>43210</v>
      </c>
      <c r="B2895">
        <v>209.72</v>
      </c>
    </row>
    <row r="2896" spans="1:2" x14ac:dyDescent="0.25">
      <c r="A2896" s="2">
        <v>43211</v>
      </c>
      <c r="B2896">
        <v>209.72</v>
      </c>
    </row>
    <row r="2897" spans="1:2" x14ac:dyDescent="0.25">
      <c r="A2897" s="2">
        <v>43212</v>
      </c>
      <c r="B2897">
        <v>209.72</v>
      </c>
    </row>
    <row r="2898" spans="1:2" x14ac:dyDescent="0.25">
      <c r="A2898" s="2">
        <v>43213</v>
      </c>
      <c r="B2898">
        <v>210.94</v>
      </c>
    </row>
    <row r="2899" spans="1:2" x14ac:dyDescent="0.25">
      <c r="A2899" s="2">
        <v>43214</v>
      </c>
      <c r="B2899">
        <v>208.55</v>
      </c>
    </row>
    <row r="2900" spans="1:2" x14ac:dyDescent="0.25">
      <c r="A2900" s="2">
        <v>43215</v>
      </c>
      <c r="B2900">
        <v>209.41</v>
      </c>
    </row>
    <row r="2901" spans="1:2" x14ac:dyDescent="0.25">
      <c r="A2901" s="2">
        <v>43216</v>
      </c>
      <c r="B2901">
        <v>211.89</v>
      </c>
    </row>
    <row r="2902" spans="1:2" x14ac:dyDescent="0.25">
      <c r="A2902" s="2">
        <v>43217</v>
      </c>
      <c r="B2902">
        <v>213.86</v>
      </c>
    </row>
    <row r="2903" spans="1:2" x14ac:dyDescent="0.25">
      <c r="A2903" s="2">
        <v>43218</v>
      </c>
      <c r="B2903">
        <v>213.86</v>
      </c>
    </row>
    <row r="2904" spans="1:2" x14ac:dyDescent="0.25">
      <c r="A2904" s="2">
        <v>43219</v>
      </c>
      <c r="B2904">
        <v>213.86</v>
      </c>
    </row>
    <row r="2905" spans="1:2" x14ac:dyDescent="0.25">
      <c r="A2905" s="2">
        <v>43220</v>
      </c>
      <c r="B2905">
        <v>211.95</v>
      </c>
    </row>
    <row r="2906" spans="1:2" x14ac:dyDescent="0.25">
      <c r="A2906" s="2">
        <v>43221</v>
      </c>
      <c r="B2906">
        <v>212.49</v>
      </c>
    </row>
    <row r="2907" spans="1:2" x14ac:dyDescent="0.25">
      <c r="A2907" s="2">
        <v>43222</v>
      </c>
      <c r="B2907">
        <v>212.23</v>
      </c>
    </row>
    <row r="2908" spans="1:2" x14ac:dyDescent="0.25">
      <c r="A2908" s="2">
        <v>43223</v>
      </c>
      <c r="B2908">
        <v>212.03</v>
      </c>
    </row>
    <row r="2909" spans="1:2" x14ac:dyDescent="0.25">
      <c r="A2909" s="2">
        <v>43224</v>
      </c>
      <c r="B2909">
        <v>215.2</v>
      </c>
    </row>
    <row r="2910" spans="1:2" x14ac:dyDescent="0.25">
      <c r="A2910" s="2">
        <v>43225</v>
      </c>
      <c r="B2910">
        <v>215.2</v>
      </c>
    </row>
    <row r="2911" spans="1:2" x14ac:dyDescent="0.25">
      <c r="A2911" s="2">
        <v>43226</v>
      </c>
      <c r="B2911">
        <v>215.2</v>
      </c>
    </row>
    <row r="2912" spans="1:2" x14ac:dyDescent="0.25">
      <c r="A2912" s="2">
        <v>43227</v>
      </c>
      <c r="B2912">
        <v>217.33</v>
      </c>
    </row>
    <row r="2913" spans="1:2" x14ac:dyDescent="0.25">
      <c r="A2913" s="2">
        <v>43228</v>
      </c>
      <c r="B2913">
        <v>217.69</v>
      </c>
    </row>
    <row r="2914" spans="1:2" x14ac:dyDescent="0.25">
      <c r="A2914" s="2">
        <v>43229</v>
      </c>
      <c r="B2914">
        <v>219.65</v>
      </c>
    </row>
    <row r="2915" spans="1:2" x14ac:dyDescent="0.25">
      <c r="A2915" s="2">
        <v>43230</v>
      </c>
      <c r="B2915">
        <v>221.77</v>
      </c>
    </row>
    <row r="2916" spans="1:2" x14ac:dyDescent="0.25">
      <c r="A2916" s="2">
        <v>43231</v>
      </c>
      <c r="B2916">
        <v>221.17</v>
      </c>
    </row>
    <row r="2917" spans="1:2" x14ac:dyDescent="0.25">
      <c r="A2917" s="2">
        <v>43232</v>
      </c>
      <c r="B2917">
        <v>221.17</v>
      </c>
    </row>
    <row r="2918" spans="1:2" x14ac:dyDescent="0.25">
      <c r="A2918" s="2">
        <v>43233</v>
      </c>
      <c r="B2918">
        <v>221.17</v>
      </c>
    </row>
    <row r="2919" spans="1:2" x14ac:dyDescent="0.25">
      <c r="A2919" s="2">
        <v>43234</v>
      </c>
      <c r="B2919">
        <v>220.38</v>
      </c>
    </row>
    <row r="2920" spans="1:2" x14ac:dyDescent="0.25">
      <c r="A2920" s="2">
        <v>43235</v>
      </c>
      <c r="B2920">
        <v>220.81</v>
      </c>
    </row>
    <row r="2921" spans="1:2" x14ac:dyDescent="0.25">
      <c r="A2921" s="2">
        <v>43236</v>
      </c>
      <c r="B2921">
        <v>223.63</v>
      </c>
    </row>
    <row r="2922" spans="1:2" x14ac:dyDescent="0.25">
      <c r="A2922" s="2">
        <v>43237</v>
      </c>
      <c r="B2922">
        <v>223.09</v>
      </c>
    </row>
    <row r="2923" spans="1:2" x14ac:dyDescent="0.25">
      <c r="A2923" s="2">
        <v>43238</v>
      </c>
      <c r="B2923">
        <v>222.97</v>
      </c>
    </row>
    <row r="2924" spans="1:2" x14ac:dyDescent="0.25">
      <c r="A2924" s="2">
        <v>43239</v>
      </c>
      <c r="B2924">
        <v>222.97</v>
      </c>
    </row>
    <row r="2925" spans="1:2" x14ac:dyDescent="0.25">
      <c r="A2925" s="2">
        <v>43240</v>
      </c>
      <c r="B2925">
        <v>222.97</v>
      </c>
    </row>
    <row r="2926" spans="1:2" x14ac:dyDescent="0.25">
      <c r="A2926" s="2">
        <v>43241</v>
      </c>
      <c r="B2926">
        <v>225.04</v>
      </c>
    </row>
    <row r="2927" spans="1:2" x14ac:dyDescent="0.25">
      <c r="A2927" s="2">
        <v>43242</v>
      </c>
      <c r="B2927">
        <v>223.67</v>
      </c>
    </row>
    <row r="2928" spans="1:2" x14ac:dyDescent="0.25">
      <c r="A2928" s="2">
        <v>43243</v>
      </c>
      <c r="B2928">
        <v>226.05</v>
      </c>
    </row>
    <row r="2929" spans="1:2" x14ac:dyDescent="0.25">
      <c r="A2929" s="2">
        <v>43244</v>
      </c>
      <c r="B2929">
        <v>225.22</v>
      </c>
    </row>
    <row r="2930" spans="1:2" x14ac:dyDescent="0.25">
      <c r="A2930" s="2">
        <v>43245</v>
      </c>
      <c r="B2930">
        <v>225.73</v>
      </c>
    </row>
    <row r="2931" spans="1:2" x14ac:dyDescent="0.25">
      <c r="A2931" s="2">
        <v>43246</v>
      </c>
      <c r="B2931">
        <v>225.73</v>
      </c>
    </row>
    <row r="2932" spans="1:2" x14ac:dyDescent="0.25">
      <c r="A2932" s="2">
        <v>43247</v>
      </c>
      <c r="B2932">
        <v>225.73</v>
      </c>
    </row>
    <row r="2933" spans="1:2" x14ac:dyDescent="0.25">
      <c r="A2933" s="2">
        <v>43248</v>
      </c>
      <c r="B2933">
        <v>226.92</v>
      </c>
    </row>
    <row r="2934" spans="1:2" x14ac:dyDescent="0.25">
      <c r="A2934" s="2">
        <v>43249</v>
      </c>
      <c r="B2934">
        <v>225.39</v>
      </c>
    </row>
    <row r="2935" spans="1:2" x14ac:dyDescent="0.25">
      <c r="A2935" s="2">
        <v>43250</v>
      </c>
      <c r="B2935">
        <v>226.83</v>
      </c>
    </row>
    <row r="2936" spans="1:2" x14ac:dyDescent="0.25">
      <c r="A2936" s="2">
        <v>43251</v>
      </c>
      <c r="B2936">
        <v>224.02</v>
      </c>
    </row>
    <row r="2937" spans="1:2" x14ac:dyDescent="0.25">
      <c r="A2937" s="2">
        <v>43252</v>
      </c>
      <c r="B2937">
        <v>227.05</v>
      </c>
    </row>
    <row r="2938" spans="1:2" x14ac:dyDescent="0.25">
      <c r="A2938" s="2">
        <v>43253</v>
      </c>
      <c r="B2938">
        <v>227.05</v>
      </c>
    </row>
    <row r="2939" spans="1:2" x14ac:dyDescent="0.25">
      <c r="A2939" s="2">
        <v>43254</v>
      </c>
      <c r="B2939">
        <v>227.05</v>
      </c>
    </row>
    <row r="2940" spans="1:2" x14ac:dyDescent="0.25">
      <c r="A2940" s="2">
        <v>43255</v>
      </c>
      <c r="B2940">
        <v>226.74</v>
      </c>
    </row>
    <row r="2941" spans="1:2" x14ac:dyDescent="0.25">
      <c r="A2941" s="2">
        <v>43256</v>
      </c>
      <c r="B2941">
        <v>228.13</v>
      </c>
    </row>
    <row r="2942" spans="1:2" x14ac:dyDescent="0.25">
      <c r="A2942" s="2">
        <v>43257</v>
      </c>
      <c r="B2942">
        <v>228.32</v>
      </c>
    </row>
    <row r="2943" spans="1:2" x14ac:dyDescent="0.25">
      <c r="A2943" s="2">
        <v>43258</v>
      </c>
      <c r="B2943">
        <v>226.82</v>
      </c>
    </row>
    <row r="2944" spans="1:2" x14ac:dyDescent="0.25">
      <c r="A2944" s="2">
        <v>43259</v>
      </c>
      <c r="B2944">
        <v>229.13</v>
      </c>
    </row>
    <row r="2945" spans="1:2" x14ac:dyDescent="0.25">
      <c r="A2945" s="2">
        <v>43260</v>
      </c>
      <c r="B2945">
        <v>229.13</v>
      </c>
    </row>
    <row r="2946" spans="1:2" x14ac:dyDescent="0.25">
      <c r="A2946" s="2">
        <v>43261</v>
      </c>
      <c r="B2946">
        <v>229.13</v>
      </c>
    </row>
    <row r="2947" spans="1:2" x14ac:dyDescent="0.25">
      <c r="A2947" s="2">
        <v>43262</v>
      </c>
      <c r="B2947">
        <v>228.68</v>
      </c>
    </row>
    <row r="2948" spans="1:2" x14ac:dyDescent="0.25">
      <c r="A2948" s="2">
        <v>43263</v>
      </c>
      <c r="B2948">
        <v>229.12</v>
      </c>
    </row>
    <row r="2949" spans="1:2" x14ac:dyDescent="0.25">
      <c r="A2949" s="2">
        <v>43264</v>
      </c>
      <c r="B2949">
        <v>228.67</v>
      </c>
    </row>
    <row r="2950" spans="1:2" x14ac:dyDescent="0.25">
      <c r="A2950" s="2">
        <v>43265</v>
      </c>
      <c r="B2950">
        <v>229.96</v>
      </c>
    </row>
    <row r="2951" spans="1:2" x14ac:dyDescent="0.25">
      <c r="A2951" s="2">
        <v>43266</v>
      </c>
      <c r="B2951">
        <v>232.4</v>
      </c>
    </row>
    <row r="2952" spans="1:2" x14ac:dyDescent="0.25">
      <c r="A2952" s="2">
        <v>43267</v>
      </c>
      <c r="B2952">
        <v>232.4</v>
      </c>
    </row>
    <row r="2953" spans="1:2" x14ac:dyDescent="0.25">
      <c r="A2953" s="2">
        <v>43268</v>
      </c>
      <c r="B2953">
        <v>232.4</v>
      </c>
    </row>
    <row r="2954" spans="1:2" x14ac:dyDescent="0.25">
      <c r="A2954" s="2">
        <v>43269</v>
      </c>
      <c r="B2954">
        <v>231.57</v>
      </c>
    </row>
    <row r="2955" spans="1:2" x14ac:dyDescent="0.25">
      <c r="A2955" s="2">
        <v>43270</v>
      </c>
      <c r="B2955">
        <v>232.23</v>
      </c>
    </row>
    <row r="2956" spans="1:2" x14ac:dyDescent="0.25">
      <c r="A2956" s="2">
        <v>43271</v>
      </c>
      <c r="B2956">
        <v>231.74</v>
      </c>
    </row>
    <row r="2957" spans="1:2" x14ac:dyDescent="0.25">
      <c r="A2957" s="2">
        <v>43272</v>
      </c>
      <c r="B2957">
        <v>231.09</v>
      </c>
    </row>
    <row r="2958" spans="1:2" x14ac:dyDescent="0.25">
      <c r="A2958" s="2">
        <v>43273</v>
      </c>
      <c r="B2958">
        <v>229.34</v>
      </c>
    </row>
    <row r="2959" spans="1:2" x14ac:dyDescent="0.25">
      <c r="A2959" s="2">
        <v>43274</v>
      </c>
      <c r="B2959">
        <v>229.34</v>
      </c>
    </row>
    <row r="2960" spans="1:2" x14ac:dyDescent="0.25">
      <c r="A2960" s="2">
        <v>43275</v>
      </c>
      <c r="B2960">
        <v>229.34</v>
      </c>
    </row>
    <row r="2961" spans="1:2" x14ac:dyDescent="0.25">
      <c r="A2961" s="2">
        <v>43276</v>
      </c>
      <c r="B2961">
        <v>225.18</v>
      </c>
    </row>
    <row r="2962" spans="1:2" x14ac:dyDescent="0.25">
      <c r="A2962" s="2">
        <v>43277</v>
      </c>
      <c r="B2962">
        <v>226.22</v>
      </c>
    </row>
    <row r="2963" spans="1:2" x14ac:dyDescent="0.25">
      <c r="A2963" s="2">
        <v>43278</v>
      </c>
      <c r="B2963">
        <v>225.35</v>
      </c>
    </row>
    <row r="2964" spans="1:2" x14ac:dyDescent="0.25">
      <c r="A2964" s="2">
        <v>43279</v>
      </c>
      <c r="B2964">
        <v>227.42</v>
      </c>
    </row>
    <row r="2965" spans="1:2" x14ac:dyDescent="0.25">
      <c r="A2965" s="2">
        <v>43280</v>
      </c>
      <c r="B2965">
        <v>226.14</v>
      </c>
    </row>
    <row r="2966" spans="1:2" x14ac:dyDescent="0.25">
      <c r="A2966" s="2">
        <v>43281</v>
      </c>
      <c r="B2966">
        <v>226.14</v>
      </c>
    </row>
    <row r="2967" spans="1:2" x14ac:dyDescent="0.25">
      <c r="A2967" s="2">
        <v>43282</v>
      </c>
      <c r="B2967">
        <v>226.14</v>
      </c>
    </row>
    <row r="2968" spans="1:2" x14ac:dyDescent="0.25">
      <c r="A2968" s="2">
        <v>43283</v>
      </c>
      <c r="B2968">
        <v>227.21</v>
      </c>
    </row>
    <row r="2969" spans="1:2" x14ac:dyDescent="0.25">
      <c r="A2969" s="2">
        <v>43284</v>
      </c>
      <c r="B2969">
        <v>225.58</v>
      </c>
    </row>
    <row r="2970" spans="1:2" x14ac:dyDescent="0.25">
      <c r="A2970" s="2">
        <v>43285</v>
      </c>
      <c r="B2970">
        <v>226.62</v>
      </c>
    </row>
    <row r="2971" spans="1:2" x14ac:dyDescent="0.25">
      <c r="A2971" s="2">
        <v>43286</v>
      </c>
      <c r="B2971">
        <v>226.71</v>
      </c>
    </row>
    <row r="2972" spans="1:2" x14ac:dyDescent="0.25">
      <c r="A2972" s="2">
        <v>43287</v>
      </c>
      <c r="B2972">
        <v>228.36</v>
      </c>
    </row>
    <row r="2973" spans="1:2" x14ac:dyDescent="0.25">
      <c r="A2973" s="2">
        <v>43288</v>
      </c>
      <c r="B2973">
        <v>228.36</v>
      </c>
    </row>
    <row r="2974" spans="1:2" x14ac:dyDescent="0.25">
      <c r="A2974" s="2">
        <v>43289</v>
      </c>
      <c r="B2974">
        <v>228.36</v>
      </c>
    </row>
    <row r="2975" spans="1:2" x14ac:dyDescent="0.25">
      <c r="A2975" s="2">
        <v>43290</v>
      </c>
      <c r="B2975">
        <v>229.16</v>
      </c>
    </row>
    <row r="2976" spans="1:2" x14ac:dyDescent="0.25">
      <c r="A2976" s="2">
        <v>43291</v>
      </c>
      <c r="B2976">
        <v>231.45</v>
      </c>
    </row>
    <row r="2977" spans="1:2" x14ac:dyDescent="0.25">
      <c r="A2977" s="2">
        <v>43292</v>
      </c>
      <c r="B2977">
        <v>229.37</v>
      </c>
    </row>
    <row r="2978" spans="1:2" x14ac:dyDescent="0.25">
      <c r="A2978" s="2">
        <v>43293</v>
      </c>
      <c r="B2978">
        <v>232.93</v>
      </c>
    </row>
    <row r="2979" spans="1:2" x14ac:dyDescent="0.25">
      <c r="A2979" s="2">
        <v>43294</v>
      </c>
      <c r="B2979">
        <v>233.48</v>
      </c>
    </row>
    <row r="2980" spans="1:2" x14ac:dyDescent="0.25">
      <c r="A2980" s="2">
        <v>43295</v>
      </c>
      <c r="B2980">
        <v>233.48</v>
      </c>
    </row>
    <row r="2981" spans="1:2" x14ac:dyDescent="0.25">
      <c r="A2981" s="2">
        <v>43296</v>
      </c>
      <c r="B2981">
        <v>233.48</v>
      </c>
    </row>
    <row r="2982" spans="1:2" x14ac:dyDescent="0.25">
      <c r="A2982" s="2">
        <v>43297</v>
      </c>
      <c r="B2982">
        <v>231.72</v>
      </c>
    </row>
    <row r="2983" spans="1:2" x14ac:dyDescent="0.25">
      <c r="A2983" s="2">
        <v>43298</v>
      </c>
      <c r="B2983">
        <v>232.9</v>
      </c>
    </row>
    <row r="2984" spans="1:2" x14ac:dyDescent="0.25">
      <c r="A2984" s="2">
        <v>43299</v>
      </c>
      <c r="B2984">
        <v>235.34</v>
      </c>
    </row>
    <row r="2985" spans="1:2" x14ac:dyDescent="0.25">
      <c r="A2985" s="2">
        <v>43300</v>
      </c>
      <c r="B2985">
        <v>234.89</v>
      </c>
    </row>
    <row r="2986" spans="1:2" x14ac:dyDescent="0.25">
      <c r="A2986" s="2">
        <v>43301</v>
      </c>
      <c r="B2986">
        <v>233.02</v>
      </c>
    </row>
    <row r="2987" spans="1:2" x14ac:dyDescent="0.25">
      <c r="A2987" s="2">
        <v>43302</v>
      </c>
      <c r="B2987">
        <v>233.02</v>
      </c>
    </row>
    <row r="2988" spans="1:2" x14ac:dyDescent="0.25">
      <c r="A2988" s="2">
        <v>43303</v>
      </c>
      <c r="B2988">
        <v>233.02</v>
      </c>
    </row>
    <row r="2989" spans="1:2" x14ac:dyDescent="0.25">
      <c r="A2989" s="2">
        <v>43304</v>
      </c>
      <c r="B2989">
        <v>232.54</v>
      </c>
    </row>
    <row r="2990" spans="1:2" x14ac:dyDescent="0.25">
      <c r="A2990" s="2">
        <v>43305</v>
      </c>
      <c r="B2990">
        <v>233.85</v>
      </c>
    </row>
    <row r="2991" spans="1:2" x14ac:dyDescent="0.25">
      <c r="A2991" s="2">
        <v>43306</v>
      </c>
      <c r="B2991">
        <v>236.31</v>
      </c>
    </row>
    <row r="2992" spans="1:2" x14ac:dyDescent="0.25">
      <c r="A2992" s="2">
        <v>43307</v>
      </c>
      <c r="B2992">
        <v>235.07</v>
      </c>
    </row>
    <row r="2993" spans="1:2" x14ac:dyDescent="0.25">
      <c r="A2993" s="2">
        <v>43308</v>
      </c>
      <c r="B2993">
        <v>235.35</v>
      </c>
    </row>
    <row r="2994" spans="1:2" x14ac:dyDescent="0.25">
      <c r="A2994" s="2">
        <v>43309</v>
      </c>
      <c r="B2994">
        <v>235.35</v>
      </c>
    </row>
    <row r="2995" spans="1:2" x14ac:dyDescent="0.25">
      <c r="A2995" s="2">
        <v>43310</v>
      </c>
      <c r="B2995">
        <v>235.35</v>
      </c>
    </row>
    <row r="2996" spans="1:2" x14ac:dyDescent="0.25">
      <c r="A2996" s="2">
        <v>43311</v>
      </c>
      <c r="B2996">
        <v>232.84</v>
      </c>
    </row>
    <row r="2997" spans="1:2" x14ac:dyDescent="0.25">
      <c r="A2997" s="2">
        <v>43312</v>
      </c>
      <c r="B2997">
        <v>232.94</v>
      </c>
    </row>
    <row r="2998" spans="1:2" x14ac:dyDescent="0.25">
      <c r="A2998" s="2">
        <v>43313</v>
      </c>
      <c r="B2998">
        <v>233.5</v>
      </c>
    </row>
    <row r="2999" spans="1:2" x14ac:dyDescent="0.25">
      <c r="A2999" s="2">
        <v>43314</v>
      </c>
      <c r="B2999">
        <v>236.27</v>
      </c>
    </row>
    <row r="3000" spans="1:2" x14ac:dyDescent="0.25">
      <c r="A3000" s="2">
        <v>43315</v>
      </c>
      <c r="B3000">
        <v>237.98</v>
      </c>
    </row>
    <row r="3001" spans="1:2" x14ac:dyDescent="0.25">
      <c r="A3001" s="2">
        <v>43316</v>
      </c>
      <c r="B3001">
        <v>237.98</v>
      </c>
    </row>
    <row r="3002" spans="1:2" x14ac:dyDescent="0.25">
      <c r="A3002" s="2">
        <v>43317</v>
      </c>
      <c r="B3002">
        <v>237.98</v>
      </c>
    </row>
    <row r="3003" spans="1:2" x14ac:dyDescent="0.25">
      <c r="A3003" s="2">
        <v>43318</v>
      </c>
      <c r="B3003">
        <v>239.77</v>
      </c>
    </row>
    <row r="3004" spans="1:2" x14ac:dyDescent="0.25">
      <c r="A3004" s="2">
        <v>43319</v>
      </c>
      <c r="B3004">
        <v>239.23</v>
      </c>
    </row>
    <row r="3005" spans="1:2" x14ac:dyDescent="0.25">
      <c r="A3005" s="2">
        <v>43320</v>
      </c>
      <c r="B3005">
        <v>239.43</v>
      </c>
    </row>
    <row r="3006" spans="1:2" x14ac:dyDescent="0.25">
      <c r="A3006" s="2">
        <v>43321</v>
      </c>
      <c r="B3006">
        <v>239.07</v>
      </c>
    </row>
    <row r="3007" spans="1:2" x14ac:dyDescent="0.25">
      <c r="A3007" s="2">
        <v>43322</v>
      </c>
      <c r="B3007">
        <v>240.27</v>
      </c>
    </row>
    <row r="3008" spans="1:2" x14ac:dyDescent="0.25">
      <c r="A3008" s="2">
        <v>43323</v>
      </c>
      <c r="B3008">
        <v>240.27</v>
      </c>
    </row>
    <row r="3009" spans="1:2" x14ac:dyDescent="0.25">
      <c r="A3009" s="2">
        <v>43324</v>
      </c>
      <c r="B3009">
        <v>240.27</v>
      </c>
    </row>
    <row r="3010" spans="1:2" x14ac:dyDescent="0.25">
      <c r="A3010" s="2">
        <v>43325</v>
      </c>
      <c r="B3010">
        <v>240.41</v>
      </c>
    </row>
    <row r="3011" spans="1:2" x14ac:dyDescent="0.25">
      <c r="A3011" s="2">
        <v>43326</v>
      </c>
      <c r="B3011">
        <v>241.91</v>
      </c>
    </row>
    <row r="3012" spans="1:2" x14ac:dyDescent="0.25">
      <c r="A3012" s="2">
        <v>43327</v>
      </c>
      <c r="B3012">
        <v>241.9</v>
      </c>
    </row>
    <row r="3013" spans="1:2" x14ac:dyDescent="0.25">
      <c r="A3013" s="2">
        <v>43328</v>
      </c>
      <c r="B3013">
        <v>242.83</v>
      </c>
    </row>
    <row r="3014" spans="1:2" x14ac:dyDescent="0.25">
      <c r="A3014" s="2">
        <v>43329</v>
      </c>
      <c r="B3014">
        <v>243.2</v>
      </c>
    </row>
    <row r="3015" spans="1:2" x14ac:dyDescent="0.25">
      <c r="A3015" s="2">
        <v>43330</v>
      </c>
      <c r="B3015">
        <v>243.2</v>
      </c>
    </row>
    <row r="3016" spans="1:2" x14ac:dyDescent="0.25">
      <c r="A3016" s="2">
        <v>43331</v>
      </c>
      <c r="B3016">
        <v>243.2</v>
      </c>
    </row>
    <row r="3017" spans="1:2" x14ac:dyDescent="0.25">
      <c r="A3017" s="2">
        <v>43332</v>
      </c>
      <c r="B3017">
        <v>243.18</v>
      </c>
    </row>
    <row r="3018" spans="1:2" x14ac:dyDescent="0.25">
      <c r="A3018" s="2">
        <v>43333</v>
      </c>
      <c r="B3018">
        <v>241.96</v>
      </c>
    </row>
    <row r="3019" spans="1:2" x14ac:dyDescent="0.25">
      <c r="A3019" s="2">
        <v>43334</v>
      </c>
      <c r="B3019">
        <v>239.49</v>
      </c>
    </row>
    <row r="3020" spans="1:2" x14ac:dyDescent="0.25">
      <c r="A3020" s="2">
        <v>43335</v>
      </c>
      <c r="B3020">
        <v>239.87</v>
      </c>
    </row>
    <row r="3021" spans="1:2" x14ac:dyDescent="0.25">
      <c r="A3021" s="2">
        <v>43336</v>
      </c>
      <c r="B3021">
        <v>241.16</v>
      </c>
    </row>
    <row r="3022" spans="1:2" x14ac:dyDescent="0.25">
      <c r="A3022" s="2">
        <v>43337</v>
      </c>
      <c r="B3022">
        <v>241.16</v>
      </c>
    </row>
    <row r="3023" spans="1:2" x14ac:dyDescent="0.25">
      <c r="A3023" s="2">
        <v>43338</v>
      </c>
      <c r="B3023">
        <v>241.16</v>
      </c>
    </row>
    <row r="3024" spans="1:2" x14ac:dyDescent="0.25">
      <c r="A3024" s="2">
        <v>43339</v>
      </c>
      <c r="B3024">
        <v>240.99</v>
      </c>
    </row>
    <row r="3025" spans="1:2" x14ac:dyDescent="0.25">
      <c r="A3025" s="2">
        <v>43340</v>
      </c>
      <c r="B3025">
        <v>240.57</v>
      </c>
    </row>
    <row r="3026" spans="1:2" x14ac:dyDescent="0.25">
      <c r="A3026" s="2">
        <v>43341</v>
      </c>
      <c r="B3026">
        <v>242.99</v>
      </c>
    </row>
    <row r="3027" spans="1:2" x14ac:dyDescent="0.25">
      <c r="A3027" s="2">
        <v>43342</v>
      </c>
      <c r="B3027">
        <v>241.29</v>
      </c>
    </row>
    <row r="3028" spans="1:2" x14ac:dyDescent="0.25">
      <c r="A3028" s="2">
        <v>43343</v>
      </c>
      <c r="B3028">
        <v>242.19</v>
      </c>
    </row>
    <row r="3029" spans="1:2" x14ac:dyDescent="0.25">
      <c r="A3029" s="2">
        <v>43344</v>
      </c>
      <c r="B3029">
        <v>242.19</v>
      </c>
    </row>
    <row r="3030" spans="1:2" x14ac:dyDescent="0.25">
      <c r="A3030" s="2">
        <v>43345</v>
      </c>
      <c r="B3030">
        <v>242.19</v>
      </c>
    </row>
    <row r="3031" spans="1:2" x14ac:dyDescent="0.25">
      <c r="A3031" s="2">
        <v>43346</v>
      </c>
      <c r="B3031">
        <v>243.31</v>
      </c>
    </row>
    <row r="3032" spans="1:2" x14ac:dyDescent="0.25">
      <c r="A3032" s="2">
        <v>43347</v>
      </c>
      <c r="B3032">
        <v>243.68</v>
      </c>
    </row>
    <row r="3033" spans="1:2" x14ac:dyDescent="0.25">
      <c r="A3033" s="2">
        <v>43348</v>
      </c>
      <c r="B3033">
        <v>242.57</v>
      </c>
    </row>
    <row r="3034" spans="1:2" x14ac:dyDescent="0.25">
      <c r="A3034" s="2">
        <v>43349</v>
      </c>
      <c r="B3034">
        <v>240.67</v>
      </c>
    </row>
    <row r="3035" spans="1:2" x14ac:dyDescent="0.25">
      <c r="A3035" s="2">
        <v>43350</v>
      </c>
      <c r="B3035">
        <v>240.54</v>
      </c>
    </row>
    <row r="3036" spans="1:2" x14ac:dyDescent="0.25">
      <c r="A3036" s="2">
        <v>43351</v>
      </c>
      <c r="B3036">
        <v>240.54</v>
      </c>
    </row>
    <row r="3037" spans="1:2" x14ac:dyDescent="0.25">
      <c r="A3037" s="2">
        <v>43352</v>
      </c>
      <c r="B3037">
        <v>240.54</v>
      </c>
    </row>
    <row r="3038" spans="1:2" x14ac:dyDescent="0.25">
      <c r="A3038" s="2">
        <v>43353</v>
      </c>
      <c r="B3038">
        <v>241.92</v>
      </c>
    </row>
    <row r="3039" spans="1:2" x14ac:dyDescent="0.25">
      <c r="A3039" s="2">
        <v>43354</v>
      </c>
      <c r="B3039">
        <v>242.77</v>
      </c>
    </row>
    <row r="3040" spans="1:2" x14ac:dyDescent="0.25">
      <c r="A3040" s="2">
        <v>43355</v>
      </c>
      <c r="B3040">
        <v>242.62</v>
      </c>
    </row>
    <row r="3041" spans="1:2" x14ac:dyDescent="0.25">
      <c r="A3041" s="2">
        <v>43356</v>
      </c>
      <c r="B3041">
        <v>243.23</v>
      </c>
    </row>
    <row r="3042" spans="1:2" x14ac:dyDescent="0.25">
      <c r="A3042" s="2">
        <v>43357</v>
      </c>
      <c r="B3042">
        <v>241.89</v>
      </c>
    </row>
    <row r="3043" spans="1:2" x14ac:dyDescent="0.25">
      <c r="A3043" s="2">
        <v>43358</v>
      </c>
      <c r="B3043">
        <v>241.89</v>
      </c>
    </row>
    <row r="3044" spans="1:2" x14ac:dyDescent="0.25">
      <c r="A3044" s="2">
        <v>43359</v>
      </c>
      <c r="B3044">
        <v>241.89</v>
      </c>
    </row>
    <row r="3045" spans="1:2" x14ac:dyDescent="0.25">
      <c r="A3045" s="2">
        <v>43360</v>
      </c>
      <c r="B3045">
        <v>240.91</v>
      </c>
    </row>
    <row r="3046" spans="1:2" x14ac:dyDescent="0.25">
      <c r="A3046" s="2">
        <v>43361</v>
      </c>
      <c r="B3046">
        <v>241.68</v>
      </c>
    </row>
    <row r="3047" spans="1:2" x14ac:dyDescent="0.25">
      <c r="A3047" s="2">
        <v>43362</v>
      </c>
      <c r="B3047">
        <v>242.6</v>
      </c>
    </row>
    <row r="3048" spans="1:2" x14ac:dyDescent="0.25">
      <c r="A3048" s="2">
        <v>43363</v>
      </c>
      <c r="B3048">
        <v>242.39</v>
      </c>
    </row>
    <row r="3049" spans="1:2" x14ac:dyDescent="0.25">
      <c r="A3049" s="2">
        <v>43364</v>
      </c>
      <c r="B3049">
        <v>242.51</v>
      </c>
    </row>
    <row r="3050" spans="1:2" x14ac:dyDescent="0.25">
      <c r="A3050" s="2">
        <v>43365</v>
      </c>
      <c r="B3050">
        <v>242.51</v>
      </c>
    </row>
    <row r="3051" spans="1:2" x14ac:dyDescent="0.25">
      <c r="A3051" s="2">
        <v>43366</v>
      </c>
      <c r="B3051">
        <v>242.51</v>
      </c>
    </row>
    <row r="3052" spans="1:2" x14ac:dyDescent="0.25">
      <c r="A3052" s="2">
        <v>43367</v>
      </c>
      <c r="B3052">
        <v>241.37</v>
      </c>
    </row>
    <row r="3053" spans="1:2" x14ac:dyDescent="0.25">
      <c r="A3053" s="2">
        <v>43368</v>
      </c>
      <c r="B3053">
        <v>241</v>
      </c>
    </row>
    <row r="3054" spans="1:2" x14ac:dyDescent="0.25">
      <c r="A3054" s="2">
        <v>43369</v>
      </c>
      <c r="B3054">
        <v>241.02</v>
      </c>
    </row>
    <row r="3055" spans="1:2" x14ac:dyDescent="0.25">
      <c r="A3055" s="2">
        <v>43370</v>
      </c>
      <c r="B3055">
        <v>242.33</v>
      </c>
    </row>
    <row r="3056" spans="1:2" x14ac:dyDescent="0.25">
      <c r="A3056" s="2">
        <v>43371</v>
      </c>
      <c r="B3056">
        <v>245.07</v>
      </c>
    </row>
    <row r="3057" spans="1:2" x14ac:dyDescent="0.25">
      <c r="A3057" s="2">
        <v>43372</v>
      </c>
      <c r="B3057">
        <v>245.07</v>
      </c>
    </row>
    <row r="3058" spans="1:2" x14ac:dyDescent="0.25">
      <c r="A3058" s="2">
        <v>43373</v>
      </c>
      <c r="B3058">
        <v>245.07</v>
      </c>
    </row>
    <row r="3059" spans="1:2" x14ac:dyDescent="0.25">
      <c r="A3059" s="2">
        <v>43374</v>
      </c>
      <c r="B3059">
        <v>245.33</v>
      </c>
    </row>
    <row r="3060" spans="1:2" x14ac:dyDescent="0.25">
      <c r="A3060" s="2">
        <v>43375</v>
      </c>
      <c r="B3060">
        <v>246.57</v>
      </c>
    </row>
    <row r="3061" spans="1:2" x14ac:dyDescent="0.25">
      <c r="A3061" s="2">
        <v>43376</v>
      </c>
      <c r="B3061">
        <v>246.64</v>
      </c>
    </row>
    <row r="3062" spans="1:2" x14ac:dyDescent="0.25">
      <c r="A3062" s="2">
        <v>43377</v>
      </c>
      <c r="B3062">
        <v>245.65</v>
      </c>
    </row>
    <row r="3063" spans="1:2" x14ac:dyDescent="0.25">
      <c r="A3063" s="2">
        <v>43378</v>
      </c>
      <c r="B3063">
        <v>244.21</v>
      </c>
    </row>
    <row r="3064" spans="1:2" x14ac:dyDescent="0.25">
      <c r="A3064" s="2">
        <v>43379</v>
      </c>
      <c r="B3064">
        <v>244.21</v>
      </c>
    </row>
    <row r="3065" spans="1:2" x14ac:dyDescent="0.25">
      <c r="A3065" s="2">
        <v>43380</v>
      </c>
      <c r="B3065">
        <v>244.21</v>
      </c>
    </row>
    <row r="3066" spans="1:2" x14ac:dyDescent="0.25">
      <c r="A3066" s="2">
        <v>43381</v>
      </c>
      <c r="B3066">
        <v>244.71</v>
      </c>
    </row>
    <row r="3067" spans="1:2" x14ac:dyDescent="0.25">
      <c r="A3067" s="2">
        <v>43382</v>
      </c>
      <c r="B3067">
        <v>245.34</v>
      </c>
    </row>
    <row r="3068" spans="1:2" x14ac:dyDescent="0.25">
      <c r="A3068" s="2">
        <v>43383</v>
      </c>
      <c r="B3068">
        <v>235.94</v>
      </c>
    </row>
    <row r="3069" spans="1:2" x14ac:dyDescent="0.25">
      <c r="A3069" s="2">
        <v>43384</v>
      </c>
      <c r="B3069">
        <v>229.6</v>
      </c>
    </row>
    <row r="3070" spans="1:2" x14ac:dyDescent="0.25">
      <c r="A3070" s="2">
        <v>43385</v>
      </c>
      <c r="B3070">
        <v>232.89</v>
      </c>
    </row>
    <row r="3071" spans="1:2" x14ac:dyDescent="0.25">
      <c r="A3071" s="2">
        <v>43386</v>
      </c>
      <c r="B3071">
        <v>232.89</v>
      </c>
    </row>
    <row r="3072" spans="1:2" x14ac:dyDescent="0.25">
      <c r="A3072" s="2">
        <v>43387</v>
      </c>
      <c r="B3072">
        <v>232.89</v>
      </c>
    </row>
    <row r="3073" spans="1:2" x14ac:dyDescent="0.25">
      <c r="A3073" s="2">
        <v>43388</v>
      </c>
      <c r="B3073">
        <v>231.38</v>
      </c>
    </row>
    <row r="3074" spans="1:2" x14ac:dyDescent="0.25">
      <c r="A3074" s="2">
        <v>43389</v>
      </c>
      <c r="B3074">
        <v>236.24</v>
      </c>
    </row>
    <row r="3075" spans="1:2" x14ac:dyDescent="0.25">
      <c r="A3075" s="2">
        <v>43390</v>
      </c>
      <c r="B3075">
        <v>237.35</v>
      </c>
    </row>
    <row r="3076" spans="1:2" x14ac:dyDescent="0.25">
      <c r="A3076" s="2">
        <v>43391</v>
      </c>
      <c r="B3076">
        <v>234.47</v>
      </c>
    </row>
    <row r="3077" spans="1:2" x14ac:dyDescent="0.25">
      <c r="A3077" s="2">
        <v>43392</v>
      </c>
      <c r="B3077">
        <v>235.1</v>
      </c>
    </row>
    <row r="3078" spans="1:2" x14ac:dyDescent="0.25">
      <c r="A3078" s="2">
        <v>43393</v>
      </c>
      <c r="B3078">
        <v>235.1</v>
      </c>
    </row>
    <row r="3079" spans="1:2" x14ac:dyDescent="0.25">
      <c r="A3079" s="2">
        <v>43394</v>
      </c>
      <c r="B3079">
        <v>235.1</v>
      </c>
    </row>
    <row r="3080" spans="1:2" x14ac:dyDescent="0.25">
      <c r="A3080" s="2">
        <v>43395</v>
      </c>
      <c r="B3080">
        <v>233.61</v>
      </c>
    </row>
    <row r="3081" spans="1:2" x14ac:dyDescent="0.25">
      <c r="A3081" s="2">
        <v>43396</v>
      </c>
      <c r="B3081">
        <v>232.65</v>
      </c>
    </row>
    <row r="3082" spans="1:2" x14ac:dyDescent="0.25">
      <c r="A3082" s="2">
        <v>43397</v>
      </c>
      <c r="B3082">
        <v>227.24</v>
      </c>
    </row>
    <row r="3083" spans="1:2" x14ac:dyDescent="0.25">
      <c r="A3083" s="2">
        <v>43398</v>
      </c>
      <c r="B3083">
        <v>230.91</v>
      </c>
    </row>
    <row r="3084" spans="1:2" x14ac:dyDescent="0.25">
      <c r="A3084" s="2">
        <v>43399</v>
      </c>
      <c r="B3084">
        <v>228.34</v>
      </c>
    </row>
    <row r="3085" spans="1:2" x14ac:dyDescent="0.25">
      <c r="A3085" s="2">
        <v>43400</v>
      </c>
      <c r="B3085">
        <v>228.34</v>
      </c>
    </row>
    <row r="3086" spans="1:2" x14ac:dyDescent="0.25">
      <c r="A3086" s="2">
        <v>43401</v>
      </c>
      <c r="B3086">
        <v>228.34</v>
      </c>
    </row>
    <row r="3087" spans="1:2" x14ac:dyDescent="0.25">
      <c r="A3087" s="2">
        <v>43402</v>
      </c>
      <c r="B3087">
        <v>226.12</v>
      </c>
    </row>
    <row r="3088" spans="1:2" x14ac:dyDescent="0.25">
      <c r="A3088" s="2">
        <v>43403</v>
      </c>
      <c r="B3088">
        <v>229.86</v>
      </c>
    </row>
    <row r="3089" spans="1:2" x14ac:dyDescent="0.25">
      <c r="A3089" s="2">
        <v>43404</v>
      </c>
      <c r="B3089">
        <v>233.48</v>
      </c>
    </row>
    <row r="3090" spans="1:2" x14ac:dyDescent="0.25">
      <c r="A3090" s="2">
        <v>43405</v>
      </c>
      <c r="B3090">
        <v>234.39</v>
      </c>
    </row>
    <row r="3091" spans="1:2" x14ac:dyDescent="0.25">
      <c r="A3091" s="2">
        <v>43406</v>
      </c>
      <c r="B3091">
        <v>232.44</v>
      </c>
    </row>
    <row r="3092" spans="1:2" x14ac:dyDescent="0.25">
      <c r="A3092" s="2">
        <v>43407</v>
      </c>
      <c r="B3092">
        <v>232.44</v>
      </c>
    </row>
    <row r="3093" spans="1:2" x14ac:dyDescent="0.25">
      <c r="A3093" s="2">
        <v>43408</v>
      </c>
      <c r="B3093">
        <v>232.44</v>
      </c>
    </row>
    <row r="3094" spans="1:2" x14ac:dyDescent="0.25">
      <c r="A3094" s="2">
        <v>43409</v>
      </c>
      <c r="B3094">
        <v>234.71</v>
      </c>
    </row>
    <row r="3095" spans="1:2" x14ac:dyDescent="0.25">
      <c r="A3095" s="2">
        <v>43410</v>
      </c>
      <c r="B3095">
        <v>234.99</v>
      </c>
    </row>
    <row r="3096" spans="1:2" x14ac:dyDescent="0.25">
      <c r="A3096" s="2">
        <v>43411</v>
      </c>
      <c r="B3096">
        <v>238.75</v>
      </c>
    </row>
    <row r="3097" spans="1:2" x14ac:dyDescent="0.25">
      <c r="A3097" s="2">
        <v>43412</v>
      </c>
      <c r="B3097">
        <v>239.57</v>
      </c>
    </row>
    <row r="3098" spans="1:2" x14ac:dyDescent="0.25">
      <c r="A3098" s="2">
        <v>43413</v>
      </c>
      <c r="B3098">
        <v>239.04</v>
      </c>
    </row>
    <row r="3099" spans="1:2" x14ac:dyDescent="0.25">
      <c r="A3099" s="2">
        <v>43414</v>
      </c>
      <c r="B3099">
        <v>239.04</v>
      </c>
    </row>
    <row r="3100" spans="1:2" x14ac:dyDescent="0.25">
      <c r="A3100" s="2">
        <v>43415</v>
      </c>
      <c r="B3100">
        <v>239.04</v>
      </c>
    </row>
    <row r="3101" spans="1:2" x14ac:dyDescent="0.25">
      <c r="A3101" s="2">
        <v>43416</v>
      </c>
      <c r="B3101">
        <v>236.01</v>
      </c>
    </row>
    <row r="3102" spans="1:2" x14ac:dyDescent="0.25">
      <c r="A3102" s="2">
        <v>43417</v>
      </c>
      <c r="B3102">
        <v>235.75</v>
      </c>
    </row>
    <row r="3103" spans="1:2" x14ac:dyDescent="0.25">
      <c r="A3103" s="2">
        <v>43418</v>
      </c>
      <c r="B3103">
        <v>233.29</v>
      </c>
    </row>
    <row r="3104" spans="1:2" x14ac:dyDescent="0.25">
      <c r="A3104" s="2">
        <v>43419</v>
      </c>
      <c r="B3104">
        <v>235.64</v>
      </c>
    </row>
    <row r="3105" spans="1:2" x14ac:dyDescent="0.25">
      <c r="A3105" s="2">
        <v>43420</v>
      </c>
      <c r="B3105">
        <v>235.33</v>
      </c>
    </row>
    <row r="3106" spans="1:2" x14ac:dyDescent="0.25">
      <c r="A3106" s="2">
        <v>43421</v>
      </c>
      <c r="B3106">
        <v>235.33</v>
      </c>
    </row>
    <row r="3107" spans="1:2" x14ac:dyDescent="0.25">
      <c r="A3107" s="2">
        <v>43422</v>
      </c>
      <c r="B3107">
        <v>235.33</v>
      </c>
    </row>
    <row r="3108" spans="1:2" x14ac:dyDescent="0.25">
      <c r="A3108" s="2">
        <v>43423</v>
      </c>
      <c r="B3108">
        <v>229.77</v>
      </c>
    </row>
    <row r="3109" spans="1:2" x14ac:dyDescent="0.25">
      <c r="A3109" s="2">
        <v>43424</v>
      </c>
      <c r="B3109">
        <v>225.73</v>
      </c>
    </row>
    <row r="3110" spans="1:2" x14ac:dyDescent="0.25">
      <c r="A3110" s="2">
        <v>43425</v>
      </c>
      <c r="B3110">
        <v>226.67</v>
      </c>
    </row>
    <row r="3111" spans="1:2" x14ac:dyDescent="0.25">
      <c r="A3111" s="2">
        <v>43426</v>
      </c>
      <c r="B3111">
        <v>226.79</v>
      </c>
    </row>
    <row r="3112" spans="1:2" x14ac:dyDescent="0.25">
      <c r="A3112" s="2">
        <v>43427</v>
      </c>
      <c r="B3112">
        <v>226.33</v>
      </c>
    </row>
    <row r="3113" spans="1:2" x14ac:dyDescent="0.25">
      <c r="A3113" s="2">
        <v>43428</v>
      </c>
      <c r="B3113">
        <v>226.33</v>
      </c>
    </row>
    <row r="3114" spans="1:2" x14ac:dyDescent="0.25">
      <c r="A3114" s="2">
        <v>43429</v>
      </c>
      <c r="B3114">
        <v>226.33</v>
      </c>
    </row>
    <row r="3115" spans="1:2" x14ac:dyDescent="0.25">
      <c r="A3115" s="2">
        <v>43430</v>
      </c>
      <c r="B3115">
        <v>229.64</v>
      </c>
    </row>
    <row r="3116" spans="1:2" x14ac:dyDescent="0.25">
      <c r="A3116" s="2">
        <v>43431</v>
      </c>
      <c r="B3116">
        <v>231.11</v>
      </c>
    </row>
    <row r="3117" spans="1:2" x14ac:dyDescent="0.25">
      <c r="A3117" s="2">
        <v>43432</v>
      </c>
      <c r="B3117">
        <v>237.34</v>
      </c>
    </row>
    <row r="3118" spans="1:2" x14ac:dyDescent="0.25">
      <c r="A3118" s="2">
        <v>43433</v>
      </c>
      <c r="B3118">
        <v>234.74</v>
      </c>
    </row>
    <row r="3119" spans="1:2" x14ac:dyDescent="0.25">
      <c r="A3119" s="2">
        <v>43434</v>
      </c>
      <c r="B3119">
        <v>237.27</v>
      </c>
    </row>
    <row r="3120" spans="1:2" x14ac:dyDescent="0.25">
      <c r="A3120" s="2">
        <v>43435</v>
      </c>
      <c r="B3120">
        <v>237.27</v>
      </c>
    </row>
    <row r="3121" spans="1:2" x14ac:dyDescent="0.25">
      <c r="A3121" s="2">
        <v>43436</v>
      </c>
      <c r="B3121">
        <v>237.27</v>
      </c>
    </row>
    <row r="3122" spans="1:2" x14ac:dyDescent="0.25">
      <c r="A3122" s="2">
        <v>43437</v>
      </c>
      <c r="B3122">
        <v>240.44</v>
      </c>
    </row>
    <row r="3123" spans="1:2" x14ac:dyDescent="0.25">
      <c r="A3123" s="2">
        <v>43438</v>
      </c>
      <c r="B3123">
        <v>231.11</v>
      </c>
    </row>
    <row r="3124" spans="1:2" x14ac:dyDescent="0.25">
      <c r="A3124" s="2">
        <v>43439</v>
      </c>
      <c r="B3124">
        <v>232.23</v>
      </c>
    </row>
    <row r="3125" spans="1:2" x14ac:dyDescent="0.25">
      <c r="A3125" s="2">
        <v>43440</v>
      </c>
      <c r="B3125">
        <v>231.99</v>
      </c>
    </row>
    <row r="3126" spans="1:2" x14ac:dyDescent="0.25">
      <c r="A3126" s="2">
        <v>43441</v>
      </c>
      <c r="B3126">
        <v>226.22</v>
      </c>
    </row>
    <row r="3127" spans="1:2" x14ac:dyDescent="0.25">
      <c r="A3127" s="2">
        <v>43442</v>
      </c>
      <c r="B3127">
        <v>226.22</v>
      </c>
    </row>
    <row r="3128" spans="1:2" x14ac:dyDescent="0.25">
      <c r="A3128" s="2">
        <v>43443</v>
      </c>
      <c r="B3128">
        <v>226.22</v>
      </c>
    </row>
    <row r="3129" spans="1:2" x14ac:dyDescent="0.25">
      <c r="A3129" s="2">
        <v>43444</v>
      </c>
      <c r="B3129">
        <v>225.54</v>
      </c>
    </row>
    <row r="3130" spans="1:2" x14ac:dyDescent="0.25">
      <c r="A3130" s="2">
        <v>43445</v>
      </c>
      <c r="B3130">
        <v>226.38</v>
      </c>
    </row>
    <row r="3131" spans="1:2" x14ac:dyDescent="0.25">
      <c r="A3131" s="2">
        <v>43446</v>
      </c>
      <c r="B3131">
        <v>228.27</v>
      </c>
    </row>
    <row r="3132" spans="1:2" x14ac:dyDescent="0.25">
      <c r="A3132" s="2">
        <v>43447</v>
      </c>
      <c r="B3132">
        <v>227.75</v>
      </c>
    </row>
    <row r="3133" spans="1:2" x14ac:dyDescent="0.25">
      <c r="A3133" s="2">
        <v>43448</v>
      </c>
      <c r="B3133">
        <v>225.14</v>
      </c>
    </row>
    <row r="3134" spans="1:2" x14ac:dyDescent="0.25">
      <c r="A3134" s="2">
        <v>43449</v>
      </c>
      <c r="B3134">
        <v>225.14</v>
      </c>
    </row>
    <row r="3135" spans="1:2" x14ac:dyDescent="0.25">
      <c r="A3135" s="2">
        <v>43450</v>
      </c>
      <c r="B3135">
        <v>225.14</v>
      </c>
    </row>
    <row r="3136" spans="1:2" x14ac:dyDescent="0.25">
      <c r="A3136" s="2">
        <v>43451</v>
      </c>
      <c r="B3136">
        <v>219.39</v>
      </c>
    </row>
    <row r="3137" spans="1:2" x14ac:dyDescent="0.25">
      <c r="A3137" s="2">
        <v>43452</v>
      </c>
      <c r="B3137">
        <v>218.71</v>
      </c>
    </row>
    <row r="3138" spans="1:2" x14ac:dyDescent="0.25">
      <c r="A3138" s="2">
        <v>43453</v>
      </c>
      <c r="B3138">
        <v>214.84</v>
      </c>
    </row>
    <row r="3139" spans="1:2" x14ac:dyDescent="0.25">
      <c r="A3139" s="2">
        <v>43454</v>
      </c>
      <c r="B3139">
        <v>210.62</v>
      </c>
    </row>
    <row r="3140" spans="1:2" x14ac:dyDescent="0.25">
      <c r="A3140" s="2">
        <v>43455</v>
      </c>
      <c r="B3140">
        <v>206.94</v>
      </c>
    </row>
    <row r="3141" spans="1:2" x14ac:dyDescent="0.25">
      <c r="A3141" s="2">
        <v>43456</v>
      </c>
      <c r="B3141">
        <v>206.94</v>
      </c>
    </row>
    <row r="3142" spans="1:2" x14ac:dyDescent="0.25">
      <c r="A3142" s="2">
        <v>43457</v>
      </c>
      <c r="B3142">
        <v>206.94</v>
      </c>
    </row>
    <row r="3143" spans="1:2" x14ac:dyDescent="0.25">
      <c r="A3143" s="2">
        <v>43458</v>
      </c>
      <c r="B3143">
        <v>201.45</v>
      </c>
    </row>
    <row r="3144" spans="1:2" x14ac:dyDescent="0.25">
      <c r="A3144" s="2">
        <v>43459</v>
      </c>
      <c r="B3144">
        <v>201.45</v>
      </c>
    </row>
    <row r="3145" spans="1:2" x14ac:dyDescent="0.25">
      <c r="A3145" s="2">
        <v>43460</v>
      </c>
      <c r="B3145">
        <v>201.45</v>
      </c>
    </row>
    <row r="3146" spans="1:2" x14ac:dyDescent="0.25">
      <c r="A3146" s="2">
        <v>43461</v>
      </c>
      <c r="B3146">
        <v>213.85</v>
      </c>
    </row>
    <row r="3147" spans="1:2" x14ac:dyDescent="0.25">
      <c r="A3147" s="2">
        <v>43462</v>
      </c>
      <c r="B3147">
        <v>212.18</v>
      </c>
    </row>
    <row r="3148" spans="1:2" x14ac:dyDescent="0.25">
      <c r="A3148" s="2">
        <v>43463</v>
      </c>
      <c r="B3148">
        <v>212.18</v>
      </c>
    </row>
    <row r="3149" spans="1:2" x14ac:dyDescent="0.25">
      <c r="A3149" s="2">
        <v>43464</v>
      </c>
      <c r="B3149">
        <v>212.18</v>
      </c>
    </row>
    <row r="3150" spans="1:2" x14ac:dyDescent="0.25">
      <c r="A3150" s="2">
        <v>43465</v>
      </c>
      <c r="B3150">
        <v>214.08</v>
      </c>
    </row>
    <row r="3151" spans="1:2" x14ac:dyDescent="0.25">
      <c r="A3151" s="2">
        <v>43466</v>
      </c>
      <c r="B3151">
        <v>214.08</v>
      </c>
    </row>
    <row r="3152" spans="1:2" x14ac:dyDescent="0.25">
      <c r="A3152" s="2">
        <v>43467</v>
      </c>
      <c r="B3152">
        <v>215.35</v>
      </c>
    </row>
    <row r="3153" spans="1:2" x14ac:dyDescent="0.25">
      <c r="A3153" s="2">
        <v>43468</v>
      </c>
      <c r="B3153">
        <v>210.97</v>
      </c>
    </row>
    <row r="3154" spans="1:2" x14ac:dyDescent="0.25">
      <c r="A3154" s="2">
        <v>43469</v>
      </c>
      <c r="B3154">
        <v>217.16</v>
      </c>
    </row>
    <row r="3155" spans="1:2" x14ac:dyDescent="0.25">
      <c r="A3155" s="2">
        <v>43470</v>
      </c>
      <c r="B3155">
        <v>217.16</v>
      </c>
    </row>
    <row r="3156" spans="1:2" x14ac:dyDescent="0.25">
      <c r="A3156" s="2">
        <v>43471</v>
      </c>
      <c r="B3156">
        <v>217.16</v>
      </c>
    </row>
    <row r="3157" spans="1:2" x14ac:dyDescent="0.25">
      <c r="A3157" s="2">
        <v>43472</v>
      </c>
      <c r="B3157">
        <v>217.88</v>
      </c>
    </row>
    <row r="3158" spans="1:2" x14ac:dyDescent="0.25">
      <c r="A3158" s="2">
        <v>43473</v>
      </c>
      <c r="B3158">
        <v>220.09</v>
      </c>
    </row>
    <row r="3159" spans="1:2" x14ac:dyDescent="0.25">
      <c r="A3159" s="2">
        <v>43474</v>
      </c>
      <c r="B3159">
        <v>220.76</v>
      </c>
    </row>
    <row r="3160" spans="1:2" x14ac:dyDescent="0.25">
      <c r="A3160" s="2">
        <v>43475</v>
      </c>
      <c r="B3160">
        <v>220.22</v>
      </c>
    </row>
    <row r="3161" spans="1:2" x14ac:dyDescent="0.25">
      <c r="A3161" s="2">
        <v>43476</v>
      </c>
      <c r="B3161">
        <v>220.23</v>
      </c>
    </row>
    <row r="3162" spans="1:2" x14ac:dyDescent="0.25">
      <c r="A3162" s="2">
        <v>43477</v>
      </c>
      <c r="B3162">
        <v>220.23</v>
      </c>
    </row>
    <row r="3163" spans="1:2" x14ac:dyDescent="0.25">
      <c r="A3163" s="2">
        <v>43478</v>
      </c>
      <c r="B3163">
        <v>220.23</v>
      </c>
    </row>
    <row r="3164" spans="1:2" x14ac:dyDescent="0.25">
      <c r="A3164" s="2">
        <v>43479</v>
      </c>
      <c r="B3164">
        <v>220.35</v>
      </c>
    </row>
    <row r="3165" spans="1:2" x14ac:dyDescent="0.25">
      <c r="A3165" s="2">
        <v>43480</v>
      </c>
      <c r="B3165">
        <v>223.56</v>
      </c>
    </row>
    <row r="3166" spans="1:2" x14ac:dyDescent="0.25">
      <c r="A3166" s="2">
        <v>43481</v>
      </c>
      <c r="B3166">
        <v>224.74</v>
      </c>
    </row>
    <row r="3167" spans="1:2" x14ac:dyDescent="0.25">
      <c r="A3167" s="2">
        <v>43482</v>
      </c>
      <c r="B3167">
        <v>226.33</v>
      </c>
    </row>
    <row r="3168" spans="1:2" x14ac:dyDescent="0.25">
      <c r="A3168" s="2">
        <v>43483</v>
      </c>
      <c r="B3168">
        <v>229.2</v>
      </c>
    </row>
    <row r="3169" spans="1:2" x14ac:dyDescent="0.25">
      <c r="A3169" s="2">
        <v>43484</v>
      </c>
      <c r="B3169">
        <v>229.2</v>
      </c>
    </row>
    <row r="3170" spans="1:2" x14ac:dyDescent="0.25">
      <c r="A3170" s="2">
        <v>43485</v>
      </c>
      <c r="B3170">
        <v>229.2</v>
      </c>
    </row>
    <row r="3171" spans="1:2" x14ac:dyDescent="0.25">
      <c r="A3171" s="2">
        <v>43486</v>
      </c>
      <c r="B3171">
        <v>230</v>
      </c>
    </row>
    <row r="3172" spans="1:2" x14ac:dyDescent="0.25">
      <c r="A3172" s="2">
        <v>43487</v>
      </c>
      <c r="B3172">
        <v>226.92</v>
      </c>
    </row>
    <row r="3173" spans="1:2" x14ac:dyDescent="0.25">
      <c r="A3173" s="2">
        <v>43488</v>
      </c>
      <c r="B3173">
        <v>227.16</v>
      </c>
    </row>
    <row r="3174" spans="1:2" x14ac:dyDescent="0.25">
      <c r="A3174" s="2">
        <v>43489</v>
      </c>
      <c r="B3174">
        <v>228</v>
      </c>
    </row>
    <row r="3175" spans="1:2" x14ac:dyDescent="0.25">
      <c r="A3175" s="2">
        <v>43490</v>
      </c>
      <c r="B3175">
        <v>229.83</v>
      </c>
    </row>
    <row r="3176" spans="1:2" x14ac:dyDescent="0.25">
      <c r="A3176" s="2">
        <v>43491</v>
      </c>
      <c r="B3176">
        <v>229.83</v>
      </c>
    </row>
    <row r="3177" spans="1:2" x14ac:dyDescent="0.25">
      <c r="A3177" s="2">
        <v>43492</v>
      </c>
      <c r="B3177">
        <v>229.83</v>
      </c>
    </row>
    <row r="3178" spans="1:2" x14ac:dyDescent="0.25">
      <c r="A3178" s="2">
        <v>43493</v>
      </c>
      <c r="B3178">
        <v>226.59</v>
      </c>
    </row>
    <row r="3179" spans="1:2" x14ac:dyDescent="0.25">
      <c r="A3179" s="2">
        <v>43494</v>
      </c>
      <c r="B3179">
        <v>226.19</v>
      </c>
    </row>
    <row r="3180" spans="1:2" x14ac:dyDescent="0.25">
      <c r="A3180" s="2">
        <v>43495</v>
      </c>
      <c r="B3180">
        <v>229.58</v>
      </c>
    </row>
    <row r="3181" spans="1:2" x14ac:dyDescent="0.25">
      <c r="A3181" s="2">
        <v>43496</v>
      </c>
      <c r="B3181">
        <v>230.41</v>
      </c>
    </row>
    <row r="3182" spans="1:2" x14ac:dyDescent="0.25">
      <c r="A3182" s="2">
        <v>43497</v>
      </c>
      <c r="B3182">
        <v>230.98</v>
      </c>
    </row>
    <row r="3183" spans="1:2" x14ac:dyDescent="0.25">
      <c r="A3183" s="2">
        <v>43498</v>
      </c>
      <c r="B3183">
        <v>230.98</v>
      </c>
    </row>
    <row r="3184" spans="1:2" x14ac:dyDescent="0.25">
      <c r="A3184" s="2">
        <v>43499</v>
      </c>
      <c r="B3184">
        <v>230.98</v>
      </c>
    </row>
    <row r="3185" spans="1:2" x14ac:dyDescent="0.25">
      <c r="A3185" s="2">
        <v>43500</v>
      </c>
      <c r="B3185">
        <v>233.08</v>
      </c>
    </row>
    <row r="3186" spans="1:2" x14ac:dyDescent="0.25">
      <c r="A3186" s="2">
        <v>43501</v>
      </c>
      <c r="B3186">
        <v>234.63</v>
      </c>
    </row>
    <row r="3187" spans="1:2" x14ac:dyDescent="0.25">
      <c r="A3187" s="2">
        <v>43502</v>
      </c>
      <c r="B3187">
        <v>234.72</v>
      </c>
    </row>
    <row r="3188" spans="1:2" x14ac:dyDescent="0.25">
      <c r="A3188" s="2">
        <v>43503</v>
      </c>
      <c r="B3188">
        <v>233.56</v>
      </c>
    </row>
    <row r="3189" spans="1:2" x14ac:dyDescent="0.25">
      <c r="A3189" s="2">
        <v>43504</v>
      </c>
      <c r="B3189">
        <v>233.76</v>
      </c>
    </row>
    <row r="3190" spans="1:2" x14ac:dyDescent="0.25">
      <c r="A3190" s="2">
        <v>43505</v>
      </c>
      <c r="B3190">
        <v>233.76</v>
      </c>
    </row>
    <row r="3191" spans="1:2" x14ac:dyDescent="0.25">
      <c r="A3191" s="2">
        <v>43506</v>
      </c>
      <c r="B3191">
        <v>233.76</v>
      </c>
    </row>
    <row r="3192" spans="1:2" x14ac:dyDescent="0.25">
      <c r="A3192" s="2">
        <v>43507</v>
      </c>
      <c r="B3192">
        <v>234.69</v>
      </c>
    </row>
    <row r="3193" spans="1:2" x14ac:dyDescent="0.25">
      <c r="A3193" s="2">
        <v>43508</v>
      </c>
      <c r="B3193">
        <v>238</v>
      </c>
    </row>
    <row r="3194" spans="1:2" x14ac:dyDescent="0.25">
      <c r="A3194" s="2">
        <v>43509</v>
      </c>
      <c r="B3194">
        <v>238.55</v>
      </c>
    </row>
    <row r="3195" spans="1:2" x14ac:dyDescent="0.25">
      <c r="A3195" s="2">
        <v>43510</v>
      </c>
      <c r="B3195">
        <v>238.76</v>
      </c>
    </row>
    <row r="3196" spans="1:2" x14ac:dyDescent="0.25">
      <c r="A3196" s="2">
        <v>43511</v>
      </c>
      <c r="B3196">
        <v>241.55</v>
      </c>
    </row>
    <row r="3197" spans="1:2" x14ac:dyDescent="0.25">
      <c r="A3197" s="2">
        <v>43512</v>
      </c>
      <c r="B3197">
        <v>241.55</v>
      </c>
    </row>
    <row r="3198" spans="1:2" x14ac:dyDescent="0.25">
      <c r="A3198" s="2">
        <v>43513</v>
      </c>
      <c r="B3198">
        <v>241.55</v>
      </c>
    </row>
    <row r="3199" spans="1:2" x14ac:dyDescent="0.25">
      <c r="A3199" s="2">
        <v>43514</v>
      </c>
      <c r="B3199">
        <v>240.1</v>
      </c>
    </row>
    <row r="3200" spans="1:2" x14ac:dyDescent="0.25">
      <c r="A3200" s="2">
        <v>43515</v>
      </c>
      <c r="B3200">
        <v>241.2</v>
      </c>
    </row>
    <row r="3201" spans="1:2" x14ac:dyDescent="0.25">
      <c r="A3201" s="2">
        <v>43516</v>
      </c>
      <c r="B3201">
        <v>240.65</v>
      </c>
    </row>
    <row r="3202" spans="1:2" x14ac:dyDescent="0.25">
      <c r="A3202" s="2">
        <v>43517</v>
      </c>
      <c r="B3202">
        <v>239.56</v>
      </c>
    </row>
    <row r="3203" spans="1:2" x14ac:dyDescent="0.25">
      <c r="A3203" s="2">
        <v>43518</v>
      </c>
      <c r="B3203">
        <v>241.72</v>
      </c>
    </row>
    <row r="3204" spans="1:2" x14ac:dyDescent="0.25">
      <c r="A3204" s="2">
        <v>43519</v>
      </c>
      <c r="B3204">
        <v>241.72</v>
      </c>
    </row>
    <row r="3205" spans="1:2" x14ac:dyDescent="0.25">
      <c r="A3205" s="2">
        <v>43520</v>
      </c>
      <c r="B3205">
        <v>241.72</v>
      </c>
    </row>
    <row r="3206" spans="1:2" x14ac:dyDescent="0.25">
      <c r="A3206" s="2">
        <v>43521</v>
      </c>
      <c r="B3206">
        <v>241.4</v>
      </c>
    </row>
    <row r="3207" spans="1:2" x14ac:dyDescent="0.25">
      <c r="A3207" s="2">
        <v>43522</v>
      </c>
      <c r="B3207">
        <v>241.09</v>
      </c>
    </row>
    <row r="3208" spans="1:2" x14ac:dyDescent="0.25">
      <c r="A3208" s="2">
        <v>43523</v>
      </c>
      <c r="B3208">
        <v>240.46</v>
      </c>
    </row>
    <row r="3209" spans="1:2" x14ac:dyDescent="0.25">
      <c r="A3209" s="2">
        <v>43524</v>
      </c>
      <c r="B3209">
        <v>239.21</v>
      </c>
    </row>
    <row r="3210" spans="1:2" x14ac:dyDescent="0.25">
      <c r="A3210" s="2">
        <v>43525</v>
      </c>
      <c r="B3210">
        <v>241.57</v>
      </c>
    </row>
    <row r="3211" spans="1:2" x14ac:dyDescent="0.25">
      <c r="A3211" s="2">
        <v>43526</v>
      </c>
      <c r="B3211">
        <v>241.57</v>
      </c>
    </row>
    <row r="3212" spans="1:2" x14ac:dyDescent="0.25">
      <c r="A3212" s="2">
        <v>43527</v>
      </c>
      <c r="B3212">
        <v>241.57</v>
      </c>
    </row>
    <row r="3213" spans="1:2" x14ac:dyDescent="0.25">
      <c r="A3213" s="2">
        <v>43528</v>
      </c>
      <c r="B3213">
        <v>241.61</v>
      </c>
    </row>
    <row r="3214" spans="1:2" x14ac:dyDescent="0.25">
      <c r="A3214" s="2">
        <v>43529</v>
      </c>
      <c r="B3214">
        <v>241.51</v>
      </c>
    </row>
    <row r="3215" spans="1:2" x14ac:dyDescent="0.25">
      <c r="A3215" s="2">
        <v>43530</v>
      </c>
      <c r="B3215">
        <v>240.46</v>
      </c>
    </row>
    <row r="3216" spans="1:2" x14ac:dyDescent="0.25">
      <c r="A3216" s="2">
        <v>43531</v>
      </c>
      <c r="B3216">
        <v>239.27</v>
      </c>
    </row>
    <row r="3217" spans="1:2" x14ac:dyDescent="0.25">
      <c r="A3217" s="2">
        <v>43532</v>
      </c>
      <c r="B3217">
        <v>239.82</v>
      </c>
    </row>
    <row r="3218" spans="1:2" x14ac:dyDescent="0.25">
      <c r="A3218" s="2">
        <v>43533</v>
      </c>
      <c r="B3218">
        <v>239.82</v>
      </c>
    </row>
    <row r="3219" spans="1:2" x14ac:dyDescent="0.25">
      <c r="A3219" s="2">
        <v>43534</v>
      </c>
      <c r="B3219">
        <v>239.82</v>
      </c>
    </row>
    <row r="3220" spans="1:2" x14ac:dyDescent="0.25">
      <c r="A3220" s="2">
        <v>43535</v>
      </c>
      <c r="B3220">
        <v>242.86</v>
      </c>
    </row>
    <row r="3221" spans="1:2" x14ac:dyDescent="0.25">
      <c r="A3221" s="2">
        <v>43536</v>
      </c>
      <c r="B3221">
        <v>242.92</v>
      </c>
    </row>
    <row r="3222" spans="1:2" x14ac:dyDescent="0.25">
      <c r="A3222" s="2">
        <v>43537</v>
      </c>
      <c r="B3222">
        <v>244.01</v>
      </c>
    </row>
    <row r="3223" spans="1:2" x14ac:dyDescent="0.25">
      <c r="A3223" s="2">
        <v>43538</v>
      </c>
      <c r="B3223">
        <v>244.05</v>
      </c>
    </row>
    <row r="3224" spans="1:2" x14ac:dyDescent="0.25">
      <c r="A3224" s="2">
        <v>43539</v>
      </c>
      <c r="B3224">
        <v>244.99</v>
      </c>
    </row>
    <row r="3225" spans="1:2" x14ac:dyDescent="0.25">
      <c r="A3225" s="2">
        <v>43540</v>
      </c>
      <c r="B3225">
        <v>244.99</v>
      </c>
    </row>
    <row r="3226" spans="1:2" x14ac:dyDescent="0.25">
      <c r="A3226" s="2">
        <v>43541</v>
      </c>
      <c r="B3226">
        <v>244.99</v>
      </c>
    </row>
    <row r="3227" spans="1:2" x14ac:dyDescent="0.25">
      <c r="A3227" s="2">
        <v>43542</v>
      </c>
      <c r="B3227">
        <v>245.01</v>
      </c>
    </row>
    <row r="3228" spans="1:2" x14ac:dyDescent="0.25">
      <c r="A3228" s="2">
        <v>43543</v>
      </c>
      <c r="B3228">
        <v>244.8</v>
      </c>
    </row>
    <row r="3229" spans="1:2" x14ac:dyDescent="0.25">
      <c r="A3229" s="2">
        <v>43544</v>
      </c>
      <c r="B3229">
        <v>244.17</v>
      </c>
    </row>
    <row r="3230" spans="1:2" x14ac:dyDescent="0.25">
      <c r="A3230" s="2">
        <v>43545</v>
      </c>
      <c r="B3230">
        <v>246.11</v>
      </c>
    </row>
    <row r="3231" spans="1:2" x14ac:dyDescent="0.25">
      <c r="A3231" s="2">
        <v>43546</v>
      </c>
      <c r="B3231">
        <v>243.28</v>
      </c>
    </row>
    <row r="3232" spans="1:2" x14ac:dyDescent="0.25">
      <c r="A3232" s="2">
        <v>43547</v>
      </c>
      <c r="B3232">
        <v>243.28</v>
      </c>
    </row>
    <row r="3233" spans="1:2" x14ac:dyDescent="0.25">
      <c r="A3233" s="2">
        <v>43548</v>
      </c>
      <c r="B3233">
        <v>243.28</v>
      </c>
    </row>
    <row r="3234" spans="1:2" x14ac:dyDescent="0.25">
      <c r="A3234" s="2">
        <v>43549</v>
      </c>
      <c r="B3234">
        <v>242.6</v>
      </c>
    </row>
    <row r="3235" spans="1:2" x14ac:dyDescent="0.25">
      <c r="A3235" s="2">
        <v>43550</v>
      </c>
      <c r="B3235">
        <v>245.07</v>
      </c>
    </row>
    <row r="3236" spans="1:2" x14ac:dyDescent="0.25">
      <c r="A3236" s="2">
        <v>43551</v>
      </c>
      <c r="B3236">
        <v>244.57</v>
      </c>
    </row>
    <row r="3237" spans="1:2" x14ac:dyDescent="0.25">
      <c r="A3237" s="2">
        <v>43552</v>
      </c>
      <c r="B3237">
        <v>246.43</v>
      </c>
    </row>
    <row r="3238" spans="1:2" x14ac:dyDescent="0.25">
      <c r="A3238" s="2">
        <v>43553</v>
      </c>
      <c r="B3238">
        <v>247.72</v>
      </c>
    </row>
    <row r="3239" spans="1:2" x14ac:dyDescent="0.25">
      <c r="A3239" s="2">
        <v>43554</v>
      </c>
      <c r="B3239">
        <v>247.72</v>
      </c>
    </row>
    <row r="3240" spans="1:2" x14ac:dyDescent="0.25">
      <c r="A3240" s="2">
        <v>43555</v>
      </c>
      <c r="B3240">
        <v>247.72</v>
      </c>
    </row>
    <row r="3241" spans="1:2" x14ac:dyDescent="0.25">
      <c r="A3241" s="2">
        <v>43556</v>
      </c>
      <c r="B3241">
        <v>250.56</v>
      </c>
    </row>
    <row r="3242" spans="1:2" x14ac:dyDescent="0.25">
      <c r="A3242" s="2">
        <v>43557</v>
      </c>
      <c r="B3242">
        <v>251.38</v>
      </c>
    </row>
    <row r="3243" spans="1:2" x14ac:dyDescent="0.25">
      <c r="A3243" s="2">
        <v>43558</v>
      </c>
      <c r="B3243">
        <v>250.96</v>
      </c>
    </row>
    <row r="3244" spans="1:2" x14ac:dyDescent="0.25">
      <c r="A3244" s="2">
        <v>43559</v>
      </c>
      <c r="B3244">
        <v>252.06</v>
      </c>
    </row>
    <row r="3245" spans="1:2" x14ac:dyDescent="0.25">
      <c r="A3245" s="2">
        <v>43560</v>
      </c>
      <c r="B3245">
        <v>252.92</v>
      </c>
    </row>
    <row r="3246" spans="1:2" x14ac:dyDescent="0.25">
      <c r="A3246" s="2">
        <v>43561</v>
      </c>
      <c r="B3246">
        <v>252.92</v>
      </c>
    </row>
    <row r="3247" spans="1:2" x14ac:dyDescent="0.25">
      <c r="A3247" s="2">
        <v>43562</v>
      </c>
      <c r="B3247">
        <v>252.92</v>
      </c>
    </row>
    <row r="3248" spans="1:2" x14ac:dyDescent="0.25">
      <c r="A3248" s="2">
        <v>43563</v>
      </c>
      <c r="B3248">
        <v>252.89</v>
      </c>
    </row>
    <row r="3249" spans="1:2" x14ac:dyDescent="0.25">
      <c r="A3249" s="2">
        <v>43564</v>
      </c>
      <c r="B3249">
        <v>250.73</v>
      </c>
    </row>
    <row r="3250" spans="1:2" x14ac:dyDescent="0.25">
      <c r="A3250" s="2">
        <v>43565</v>
      </c>
      <c r="B3250">
        <v>251.58</v>
      </c>
    </row>
    <row r="3251" spans="1:2" x14ac:dyDescent="0.25">
      <c r="A3251" s="2">
        <v>43566</v>
      </c>
      <c r="B3251">
        <v>251.93</v>
      </c>
    </row>
    <row r="3252" spans="1:2" x14ac:dyDescent="0.25">
      <c r="A3252" s="2">
        <v>43567</v>
      </c>
      <c r="B3252">
        <v>252.34</v>
      </c>
    </row>
    <row r="3253" spans="1:2" x14ac:dyDescent="0.25">
      <c r="A3253" s="2">
        <v>43568</v>
      </c>
      <c r="B3253">
        <v>252.34</v>
      </c>
    </row>
    <row r="3254" spans="1:2" x14ac:dyDescent="0.25">
      <c r="A3254" s="2">
        <v>43569</v>
      </c>
      <c r="B3254">
        <v>252.34</v>
      </c>
    </row>
    <row r="3255" spans="1:2" x14ac:dyDescent="0.25">
      <c r="A3255" s="2">
        <v>43570</v>
      </c>
      <c r="B3255">
        <v>252.36</v>
      </c>
    </row>
    <row r="3256" spans="1:2" x14ac:dyDescent="0.25">
      <c r="A3256" s="2">
        <v>43571</v>
      </c>
      <c r="B3256">
        <v>252.67</v>
      </c>
    </row>
    <row r="3257" spans="1:2" x14ac:dyDescent="0.25">
      <c r="A3257" s="2">
        <v>43572</v>
      </c>
      <c r="B3257">
        <v>252.2</v>
      </c>
    </row>
    <row r="3258" spans="1:2" x14ac:dyDescent="0.25">
      <c r="A3258" s="2">
        <v>43573</v>
      </c>
      <c r="B3258">
        <v>253.75</v>
      </c>
    </row>
    <row r="3259" spans="1:2" x14ac:dyDescent="0.25">
      <c r="A3259" s="2">
        <v>43574</v>
      </c>
      <c r="B3259">
        <v>253.75</v>
      </c>
    </row>
    <row r="3260" spans="1:2" x14ac:dyDescent="0.25">
      <c r="A3260" s="2">
        <v>43575</v>
      </c>
      <c r="B3260">
        <v>253.75</v>
      </c>
    </row>
    <row r="3261" spans="1:2" x14ac:dyDescent="0.25">
      <c r="A3261" s="2">
        <v>43576</v>
      </c>
      <c r="B3261">
        <v>253.75</v>
      </c>
    </row>
    <row r="3262" spans="1:2" x14ac:dyDescent="0.25">
      <c r="A3262" s="2">
        <v>43577</v>
      </c>
      <c r="B3262">
        <v>253.75</v>
      </c>
    </row>
    <row r="3263" spans="1:2" x14ac:dyDescent="0.25">
      <c r="A3263" s="2">
        <v>43578</v>
      </c>
      <c r="B3263">
        <v>256.38</v>
      </c>
    </row>
    <row r="3264" spans="1:2" x14ac:dyDescent="0.25">
      <c r="A3264" s="2">
        <v>43579</v>
      </c>
      <c r="B3264">
        <v>256.64</v>
      </c>
    </row>
    <row r="3265" spans="1:2" x14ac:dyDescent="0.25">
      <c r="A3265" s="2">
        <v>43580</v>
      </c>
      <c r="B3265">
        <v>258.52999999999997</v>
      </c>
    </row>
    <row r="3266" spans="1:2" x14ac:dyDescent="0.25">
      <c r="A3266" s="2">
        <v>43581</v>
      </c>
      <c r="B3266">
        <v>259.51</v>
      </c>
    </row>
    <row r="3267" spans="1:2" x14ac:dyDescent="0.25">
      <c r="A3267" s="2">
        <v>43582</v>
      </c>
      <c r="B3267">
        <v>259.51</v>
      </c>
    </row>
    <row r="3268" spans="1:2" x14ac:dyDescent="0.25">
      <c r="A3268" s="2">
        <v>43583</v>
      </c>
      <c r="B3268">
        <v>259.51</v>
      </c>
    </row>
    <row r="3269" spans="1:2" x14ac:dyDescent="0.25">
      <c r="A3269" s="2">
        <v>43584</v>
      </c>
      <c r="B3269">
        <v>259.39999999999998</v>
      </c>
    </row>
    <row r="3270" spans="1:2" x14ac:dyDescent="0.25">
      <c r="A3270" s="2">
        <v>43585</v>
      </c>
      <c r="B3270">
        <v>258.08999999999997</v>
      </c>
    </row>
    <row r="3271" spans="1:2" x14ac:dyDescent="0.25">
      <c r="A3271" s="2">
        <v>43586</v>
      </c>
      <c r="B3271">
        <v>256.14999999999998</v>
      </c>
    </row>
    <row r="3272" spans="1:2" x14ac:dyDescent="0.25">
      <c r="A3272" s="2">
        <v>43587</v>
      </c>
      <c r="B3272">
        <v>255.74</v>
      </c>
    </row>
    <row r="3273" spans="1:2" x14ac:dyDescent="0.25">
      <c r="A3273" s="2">
        <v>43588</v>
      </c>
      <c r="B3273">
        <v>259.55</v>
      </c>
    </row>
    <row r="3274" spans="1:2" x14ac:dyDescent="0.25">
      <c r="A3274" s="2">
        <v>43589</v>
      </c>
      <c r="B3274">
        <v>259.55</v>
      </c>
    </row>
    <row r="3275" spans="1:2" x14ac:dyDescent="0.25">
      <c r="A3275" s="2">
        <v>43590</v>
      </c>
      <c r="B3275">
        <v>259.55</v>
      </c>
    </row>
    <row r="3276" spans="1:2" x14ac:dyDescent="0.25">
      <c r="A3276" s="2">
        <v>43591</v>
      </c>
      <c r="B3276">
        <v>256.60000000000002</v>
      </c>
    </row>
    <row r="3277" spans="1:2" x14ac:dyDescent="0.25">
      <c r="A3277" s="2">
        <v>43592</v>
      </c>
      <c r="B3277">
        <v>253.46</v>
      </c>
    </row>
    <row r="3278" spans="1:2" x14ac:dyDescent="0.25">
      <c r="A3278" s="2">
        <v>43593</v>
      </c>
      <c r="B3278">
        <v>252.68</v>
      </c>
    </row>
    <row r="3279" spans="1:2" x14ac:dyDescent="0.25">
      <c r="A3279" s="2">
        <v>43594</v>
      </c>
      <c r="B3279">
        <v>252.19</v>
      </c>
    </row>
    <row r="3280" spans="1:2" x14ac:dyDescent="0.25">
      <c r="A3280" s="2">
        <v>43595</v>
      </c>
      <c r="B3280">
        <v>252.37</v>
      </c>
    </row>
    <row r="3281" spans="1:2" x14ac:dyDescent="0.25">
      <c r="A3281" s="2">
        <v>43596</v>
      </c>
      <c r="B3281">
        <v>252.37</v>
      </c>
    </row>
    <row r="3282" spans="1:2" x14ac:dyDescent="0.25">
      <c r="A3282" s="2">
        <v>43597</v>
      </c>
      <c r="B3282">
        <v>252.37</v>
      </c>
    </row>
    <row r="3283" spans="1:2" x14ac:dyDescent="0.25">
      <c r="A3283" s="2">
        <v>43598</v>
      </c>
      <c r="B3283">
        <v>245.96</v>
      </c>
    </row>
    <row r="3284" spans="1:2" x14ac:dyDescent="0.25">
      <c r="A3284" s="2">
        <v>43599</v>
      </c>
      <c r="B3284">
        <v>248.37</v>
      </c>
    </row>
    <row r="3285" spans="1:2" x14ac:dyDescent="0.25">
      <c r="A3285" s="2">
        <v>43600</v>
      </c>
      <c r="B3285">
        <v>250.83</v>
      </c>
    </row>
    <row r="3286" spans="1:2" x14ac:dyDescent="0.25">
      <c r="A3286" s="2">
        <v>43601</v>
      </c>
      <c r="B3286">
        <v>252.66</v>
      </c>
    </row>
    <row r="3287" spans="1:2" x14ac:dyDescent="0.25">
      <c r="A3287" s="2">
        <v>43602</v>
      </c>
      <c r="B3287">
        <v>251.91</v>
      </c>
    </row>
    <row r="3288" spans="1:2" x14ac:dyDescent="0.25">
      <c r="A3288" s="2">
        <v>43603</v>
      </c>
      <c r="B3288">
        <v>251.91</v>
      </c>
    </row>
    <row r="3289" spans="1:2" x14ac:dyDescent="0.25">
      <c r="A3289" s="2">
        <v>43604</v>
      </c>
      <c r="B3289">
        <v>251.91</v>
      </c>
    </row>
    <row r="3290" spans="1:2" x14ac:dyDescent="0.25">
      <c r="A3290" s="2">
        <v>43605</v>
      </c>
      <c r="B3290">
        <v>250.33</v>
      </c>
    </row>
    <row r="3291" spans="1:2" x14ac:dyDescent="0.25">
      <c r="A3291" s="2">
        <v>43606</v>
      </c>
      <c r="B3291">
        <v>252.59</v>
      </c>
    </row>
    <row r="3292" spans="1:2" x14ac:dyDescent="0.25">
      <c r="A3292" s="2">
        <v>43607</v>
      </c>
      <c r="B3292">
        <v>251.65</v>
      </c>
    </row>
    <row r="3293" spans="1:2" x14ac:dyDescent="0.25">
      <c r="A3293" s="2">
        <v>43608</v>
      </c>
      <c r="B3293">
        <v>249.39</v>
      </c>
    </row>
    <row r="3294" spans="1:2" x14ac:dyDescent="0.25">
      <c r="A3294" s="2">
        <v>43609</v>
      </c>
      <c r="B3294">
        <v>248.69</v>
      </c>
    </row>
    <row r="3295" spans="1:2" x14ac:dyDescent="0.25">
      <c r="A3295" s="2">
        <v>43610</v>
      </c>
      <c r="B3295">
        <v>248.69</v>
      </c>
    </row>
    <row r="3296" spans="1:2" x14ac:dyDescent="0.25">
      <c r="A3296" s="2">
        <v>43611</v>
      </c>
      <c r="B3296">
        <v>248.69</v>
      </c>
    </row>
    <row r="3297" spans="1:2" x14ac:dyDescent="0.25">
      <c r="A3297" s="2">
        <v>43612</v>
      </c>
      <c r="B3297">
        <v>248.83</v>
      </c>
    </row>
    <row r="3298" spans="1:2" x14ac:dyDescent="0.25">
      <c r="A3298" s="2">
        <v>43613</v>
      </c>
      <c r="B3298">
        <v>246.5</v>
      </c>
    </row>
    <row r="3299" spans="1:2" x14ac:dyDescent="0.25">
      <c r="A3299" s="2">
        <v>43614</v>
      </c>
      <c r="B3299">
        <v>245.59</v>
      </c>
    </row>
    <row r="3300" spans="1:2" x14ac:dyDescent="0.25">
      <c r="A3300" s="2">
        <v>43615</v>
      </c>
      <c r="B3300">
        <v>246.61</v>
      </c>
    </row>
    <row r="3301" spans="1:2" x14ac:dyDescent="0.25">
      <c r="A3301" s="2">
        <v>43616</v>
      </c>
      <c r="B3301">
        <v>243.04</v>
      </c>
    </row>
    <row r="3302" spans="1:2" x14ac:dyDescent="0.25">
      <c r="A3302" s="2">
        <v>43617</v>
      </c>
      <c r="B3302">
        <v>243.04</v>
      </c>
    </row>
    <row r="3303" spans="1:2" x14ac:dyDescent="0.25">
      <c r="A3303" s="2">
        <v>43618</v>
      </c>
      <c r="B3303">
        <v>243.04</v>
      </c>
    </row>
    <row r="3304" spans="1:2" x14ac:dyDescent="0.25">
      <c r="A3304" s="2">
        <v>43619</v>
      </c>
      <c r="B3304">
        <v>241.63</v>
      </c>
    </row>
    <row r="3305" spans="1:2" x14ac:dyDescent="0.25">
      <c r="A3305" s="2">
        <v>43620</v>
      </c>
      <c r="B3305">
        <v>245.52</v>
      </c>
    </row>
    <row r="3306" spans="1:2" x14ac:dyDescent="0.25">
      <c r="A3306" s="2">
        <v>43621</v>
      </c>
      <c r="B3306">
        <v>247.26</v>
      </c>
    </row>
    <row r="3307" spans="1:2" x14ac:dyDescent="0.25">
      <c r="A3307" s="2">
        <v>43622</v>
      </c>
      <c r="B3307">
        <v>248.64</v>
      </c>
    </row>
    <row r="3308" spans="1:2" x14ac:dyDescent="0.25">
      <c r="A3308" s="2">
        <v>43623</v>
      </c>
      <c r="B3308">
        <v>251.11</v>
      </c>
    </row>
    <row r="3309" spans="1:2" x14ac:dyDescent="0.25">
      <c r="A3309" s="2">
        <v>43624</v>
      </c>
      <c r="B3309">
        <v>251.11</v>
      </c>
    </row>
    <row r="3310" spans="1:2" x14ac:dyDescent="0.25">
      <c r="A3310" s="2">
        <v>43625</v>
      </c>
      <c r="B3310">
        <v>251.11</v>
      </c>
    </row>
    <row r="3311" spans="1:2" x14ac:dyDescent="0.25">
      <c r="A3311" s="2">
        <v>43626</v>
      </c>
      <c r="B3311">
        <v>251.66</v>
      </c>
    </row>
    <row r="3312" spans="1:2" x14ac:dyDescent="0.25">
      <c r="A3312" s="2">
        <v>43627</v>
      </c>
      <c r="B3312">
        <v>251.16</v>
      </c>
    </row>
    <row r="3313" spans="1:2" x14ac:dyDescent="0.25">
      <c r="A3313" s="2">
        <v>43628</v>
      </c>
      <c r="B3313">
        <v>250.58</v>
      </c>
    </row>
    <row r="3314" spans="1:2" x14ac:dyDescent="0.25">
      <c r="A3314" s="2">
        <v>43629</v>
      </c>
      <c r="B3314">
        <v>252.43</v>
      </c>
    </row>
    <row r="3315" spans="1:2" x14ac:dyDescent="0.25">
      <c r="A3315" s="2">
        <v>43630</v>
      </c>
      <c r="B3315">
        <v>252.59</v>
      </c>
    </row>
    <row r="3316" spans="1:2" x14ac:dyDescent="0.25">
      <c r="A3316" s="2">
        <v>43631</v>
      </c>
      <c r="B3316">
        <v>252.59</v>
      </c>
    </row>
    <row r="3317" spans="1:2" x14ac:dyDescent="0.25">
      <c r="A3317" s="2">
        <v>43632</v>
      </c>
      <c r="B3317">
        <v>252.59</v>
      </c>
    </row>
    <row r="3318" spans="1:2" x14ac:dyDescent="0.25">
      <c r="A3318" s="2">
        <v>43633</v>
      </c>
      <c r="B3318">
        <v>253.53</v>
      </c>
    </row>
    <row r="3319" spans="1:2" x14ac:dyDescent="0.25">
      <c r="A3319" s="2">
        <v>43634</v>
      </c>
      <c r="B3319">
        <v>257.07</v>
      </c>
    </row>
    <row r="3320" spans="1:2" x14ac:dyDescent="0.25">
      <c r="A3320" s="2">
        <v>43635</v>
      </c>
      <c r="B3320">
        <v>257.37</v>
      </c>
    </row>
    <row r="3321" spans="1:2" x14ac:dyDescent="0.25">
      <c r="A3321" s="2">
        <v>43636</v>
      </c>
      <c r="B3321">
        <v>257.54000000000002</v>
      </c>
    </row>
    <row r="3322" spans="1:2" x14ac:dyDescent="0.25">
      <c r="A3322" s="2">
        <v>43637</v>
      </c>
      <c r="B3322">
        <v>257.02</v>
      </c>
    </row>
    <row r="3323" spans="1:2" x14ac:dyDescent="0.25">
      <c r="A3323" s="2">
        <v>43638</v>
      </c>
      <c r="B3323">
        <v>257.02</v>
      </c>
    </row>
    <row r="3324" spans="1:2" x14ac:dyDescent="0.25">
      <c r="A3324" s="2">
        <v>43639</v>
      </c>
      <c r="B3324">
        <v>257.02</v>
      </c>
    </row>
    <row r="3325" spans="1:2" x14ac:dyDescent="0.25">
      <c r="A3325" s="2">
        <v>43640</v>
      </c>
      <c r="B3325">
        <v>254.82</v>
      </c>
    </row>
    <row r="3326" spans="1:2" x14ac:dyDescent="0.25">
      <c r="A3326" s="2">
        <v>43641</v>
      </c>
      <c r="B3326">
        <v>252.53</v>
      </c>
    </row>
    <row r="3327" spans="1:2" x14ac:dyDescent="0.25">
      <c r="A3327" s="2">
        <v>43642</v>
      </c>
      <c r="B3327">
        <v>252.8</v>
      </c>
    </row>
    <row r="3328" spans="1:2" x14ac:dyDescent="0.25">
      <c r="A3328" s="2">
        <v>43643</v>
      </c>
      <c r="B3328">
        <v>253.61</v>
      </c>
    </row>
    <row r="3329" spans="1:2" x14ac:dyDescent="0.25">
      <c r="A3329" s="2">
        <v>43644</v>
      </c>
      <c r="B3329">
        <v>254.86</v>
      </c>
    </row>
    <row r="3330" spans="1:2" x14ac:dyDescent="0.25">
      <c r="A3330" s="2">
        <v>43645</v>
      </c>
      <c r="B3330">
        <v>254.86</v>
      </c>
    </row>
    <row r="3331" spans="1:2" x14ac:dyDescent="0.25">
      <c r="A3331" s="2">
        <v>43646</v>
      </c>
      <c r="B3331">
        <v>254.86</v>
      </c>
    </row>
    <row r="3332" spans="1:2" x14ac:dyDescent="0.25">
      <c r="A3332" s="2">
        <v>43647</v>
      </c>
      <c r="B3332">
        <v>257.52</v>
      </c>
    </row>
    <row r="3333" spans="1:2" x14ac:dyDescent="0.25">
      <c r="A3333" s="2">
        <v>43648</v>
      </c>
      <c r="B3333">
        <v>259.38</v>
      </c>
    </row>
    <row r="3334" spans="1:2" x14ac:dyDescent="0.25">
      <c r="A3334" s="2">
        <v>43649</v>
      </c>
      <c r="B3334">
        <v>261.60000000000002</v>
      </c>
    </row>
    <row r="3335" spans="1:2" x14ac:dyDescent="0.25">
      <c r="A3335" s="2">
        <v>43650</v>
      </c>
      <c r="B3335">
        <v>262.19</v>
      </c>
    </row>
    <row r="3336" spans="1:2" x14ac:dyDescent="0.25">
      <c r="A3336" s="2">
        <v>43651</v>
      </c>
      <c r="B3336">
        <v>261.92</v>
      </c>
    </row>
    <row r="3337" spans="1:2" x14ac:dyDescent="0.25">
      <c r="A3337" s="2">
        <v>43652</v>
      </c>
      <c r="B3337">
        <v>261.92</v>
      </c>
    </row>
    <row r="3338" spans="1:2" x14ac:dyDescent="0.25">
      <c r="A3338" s="2">
        <v>43653</v>
      </c>
      <c r="B3338">
        <v>261.92</v>
      </c>
    </row>
    <row r="3339" spans="1:2" x14ac:dyDescent="0.25">
      <c r="A3339" s="2">
        <v>43654</v>
      </c>
      <c r="B3339">
        <v>261.7</v>
      </c>
    </row>
    <row r="3340" spans="1:2" x14ac:dyDescent="0.25">
      <c r="A3340" s="2">
        <v>43655</v>
      </c>
      <c r="B3340">
        <v>262.33</v>
      </c>
    </row>
    <row r="3341" spans="1:2" x14ac:dyDescent="0.25">
      <c r="A3341" s="2">
        <v>43656</v>
      </c>
      <c r="B3341">
        <v>263.16000000000003</v>
      </c>
    </row>
    <row r="3342" spans="1:2" x14ac:dyDescent="0.25">
      <c r="A3342" s="2">
        <v>43657</v>
      </c>
      <c r="B3342">
        <v>262.24</v>
      </c>
    </row>
    <row r="3343" spans="1:2" x14ac:dyDescent="0.25">
      <c r="A3343" s="2">
        <v>43658</v>
      </c>
      <c r="B3343">
        <v>264.23</v>
      </c>
    </row>
    <row r="3344" spans="1:2" x14ac:dyDescent="0.25">
      <c r="A3344" s="2">
        <v>43659</v>
      </c>
      <c r="B3344">
        <v>264.23</v>
      </c>
    </row>
    <row r="3345" spans="1:2" x14ac:dyDescent="0.25">
      <c r="A3345" s="2">
        <v>43660</v>
      </c>
      <c r="B3345">
        <v>264.23</v>
      </c>
    </row>
    <row r="3346" spans="1:2" x14ac:dyDescent="0.25">
      <c r="A3346" s="2">
        <v>43661</v>
      </c>
      <c r="B3346">
        <v>263.89999999999998</v>
      </c>
    </row>
    <row r="3347" spans="1:2" x14ac:dyDescent="0.25">
      <c r="A3347" s="2">
        <v>43662</v>
      </c>
      <c r="B3347">
        <v>264.08</v>
      </c>
    </row>
    <row r="3348" spans="1:2" x14ac:dyDescent="0.25">
      <c r="A3348" s="2">
        <v>43663</v>
      </c>
      <c r="B3348">
        <v>262.55</v>
      </c>
    </row>
    <row r="3349" spans="1:2" x14ac:dyDescent="0.25">
      <c r="A3349" s="2">
        <v>43664</v>
      </c>
      <c r="B3349">
        <v>263.49</v>
      </c>
    </row>
    <row r="3350" spans="1:2" x14ac:dyDescent="0.25">
      <c r="A3350" s="2">
        <v>43665</v>
      </c>
      <c r="B3350">
        <v>261.63</v>
      </c>
    </row>
    <row r="3351" spans="1:2" x14ac:dyDescent="0.25">
      <c r="A3351" s="2">
        <v>43666</v>
      </c>
      <c r="B3351">
        <v>261.63</v>
      </c>
    </row>
    <row r="3352" spans="1:2" x14ac:dyDescent="0.25">
      <c r="A3352" s="2">
        <v>43667</v>
      </c>
      <c r="B3352">
        <v>261.63</v>
      </c>
    </row>
    <row r="3353" spans="1:2" x14ac:dyDescent="0.25">
      <c r="A3353" s="2">
        <v>43668</v>
      </c>
      <c r="B3353">
        <v>262.64</v>
      </c>
    </row>
    <row r="3354" spans="1:2" x14ac:dyDescent="0.25">
      <c r="A3354" s="2">
        <v>43669</v>
      </c>
      <c r="B3354">
        <v>265.43</v>
      </c>
    </row>
    <row r="3355" spans="1:2" x14ac:dyDescent="0.25">
      <c r="A3355" s="2">
        <v>43670</v>
      </c>
      <c r="B3355">
        <v>267.48</v>
      </c>
    </row>
    <row r="3356" spans="1:2" x14ac:dyDescent="0.25">
      <c r="A3356" s="2">
        <v>43671</v>
      </c>
      <c r="B3356">
        <v>266.68</v>
      </c>
    </row>
    <row r="3357" spans="1:2" x14ac:dyDescent="0.25">
      <c r="A3357" s="2">
        <v>43672</v>
      </c>
      <c r="B3357">
        <v>268.08999999999997</v>
      </c>
    </row>
    <row r="3358" spans="1:2" x14ac:dyDescent="0.25">
      <c r="A3358" s="2">
        <v>43673</v>
      </c>
      <c r="B3358">
        <v>268.08999999999997</v>
      </c>
    </row>
    <row r="3359" spans="1:2" x14ac:dyDescent="0.25">
      <c r="A3359" s="2">
        <v>43674</v>
      </c>
      <c r="B3359">
        <v>268.08999999999997</v>
      </c>
    </row>
    <row r="3360" spans="1:2" x14ac:dyDescent="0.25">
      <c r="A3360" s="2">
        <v>43675</v>
      </c>
      <c r="B3360">
        <v>268.11</v>
      </c>
    </row>
    <row r="3361" spans="1:2" x14ac:dyDescent="0.25">
      <c r="A3361" s="2">
        <v>43676</v>
      </c>
      <c r="B3361">
        <v>266.60000000000002</v>
      </c>
    </row>
    <row r="3362" spans="1:2" x14ac:dyDescent="0.25">
      <c r="A3362" s="2">
        <v>43677</v>
      </c>
      <c r="B3362">
        <v>263.77999999999997</v>
      </c>
    </row>
    <row r="3363" spans="1:2" x14ac:dyDescent="0.25">
      <c r="A3363" s="2">
        <v>43678</v>
      </c>
      <c r="B3363">
        <v>264.13</v>
      </c>
    </row>
    <row r="3364" spans="1:2" x14ac:dyDescent="0.25">
      <c r="A3364" s="2">
        <v>43679</v>
      </c>
      <c r="B3364">
        <v>260.60000000000002</v>
      </c>
    </row>
    <row r="3365" spans="1:2" x14ac:dyDescent="0.25">
      <c r="A3365" s="2">
        <v>43680</v>
      </c>
      <c r="B3365">
        <v>260.60000000000002</v>
      </c>
    </row>
    <row r="3366" spans="1:2" x14ac:dyDescent="0.25">
      <c r="A3366" s="2">
        <v>43681</v>
      </c>
      <c r="B3366">
        <v>260.60000000000002</v>
      </c>
    </row>
    <row r="3367" spans="1:2" x14ac:dyDescent="0.25">
      <c r="A3367" s="2">
        <v>43682</v>
      </c>
      <c r="B3367">
        <v>251.13</v>
      </c>
    </row>
    <row r="3368" spans="1:2" x14ac:dyDescent="0.25">
      <c r="A3368" s="2">
        <v>43683</v>
      </c>
      <c r="B3368">
        <v>254.3</v>
      </c>
    </row>
    <row r="3369" spans="1:2" x14ac:dyDescent="0.25">
      <c r="A3369" s="2">
        <v>43684</v>
      </c>
      <c r="B3369">
        <v>254.16</v>
      </c>
    </row>
    <row r="3370" spans="1:2" x14ac:dyDescent="0.25">
      <c r="A3370" s="2">
        <v>43685</v>
      </c>
      <c r="B3370">
        <v>259.19</v>
      </c>
    </row>
    <row r="3371" spans="1:2" x14ac:dyDescent="0.25">
      <c r="A3371" s="2">
        <v>43686</v>
      </c>
      <c r="B3371">
        <v>257.39</v>
      </c>
    </row>
    <row r="3372" spans="1:2" x14ac:dyDescent="0.25">
      <c r="A3372" s="2">
        <v>43687</v>
      </c>
      <c r="B3372">
        <v>257.39</v>
      </c>
    </row>
    <row r="3373" spans="1:2" x14ac:dyDescent="0.25">
      <c r="A3373" s="2">
        <v>43688</v>
      </c>
      <c r="B3373">
        <v>257.39</v>
      </c>
    </row>
    <row r="3374" spans="1:2" x14ac:dyDescent="0.25">
      <c r="A3374" s="2">
        <v>43689</v>
      </c>
      <c r="B3374">
        <v>254.44</v>
      </c>
    </row>
    <row r="3375" spans="1:2" x14ac:dyDescent="0.25">
      <c r="A3375" s="2">
        <v>43690</v>
      </c>
      <c r="B3375">
        <v>257.57</v>
      </c>
    </row>
    <row r="3376" spans="1:2" x14ac:dyDescent="0.25">
      <c r="A3376" s="2">
        <v>43691</v>
      </c>
      <c r="B3376">
        <v>250.84</v>
      </c>
    </row>
    <row r="3377" spans="1:2" x14ac:dyDescent="0.25">
      <c r="A3377" s="2">
        <v>43692</v>
      </c>
      <c r="B3377">
        <v>252.35</v>
      </c>
    </row>
    <row r="3378" spans="1:2" x14ac:dyDescent="0.25">
      <c r="A3378" s="2">
        <v>43693</v>
      </c>
      <c r="B3378">
        <v>257.74</v>
      </c>
    </row>
    <row r="3379" spans="1:2" x14ac:dyDescent="0.25">
      <c r="A3379" s="2">
        <v>43694</v>
      </c>
      <c r="B3379">
        <v>257.74</v>
      </c>
    </row>
    <row r="3380" spans="1:2" x14ac:dyDescent="0.25">
      <c r="A3380" s="2">
        <v>43695</v>
      </c>
      <c r="B3380">
        <v>257.74</v>
      </c>
    </row>
    <row r="3381" spans="1:2" x14ac:dyDescent="0.25">
      <c r="A3381" s="2">
        <v>43696</v>
      </c>
      <c r="B3381">
        <v>260.24</v>
      </c>
    </row>
    <row r="3382" spans="1:2" x14ac:dyDescent="0.25">
      <c r="A3382" s="2">
        <v>43697</v>
      </c>
      <c r="B3382">
        <v>258.82</v>
      </c>
    </row>
    <row r="3383" spans="1:2" x14ac:dyDescent="0.25">
      <c r="A3383" s="2">
        <v>43698</v>
      </c>
      <c r="B3383">
        <v>260.31</v>
      </c>
    </row>
    <row r="3384" spans="1:2" x14ac:dyDescent="0.25">
      <c r="A3384" s="2">
        <v>43699</v>
      </c>
      <c r="B3384">
        <v>260.68</v>
      </c>
    </row>
    <row r="3385" spans="1:2" x14ac:dyDescent="0.25">
      <c r="A3385" s="2">
        <v>43700</v>
      </c>
      <c r="B3385">
        <v>254.32</v>
      </c>
    </row>
    <row r="3386" spans="1:2" x14ac:dyDescent="0.25">
      <c r="A3386" s="2">
        <v>43701</v>
      </c>
      <c r="B3386">
        <v>254.32</v>
      </c>
    </row>
    <row r="3387" spans="1:2" x14ac:dyDescent="0.25">
      <c r="A3387" s="2">
        <v>43702</v>
      </c>
      <c r="B3387">
        <v>254.32</v>
      </c>
    </row>
    <row r="3388" spans="1:2" x14ac:dyDescent="0.25">
      <c r="A3388" s="2">
        <v>43703</v>
      </c>
      <c r="B3388">
        <v>255.25</v>
      </c>
    </row>
    <row r="3389" spans="1:2" x14ac:dyDescent="0.25">
      <c r="A3389" s="2">
        <v>43704</v>
      </c>
      <c r="B3389">
        <v>255.42</v>
      </c>
    </row>
    <row r="3390" spans="1:2" x14ac:dyDescent="0.25">
      <c r="A3390" s="2">
        <v>43705</v>
      </c>
      <c r="B3390">
        <v>257.58</v>
      </c>
    </row>
    <row r="3391" spans="1:2" x14ac:dyDescent="0.25">
      <c r="A3391" s="2">
        <v>43706</v>
      </c>
      <c r="B3391">
        <v>261.14999999999998</v>
      </c>
    </row>
    <row r="3392" spans="1:2" x14ac:dyDescent="0.25">
      <c r="A3392" s="2">
        <v>43707</v>
      </c>
      <c r="B3392">
        <v>262.20999999999998</v>
      </c>
    </row>
    <row r="3393" spans="1:2" x14ac:dyDescent="0.25">
      <c r="A3393" s="2">
        <v>43708</v>
      </c>
      <c r="B3393">
        <v>262.20999999999998</v>
      </c>
    </row>
    <row r="3394" spans="1:2" x14ac:dyDescent="0.25">
      <c r="A3394" s="2">
        <v>43709</v>
      </c>
      <c r="B3394">
        <v>262.20999999999998</v>
      </c>
    </row>
    <row r="3395" spans="1:2" x14ac:dyDescent="0.25">
      <c r="A3395" s="2">
        <v>43710</v>
      </c>
      <c r="B3395">
        <v>262.77999999999997</v>
      </c>
    </row>
    <row r="3396" spans="1:2" x14ac:dyDescent="0.25">
      <c r="A3396" s="2">
        <v>43711</v>
      </c>
      <c r="B3396">
        <v>262.77</v>
      </c>
    </row>
    <row r="3397" spans="1:2" x14ac:dyDescent="0.25">
      <c r="A3397" s="2">
        <v>43712</v>
      </c>
      <c r="B3397">
        <v>263.68</v>
      </c>
    </row>
    <row r="3398" spans="1:2" x14ac:dyDescent="0.25">
      <c r="A3398" s="2">
        <v>43713</v>
      </c>
      <c r="B3398">
        <v>266.2</v>
      </c>
    </row>
    <row r="3399" spans="1:2" x14ac:dyDescent="0.25">
      <c r="A3399" s="2">
        <v>43714</v>
      </c>
      <c r="B3399">
        <v>267.2</v>
      </c>
    </row>
    <row r="3400" spans="1:2" x14ac:dyDescent="0.25">
      <c r="A3400" s="2">
        <v>43715</v>
      </c>
      <c r="B3400">
        <v>267.2</v>
      </c>
    </row>
    <row r="3401" spans="1:2" x14ac:dyDescent="0.25">
      <c r="A3401" s="2">
        <v>43716</v>
      </c>
      <c r="B3401">
        <v>267.2</v>
      </c>
    </row>
    <row r="3402" spans="1:2" x14ac:dyDescent="0.25">
      <c r="A3402" s="2">
        <v>43717</v>
      </c>
      <c r="B3402">
        <v>267.04000000000002</v>
      </c>
    </row>
    <row r="3403" spans="1:2" x14ac:dyDescent="0.25">
      <c r="A3403" s="2">
        <v>43718</v>
      </c>
      <c r="B3403">
        <v>266.97000000000003</v>
      </c>
    </row>
    <row r="3404" spans="1:2" x14ac:dyDescent="0.25">
      <c r="A3404" s="2">
        <v>43719</v>
      </c>
      <c r="B3404">
        <v>269.81</v>
      </c>
    </row>
    <row r="3405" spans="1:2" x14ac:dyDescent="0.25">
      <c r="A3405" s="2">
        <v>43720</v>
      </c>
      <c r="B3405">
        <v>271.61</v>
      </c>
    </row>
    <row r="3406" spans="1:2" x14ac:dyDescent="0.25">
      <c r="A3406" s="2">
        <v>43721</v>
      </c>
      <c r="B3406">
        <v>268.22000000000003</v>
      </c>
    </row>
    <row r="3407" spans="1:2" x14ac:dyDescent="0.25">
      <c r="A3407" s="2">
        <v>43722</v>
      </c>
      <c r="B3407">
        <v>268.22000000000003</v>
      </c>
    </row>
    <row r="3408" spans="1:2" x14ac:dyDescent="0.25">
      <c r="A3408" s="2">
        <v>43723</v>
      </c>
      <c r="B3408">
        <v>268.22000000000003</v>
      </c>
    </row>
    <row r="3409" spans="1:2" x14ac:dyDescent="0.25">
      <c r="A3409" s="2">
        <v>43724</v>
      </c>
      <c r="B3409">
        <v>268.95999999999998</v>
      </c>
    </row>
    <row r="3410" spans="1:2" x14ac:dyDescent="0.25">
      <c r="A3410" s="2">
        <v>43725</v>
      </c>
      <c r="B3410">
        <v>269.77999999999997</v>
      </c>
    </row>
    <row r="3411" spans="1:2" x14ac:dyDescent="0.25">
      <c r="A3411" s="2">
        <v>43726</v>
      </c>
      <c r="B3411">
        <v>269.20999999999998</v>
      </c>
    </row>
    <row r="3412" spans="1:2" x14ac:dyDescent="0.25">
      <c r="A3412" s="2">
        <v>43727</v>
      </c>
      <c r="B3412">
        <v>268.89</v>
      </c>
    </row>
    <row r="3413" spans="1:2" x14ac:dyDescent="0.25">
      <c r="A3413" s="2">
        <v>43728</v>
      </c>
      <c r="B3413">
        <v>268.49</v>
      </c>
    </row>
    <row r="3414" spans="1:2" x14ac:dyDescent="0.25">
      <c r="A3414" s="2">
        <v>43729</v>
      </c>
      <c r="B3414">
        <v>268.49</v>
      </c>
    </row>
    <row r="3415" spans="1:2" x14ac:dyDescent="0.25">
      <c r="A3415" s="2">
        <v>43730</v>
      </c>
      <c r="B3415">
        <v>268.49</v>
      </c>
    </row>
    <row r="3416" spans="1:2" x14ac:dyDescent="0.25">
      <c r="A3416" s="2">
        <v>43731</v>
      </c>
      <c r="B3416">
        <v>269.56</v>
      </c>
    </row>
    <row r="3417" spans="1:2" x14ac:dyDescent="0.25">
      <c r="A3417" s="2">
        <v>43732</v>
      </c>
      <c r="B3417">
        <v>266.87</v>
      </c>
    </row>
    <row r="3418" spans="1:2" x14ac:dyDescent="0.25">
      <c r="A3418" s="2">
        <v>43733</v>
      </c>
      <c r="B3418">
        <v>269.02</v>
      </c>
    </row>
    <row r="3419" spans="1:2" x14ac:dyDescent="0.25">
      <c r="A3419" s="2">
        <v>43734</v>
      </c>
      <c r="B3419">
        <v>269.45999999999998</v>
      </c>
    </row>
    <row r="3420" spans="1:2" x14ac:dyDescent="0.25">
      <c r="A3420" s="2">
        <v>43735</v>
      </c>
      <c r="B3420">
        <v>268.14</v>
      </c>
    </row>
    <row r="3421" spans="1:2" x14ac:dyDescent="0.25">
      <c r="A3421" s="2">
        <v>43736</v>
      </c>
      <c r="B3421">
        <v>268.14</v>
      </c>
    </row>
    <row r="3422" spans="1:2" x14ac:dyDescent="0.25">
      <c r="A3422" s="2">
        <v>43737</v>
      </c>
      <c r="B3422">
        <v>268.14</v>
      </c>
    </row>
    <row r="3423" spans="1:2" x14ac:dyDescent="0.25">
      <c r="A3423" s="2">
        <v>43738</v>
      </c>
      <c r="B3423">
        <v>270.64</v>
      </c>
    </row>
    <row r="3424" spans="1:2" x14ac:dyDescent="0.25">
      <c r="A3424" s="2">
        <v>43739</v>
      </c>
      <c r="B3424">
        <v>267.11</v>
      </c>
    </row>
    <row r="3425" spans="1:2" x14ac:dyDescent="0.25">
      <c r="A3425" s="2">
        <v>43740</v>
      </c>
      <c r="B3425">
        <v>261.68</v>
      </c>
    </row>
    <row r="3426" spans="1:2" x14ac:dyDescent="0.25">
      <c r="A3426" s="2">
        <v>43741</v>
      </c>
      <c r="B3426">
        <v>263.2</v>
      </c>
    </row>
    <row r="3427" spans="1:2" x14ac:dyDescent="0.25">
      <c r="A3427" s="2">
        <v>43742</v>
      </c>
      <c r="B3427">
        <v>266.26</v>
      </c>
    </row>
    <row r="3428" spans="1:2" x14ac:dyDescent="0.25">
      <c r="A3428" s="2">
        <v>43743</v>
      </c>
      <c r="B3428">
        <v>266.26</v>
      </c>
    </row>
    <row r="3429" spans="1:2" x14ac:dyDescent="0.25">
      <c r="A3429" s="2">
        <v>43744</v>
      </c>
      <c r="B3429">
        <v>266.26</v>
      </c>
    </row>
    <row r="3430" spans="1:2" x14ac:dyDescent="0.25">
      <c r="A3430" s="2">
        <v>43745</v>
      </c>
      <c r="B3430">
        <v>264.73</v>
      </c>
    </row>
    <row r="3431" spans="1:2" x14ac:dyDescent="0.25">
      <c r="A3431" s="2">
        <v>43746</v>
      </c>
      <c r="B3431">
        <v>260.77999999999997</v>
      </c>
    </row>
    <row r="3432" spans="1:2" x14ac:dyDescent="0.25">
      <c r="A3432" s="2">
        <v>43747</v>
      </c>
      <c r="B3432">
        <v>263.35000000000002</v>
      </c>
    </row>
    <row r="3433" spans="1:2" x14ac:dyDescent="0.25">
      <c r="A3433" s="2">
        <v>43748</v>
      </c>
      <c r="B3433">
        <v>263.86</v>
      </c>
    </row>
    <row r="3434" spans="1:2" x14ac:dyDescent="0.25">
      <c r="A3434" s="2">
        <v>43749</v>
      </c>
      <c r="B3434">
        <v>266.45999999999998</v>
      </c>
    </row>
    <row r="3435" spans="1:2" x14ac:dyDescent="0.25">
      <c r="A3435" s="2">
        <v>43750</v>
      </c>
      <c r="B3435">
        <v>266.45999999999998</v>
      </c>
    </row>
    <row r="3436" spans="1:2" x14ac:dyDescent="0.25">
      <c r="A3436" s="2">
        <v>43751</v>
      </c>
      <c r="B3436">
        <v>266.45999999999998</v>
      </c>
    </row>
    <row r="3437" spans="1:2" x14ac:dyDescent="0.25">
      <c r="A3437" s="2">
        <v>43752</v>
      </c>
      <c r="B3437">
        <v>266.38</v>
      </c>
    </row>
    <row r="3438" spans="1:2" x14ac:dyDescent="0.25">
      <c r="A3438" s="2">
        <v>43753</v>
      </c>
      <c r="B3438">
        <v>269.62</v>
      </c>
    </row>
    <row r="3439" spans="1:2" x14ac:dyDescent="0.25">
      <c r="A3439" s="2">
        <v>43754</v>
      </c>
      <c r="B3439">
        <v>268.64999999999998</v>
      </c>
    </row>
    <row r="3440" spans="1:2" x14ac:dyDescent="0.25">
      <c r="A3440" s="2">
        <v>43755</v>
      </c>
      <c r="B3440">
        <v>267.27999999999997</v>
      </c>
    </row>
    <row r="3441" spans="1:2" x14ac:dyDescent="0.25">
      <c r="A3441" s="2">
        <v>43756</v>
      </c>
      <c r="B3441">
        <v>265.5</v>
      </c>
    </row>
    <row r="3442" spans="1:2" x14ac:dyDescent="0.25">
      <c r="A3442" s="2">
        <v>43757</v>
      </c>
      <c r="B3442">
        <v>265.5</v>
      </c>
    </row>
    <row r="3443" spans="1:2" x14ac:dyDescent="0.25">
      <c r="A3443" s="2">
        <v>43758</v>
      </c>
      <c r="B3443">
        <v>265.5</v>
      </c>
    </row>
    <row r="3444" spans="1:2" x14ac:dyDescent="0.25">
      <c r="A3444" s="2">
        <v>43759</v>
      </c>
      <c r="B3444">
        <v>266.63</v>
      </c>
    </row>
    <row r="3445" spans="1:2" x14ac:dyDescent="0.25">
      <c r="A3445" s="2">
        <v>43760</v>
      </c>
      <c r="B3445">
        <v>266.70999999999998</v>
      </c>
    </row>
    <row r="3446" spans="1:2" x14ac:dyDescent="0.25">
      <c r="A3446" s="2">
        <v>43761</v>
      </c>
      <c r="B3446">
        <v>267.64999999999998</v>
      </c>
    </row>
    <row r="3447" spans="1:2" x14ac:dyDescent="0.25">
      <c r="A3447" s="2">
        <v>43762</v>
      </c>
      <c r="B3447">
        <v>268.04000000000002</v>
      </c>
    </row>
    <row r="3448" spans="1:2" x14ac:dyDescent="0.25">
      <c r="A3448" s="2">
        <v>43763</v>
      </c>
      <c r="B3448">
        <v>269.64999999999998</v>
      </c>
    </row>
    <row r="3449" spans="1:2" x14ac:dyDescent="0.25">
      <c r="A3449" s="2">
        <v>43764</v>
      </c>
      <c r="B3449">
        <v>269.64999999999998</v>
      </c>
    </row>
    <row r="3450" spans="1:2" x14ac:dyDescent="0.25">
      <c r="A3450" s="2">
        <v>43765</v>
      </c>
      <c r="B3450">
        <v>269.64999999999998</v>
      </c>
    </row>
    <row r="3451" spans="1:2" x14ac:dyDescent="0.25">
      <c r="A3451" s="2">
        <v>43766</v>
      </c>
      <c r="B3451">
        <v>271.64</v>
      </c>
    </row>
    <row r="3452" spans="1:2" x14ac:dyDescent="0.25">
      <c r="A3452" s="2">
        <v>43767</v>
      </c>
      <c r="B3452">
        <v>271.22000000000003</v>
      </c>
    </row>
    <row r="3453" spans="1:2" x14ac:dyDescent="0.25">
      <c r="A3453" s="2">
        <v>43768</v>
      </c>
      <c r="B3453">
        <v>270.52999999999997</v>
      </c>
    </row>
    <row r="3454" spans="1:2" x14ac:dyDescent="0.25">
      <c r="A3454" s="2">
        <v>43769</v>
      </c>
      <c r="B3454">
        <v>269.88</v>
      </c>
    </row>
    <row r="3455" spans="1:2" x14ac:dyDescent="0.25">
      <c r="A3455" s="2">
        <v>43770</v>
      </c>
      <c r="B3455">
        <v>272.87</v>
      </c>
    </row>
    <row r="3456" spans="1:2" x14ac:dyDescent="0.25">
      <c r="A3456" s="2">
        <v>43771</v>
      </c>
      <c r="B3456">
        <v>272.87</v>
      </c>
    </row>
    <row r="3457" spans="1:2" x14ac:dyDescent="0.25">
      <c r="A3457" s="2">
        <v>43772</v>
      </c>
      <c r="B3457">
        <v>272.87</v>
      </c>
    </row>
    <row r="3458" spans="1:2" x14ac:dyDescent="0.25">
      <c r="A3458" s="2">
        <v>43773</v>
      </c>
      <c r="B3458">
        <v>273.42</v>
      </c>
    </row>
    <row r="3459" spans="1:2" x14ac:dyDescent="0.25">
      <c r="A3459" s="2">
        <v>43774</v>
      </c>
      <c r="B3459">
        <v>274.3</v>
      </c>
    </row>
    <row r="3460" spans="1:2" x14ac:dyDescent="0.25">
      <c r="A3460" s="2">
        <v>43775</v>
      </c>
      <c r="B3460">
        <v>274.98</v>
      </c>
    </row>
    <row r="3461" spans="1:2" x14ac:dyDescent="0.25">
      <c r="A3461" s="2">
        <v>43776</v>
      </c>
      <c r="B3461">
        <v>276.17</v>
      </c>
    </row>
    <row r="3462" spans="1:2" x14ac:dyDescent="0.25">
      <c r="A3462" s="2">
        <v>43777</v>
      </c>
      <c r="B3462">
        <v>278</v>
      </c>
    </row>
    <row r="3463" spans="1:2" x14ac:dyDescent="0.25">
      <c r="A3463" s="2">
        <v>43778</v>
      </c>
      <c r="B3463">
        <v>278</v>
      </c>
    </row>
    <row r="3464" spans="1:2" x14ac:dyDescent="0.25">
      <c r="A3464" s="2">
        <v>43779</v>
      </c>
      <c r="B3464">
        <v>278</v>
      </c>
    </row>
    <row r="3465" spans="1:2" x14ac:dyDescent="0.25">
      <c r="A3465" s="2">
        <v>43780</v>
      </c>
      <c r="B3465">
        <v>277.27</v>
      </c>
    </row>
    <row r="3466" spans="1:2" x14ac:dyDescent="0.25">
      <c r="A3466" s="2">
        <v>43781</v>
      </c>
      <c r="B3466">
        <v>278.37</v>
      </c>
    </row>
    <row r="3467" spans="1:2" x14ac:dyDescent="0.25">
      <c r="A3467" s="2">
        <v>43782</v>
      </c>
      <c r="B3467">
        <v>278.8</v>
      </c>
    </row>
    <row r="3468" spans="1:2" x14ac:dyDescent="0.25">
      <c r="A3468" s="2">
        <v>43783</v>
      </c>
      <c r="B3468">
        <v>279.33</v>
      </c>
    </row>
    <row r="3469" spans="1:2" x14ac:dyDescent="0.25">
      <c r="A3469" s="2">
        <v>43784</v>
      </c>
      <c r="B3469">
        <v>280.58</v>
      </c>
    </row>
    <row r="3470" spans="1:2" x14ac:dyDescent="0.25">
      <c r="A3470" s="2">
        <v>43785</v>
      </c>
      <c r="B3470">
        <v>280.58</v>
      </c>
    </row>
    <row r="3471" spans="1:2" x14ac:dyDescent="0.25">
      <c r="A3471" s="2">
        <v>43786</v>
      </c>
      <c r="B3471">
        <v>280.58</v>
      </c>
    </row>
    <row r="3472" spans="1:2" x14ac:dyDescent="0.25">
      <c r="A3472" s="2">
        <v>43787</v>
      </c>
      <c r="B3472">
        <v>280.02999999999997</v>
      </c>
    </row>
    <row r="3473" spans="1:2" x14ac:dyDescent="0.25">
      <c r="A3473" s="2">
        <v>43788</v>
      </c>
      <c r="B3473">
        <v>279.47000000000003</v>
      </c>
    </row>
    <row r="3474" spans="1:2" x14ac:dyDescent="0.25">
      <c r="A3474" s="2">
        <v>43789</v>
      </c>
      <c r="B3474">
        <v>278.92</v>
      </c>
    </row>
    <row r="3475" spans="1:2" x14ac:dyDescent="0.25">
      <c r="A3475" s="2">
        <v>43790</v>
      </c>
      <c r="B3475">
        <v>277.69</v>
      </c>
    </row>
    <row r="3476" spans="1:2" x14ac:dyDescent="0.25">
      <c r="A3476" s="2">
        <v>43791</v>
      </c>
      <c r="B3476">
        <v>279.13</v>
      </c>
    </row>
    <row r="3477" spans="1:2" x14ac:dyDescent="0.25">
      <c r="A3477" s="2">
        <v>43792</v>
      </c>
      <c r="B3477">
        <v>279.13</v>
      </c>
    </row>
    <row r="3478" spans="1:2" x14ac:dyDescent="0.25">
      <c r="A3478" s="2">
        <v>43793</v>
      </c>
      <c r="B3478">
        <v>279.13</v>
      </c>
    </row>
    <row r="3479" spans="1:2" x14ac:dyDescent="0.25">
      <c r="A3479" s="2">
        <v>43794</v>
      </c>
      <c r="B3479">
        <v>282.52999999999997</v>
      </c>
    </row>
    <row r="3480" spans="1:2" x14ac:dyDescent="0.25">
      <c r="A3480" s="2">
        <v>43795</v>
      </c>
      <c r="B3480">
        <v>282.85000000000002</v>
      </c>
    </row>
    <row r="3481" spans="1:2" x14ac:dyDescent="0.25">
      <c r="A3481" s="2">
        <v>43796</v>
      </c>
      <c r="B3481">
        <v>284.33999999999997</v>
      </c>
    </row>
    <row r="3482" spans="1:2" x14ac:dyDescent="0.25">
      <c r="A3482" s="2">
        <v>43797</v>
      </c>
      <c r="B3482">
        <v>284.16000000000003</v>
      </c>
    </row>
    <row r="3483" spans="1:2" x14ac:dyDescent="0.25">
      <c r="A3483" s="2">
        <v>43798</v>
      </c>
      <c r="B3483">
        <v>283.95999999999998</v>
      </c>
    </row>
    <row r="3484" spans="1:2" x14ac:dyDescent="0.25">
      <c r="A3484" s="2">
        <v>43799</v>
      </c>
      <c r="B3484">
        <v>283.95999999999998</v>
      </c>
    </row>
    <row r="3485" spans="1:2" x14ac:dyDescent="0.25">
      <c r="A3485" s="2">
        <v>43800</v>
      </c>
      <c r="B3485">
        <v>283.95999999999998</v>
      </c>
    </row>
    <row r="3486" spans="1:2" x14ac:dyDescent="0.25">
      <c r="A3486" s="2">
        <v>43801</v>
      </c>
      <c r="B3486">
        <v>280.45999999999998</v>
      </c>
    </row>
    <row r="3487" spans="1:2" x14ac:dyDescent="0.25">
      <c r="A3487" s="2">
        <v>43802</v>
      </c>
      <c r="B3487">
        <v>277.39999999999998</v>
      </c>
    </row>
    <row r="3488" spans="1:2" x14ac:dyDescent="0.25">
      <c r="A3488" s="2">
        <v>43803</v>
      </c>
      <c r="B3488">
        <v>278.93</v>
      </c>
    </row>
    <row r="3489" spans="1:2" x14ac:dyDescent="0.25">
      <c r="A3489" s="2">
        <v>43804</v>
      </c>
      <c r="B3489">
        <v>279.08</v>
      </c>
    </row>
    <row r="3490" spans="1:2" x14ac:dyDescent="0.25">
      <c r="A3490" s="2">
        <v>43805</v>
      </c>
      <c r="B3490">
        <v>281.64</v>
      </c>
    </row>
    <row r="3491" spans="1:2" x14ac:dyDescent="0.25">
      <c r="A3491" s="2">
        <v>43806</v>
      </c>
      <c r="B3491">
        <v>281.64</v>
      </c>
    </row>
    <row r="3492" spans="1:2" x14ac:dyDescent="0.25">
      <c r="A3492" s="2">
        <v>43807</v>
      </c>
      <c r="B3492">
        <v>281.64</v>
      </c>
    </row>
    <row r="3493" spans="1:2" x14ac:dyDescent="0.25">
      <c r="A3493" s="2">
        <v>43808</v>
      </c>
      <c r="B3493">
        <v>281.26</v>
      </c>
    </row>
    <row r="3494" spans="1:2" x14ac:dyDescent="0.25">
      <c r="A3494" s="2">
        <v>43809</v>
      </c>
      <c r="B3494">
        <v>280.89999999999998</v>
      </c>
    </row>
    <row r="3495" spans="1:2" x14ac:dyDescent="0.25">
      <c r="A3495" s="2">
        <v>43810</v>
      </c>
      <c r="B3495">
        <v>281.77</v>
      </c>
    </row>
    <row r="3496" spans="1:2" x14ac:dyDescent="0.25">
      <c r="A3496" s="2">
        <v>43811</v>
      </c>
      <c r="B3496">
        <v>282.63</v>
      </c>
    </row>
    <row r="3497" spans="1:2" x14ac:dyDescent="0.25">
      <c r="A3497" s="2">
        <v>43812</v>
      </c>
      <c r="B3497">
        <v>281.76</v>
      </c>
    </row>
    <row r="3498" spans="1:2" x14ac:dyDescent="0.25">
      <c r="A3498" s="2">
        <v>43813</v>
      </c>
      <c r="B3498">
        <v>281.76</v>
      </c>
    </row>
    <row r="3499" spans="1:2" x14ac:dyDescent="0.25">
      <c r="A3499" s="2">
        <v>43814</v>
      </c>
      <c r="B3499">
        <v>281.76</v>
      </c>
    </row>
    <row r="3500" spans="1:2" x14ac:dyDescent="0.25">
      <c r="A3500" s="2">
        <v>43815</v>
      </c>
      <c r="B3500">
        <v>284.5</v>
      </c>
    </row>
    <row r="3501" spans="1:2" x14ac:dyDescent="0.25">
      <c r="A3501" s="2">
        <v>43816</v>
      </c>
      <c r="B3501">
        <v>284.19</v>
      </c>
    </row>
    <row r="3502" spans="1:2" x14ac:dyDescent="0.25">
      <c r="A3502" s="2">
        <v>43817</v>
      </c>
      <c r="B3502">
        <v>285.29000000000002</v>
      </c>
    </row>
    <row r="3503" spans="1:2" x14ac:dyDescent="0.25">
      <c r="A3503" s="2">
        <v>43818</v>
      </c>
      <c r="B3503">
        <v>286.52999999999997</v>
      </c>
    </row>
    <row r="3504" spans="1:2" x14ac:dyDescent="0.25">
      <c r="A3504" s="2">
        <v>43819</v>
      </c>
      <c r="B3504">
        <v>288.47000000000003</v>
      </c>
    </row>
    <row r="3505" spans="1:2" x14ac:dyDescent="0.25">
      <c r="A3505" s="2">
        <v>43820</v>
      </c>
      <c r="B3505">
        <v>288.47000000000003</v>
      </c>
    </row>
    <row r="3506" spans="1:2" x14ac:dyDescent="0.25">
      <c r="A3506" s="2">
        <v>43821</v>
      </c>
      <c r="B3506">
        <v>288.47000000000003</v>
      </c>
    </row>
    <row r="3507" spans="1:2" x14ac:dyDescent="0.25">
      <c r="A3507" s="2">
        <v>43822</v>
      </c>
      <c r="B3507">
        <v>289.29000000000002</v>
      </c>
    </row>
    <row r="3508" spans="1:2" x14ac:dyDescent="0.25">
      <c r="A3508" s="2">
        <v>43823</v>
      </c>
      <c r="B3508">
        <v>289.12</v>
      </c>
    </row>
    <row r="3509" spans="1:2" x14ac:dyDescent="0.25">
      <c r="A3509" s="2">
        <v>43824</v>
      </c>
      <c r="B3509">
        <v>289.16000000000003</v>
      </c>
    </row>
    <row r="3510" spans="1:2" x14ac:dyDescent="0.25">
      <c r="A3510" s="2">
        <v>43825</v>
      </c>
      <c r="B3510">
        <v>289.16000000000003</v>
      </c>
    </row>
    <row r="3511" spans="1:2" x14ac:dyDescent="0.25">
      <c r="A3511" s="2">
        <v>43826</v>
      </c>
      <c r="B3511">
        <v>288.74</v>
      </c>
    </row>
    <row r="3512" spans="1:2" x14ac:dyDescent="0.25">
      <c r="A3512" s="2">
        <v>43827</v>
      </c>
      <c r="B3512">
        <v>288.74</v>
      </c>
    </row>
    <row r="3513" spans="1:2" x14ac:dyDescent="0.25">
      <c r="A3513" s="2">
        <v>43828</v>
      </c>
      <c r="B3513">
        <v>288.74</v>
      </c>
    </row>
    <row r="3514" spans="1:2" x14ac:dyDescent="0.25">
      <c r="A3514" s="2">
        <v>43829</v>
      </c>
      <c r="B3514">
        <v>286.17</v>
      </c>
    </row>
    <row r="3515" spans="1:2" x14ac:dyDescent="0.25">
      <c r="A3515" s="2">
        <v>43830</v>
      </c>
      <c r="B3515">
        <v>285.88</v>
      </c>
    </row>
    <row r="3516" spans="1:2" x14ac:dyDescent="0.25">
      <c r="A3516" s="2">
        <v>43831</v>
      </c>
      <c r="B3516">
        <v>287.74</v>
      </c>
    </row>
    <row r="3517" spans="1:2" x14ac:dyDescent="0.25">
      <c r="A3517" s="2">
        <v>43832</v>
      </c>
      <c r="B3517">
        <v>289.36</v>
      </c>
    </row>
    <row r="3518" spans="1:2" x14ac:dyDescent="0.25">
      <c r="A3518" s="2">
        <v>43833</v>
      </c>
      <c r="B3518">
        <v>288.52999999999997</v>
      </c>
    </row>
    <row r="3519" spans="1:2" x14ac:dyDescent="0.25">
      <c r="A3519" s="2">
        <v>43834</v>
      </c>
      <c r="B3519">
        <v>288.52999999999997</v>
      </c>
    </row>
    <row r="3520" spans="1:2" x14ac:dyDescent="0.25">
      <c r="A3520" s="2">
        <v>43835</v>
      </c>
      <c r="B3520">
        <v>288.52999999999997</v>
      </c>
    </row>
    <row r="3521" spans="1:2" x14ac:dyDescent="0.25">
      <c r="A3521" s="2">
        <v>43836</v>
      </c>
      <c r="B3521">
        <v>288.33</v>
      </c>
    </row>
    <row r="3522" spans="1:2" x14ac:dyDescent="0.25">
      <c r="A3522" s="2">
        <v>43837</v>
      </c>
      <c r="B3522">
        <v>288.11</v>
      </c>
    </row>
    <row r="3523" spans="1:2" x14ac:dyDescent="0.25">
      <c r="A3523" s="2">
        <v>43838</v>
      </c>
      <c r="B3523">
        <v>291.02</v>
      </c>
    </row>
    <row r="3524" spans="1:2" x14ac:dyDescent="0.25">
      <c r="A3524" s="2">
        <v>43839</v>
      </c>
      <c r="B3524">
        <v>293.14999999999998</v>
      </c>
    </row>
    <row r="3525" spans="1:2" x14ac:dyDescent="0.25">
      <c r="A3525" s="2">
        <v>43840</v>
      </c>
      <c r="B3525">
        <v>292.81</v>
      </c>
    </row>
    <row r="3526" spans="1:2" x14ac:dyDescent="0.25">
      <c r="A3526" s="2">
        <v>43841</v>
      </c>
      <c r="B3526">
        <v>292.81</v>
      </c>
    </row>
    <row r="3527" spans="1:2" x14ac:dyDescent="0.25">
      <c r="A3527" s="2">
        <v>43842</v>
      </c>
      <c r="B3527">
        <v>292.81</v>
      </c>
    </row>
    <row r="3528" spans="1:2" x14ac:dyDescent="0.25">
      <c r="A3528" s="2">
        <v>43843</v>
      </c>
      <c r="B3528">
        <v>293.93</v>
      </c>
    </row>
    <row r="3529" spans="1:2" x14ac:dyDescent="0.25">
      <c r="A3529" s="2">
        <v>43844</v>
      </c>
      <c r="B3529">
        <v>293.8</v>
      </c>
    </row>
    <row r="3530" spans="1:2" x14ac:dyDescent="0.25">
      <c r="A3530" s="2">
        <v>43845</v>
      </c>
      <c r="B3530">
        <v>293.64999999999998</v>
      </c>
    </row>
    <row r="3531" spans="1:2" x14ac:dyDescent="0.25">
      <c r="A3531" s="2">
        <v>43846</v>
      </c>
      <c r="B3531">
        <v>295.39</v>
      </c>
    </row>
    <row r="3532" spans="1:2" x14ac:dyDescent="0.25">
      <c r="A3532" s="2">
        <v>43847</v>
      </c>
      <c r="B3532">
        <v>298.16000000000003</v>
      </c>
    </row>
    <row r="3533" spans="1:2" x14ac:dyDescent="0.25">
      <c r="A3533" s="2">
        <v>43848</v>
      </c>
      <c r="B3533">
        <v>298.16000000000003</v>
      </c>
    </row>
    <row r="3534" spans="1:2" x14ac:dyDescent="0.25">
      <c r="A3534" s="2">
        <v>43849</v>
      </c>
      <c r="B3534">
        <v>298.16000000000003</v>
      </c>
    </row>
    <row r="3535" spans="1:2" x14ac:dyDescent="0.25">
      <c r="A3535" s="2">
        <v>43850</v>
      </c>
      <c r="B3535">
        <v>298.31</v>
      </c>
    </row>
    <row r="3536" spans="1:2" x14ac:dyDescent="0.25">
      <c r="A3536" s="2">
        <v>43851</v>
      </c>
      <c r="B3536">
        <v>297.19</v>
      </c>
    </row>
    <row r="3537" spans="1:2" x14ac:dyDescent="0.25">
      <c r="A3537" s="2">
        <v>43852</v>
      </c>
      <c r="B3537">
        <v>298.01</v>
      </c>
    </row>
    <row r="3538" spans="1:2" x14ac:dyDescent="0.25">
      <c r="A3538" s="2">
        <v>43853</v>
      </c>
      <c r="B3538">
        <v>298.29000000000002</v>
      </c>
    </row>
    <row r="3539" spans="1:2" x14ac:dyDescent="0.25">
      <c r="A3539" s="2">
        <v>43854</v>
      </c>
      <c r="B3539">
        <v>297.10000000000002</v>
      </c>
    </row>
    <row r="3540" spans="1:2" x14ac:dyDescent="0.25">
      <c r="A3540" s="2">
        <v>43855</v>
      </c>
      <c r="B3540">
        <v>297.10000000000002</v>
      </c>
    </row>
    <row r="3541" spans="1:2" x14ac:dyDescent="0.25">
      <c r="A3541" s="2">
        <v>43856</v>
      </c>
      <c r="B3541">
        <v>297.10000000000002</v>
      </c>
    </row>
    <row r="3542" spans="1:2" x14ac:dyDescent="0.25">
      <c r="A3542" s="2">
        <v>43857</v>
      </c>
      <c r="B3542">
        <v>292.69</v>
      </c>
    </row>
    <row r="3543" spans="1:2" x14ac:dyDescent="0.25">
      <c r="A3543" s="2">
        <v>43858</v>
      </c>
      <c r="B3543">
        <v>296.17</v>
      </c>
    </row>
    <row r="3544" spans="1:2" x14ac:dyDescent="0.25">
      <c r="A3544" s="2">
        <v>43859</v>
      </c>
      <c r="B3544">
        <v>296.02999999999997</v>
      </c>
    </row>
    <row r="3545" spans="1:2" x14ac:dyDescent="0.25">
      <c r="A3545" s="2">
        <v>43860</v>
      </c>
      <c r="B3545">
        <v>296.24</v>
      </c>
    </row>
    <row r="3546" spans="1:2" x14ac:dyDescent="0.25">
      <c r="A3546" s="2">
        <v>43861</v>
      </c>
      <c r="B3546">
        <v>290.41000000000003</v>
      </c>
    </row>
    <row r="3547" spans="1:2" x14ac:dyDescent="0.25">
      <c r="A3547" s="2">
        <v>43862</v>
      </c>
      <c r="B3547">
        <v>290.41000000000003</v>
      </c>
    </row>
    <row r="3548" spans="1:2" x14ac:dyDescent="0.25">
      <c r="A3548" s="2">
        <v>43863</v>
      </c>
      <c r="B3548">
        <v>290.41000000000003</v>
      </c>
    </row>
    <row r="3549" spans="1:2" x14ac:dyDescent="0.25">
      <c r="A3549" s="2">
        <v>43864</v>
      </c>
      <c r="B3549">
        <v>292.14</v>
      </c>
    </row>
    <row r="3550" spans="1:2" x14ac:dyDescent="0.25">
      <c r="A3550" s="2">
        <v>43865</v>
      </c>
      <c r="B3550">
        <v>296.99</v>
      </c>
    </row>
    <row r="3551" spans="1:2" x14ac:dyDescent="0.25">
      <c r="A3551" s="2">
        <v>43866</v>
      </c>
      <c r="B3551">
        <v>301.02999999999997</v>
      </c>
    </row>
    <row r="3552" spans="1:2" x14ac:dyDescent="0.25">
      <c r="A3552" s="2">
        <v>43867</v>
      </c>
      <c r="B3552">
        <v>302.62</v>
      </c>
    </row>
    <row r="3553" spans="1:2" x14ac:dyDescent="0.25">
      <c r="A3553" s="2">
        <v>43868</v>
      </c>
      <c r="B3553">
        <v>301.95999999999998</v>
      </c>
    </row>
    <row r="3554" spans="1:2" x14ac:dyDescent="0.25">
      <c r="A3554" s="2">
        <v>43869</v>
      </c>
      <c r="B3554">
        <v>301.95999999999998</v>
      </c>
    </row>
    <row r="3555" spans="1:2" x14ac:dyDescent="0.25">
      <c r="A3555" s="2">
        <v>43870</v>
      </c>
      <c r="B3555">
        <v>301.95999999999998</v>
      </c>
    </row>
    <row r="3556" spans="1:2" x14ac:dyDescent="0.25">
      <c r="A3556" s="2">
        <v>43871</v>
      </c>
      <c r="B3556">
        <v>304.70999999999998</v>
      </c>
    </row>
    <row r="3557" spans="1:2" x14ac:dyDescent="0.25">
      <c r="A3557" s="2">
        <v>43872</v>
      </c>
      <c r="B3557">
        <v>306.63</v>
      </c>
    </row>
    <row r="3558" spans="1:2" x14ac:dyDescent="0.25">
      <c r="A3558" s="2">
        <v>43873</v>
      </c>
      <c r="B3558">
        <v>308.26</v>
      </c>
    </row>
    <row r="3559" spans="1:2" x14ac:dyDescent="0.25">
      <c r="A3559" s="2">
        <v>43874</v>
      </c>
      <c r="B3559">
        <v>309.17</v>
      </c>
    </row>
    <row r="3560" spans="1:2" x14ac:dyDescent="0.25">
      <c r="A3560" s="2">
        <v>43875</v>
      </c>
      <c r="B3560">
        <v>310.5</v>
      </c>
    </row>
    <row r="3561" spans="1:2" x14ac:dyDescent="0.25">
      <c r="A3561" s="2">
        <v>43876</v>
      </c>
      <c r="B3561">
        <v>310.5</v>
      </c>
    </row>
    <row r="3562" spans="1:2" x14ac:dyDescent="0.25">
      <c r="A3562" s="2">
        <v>43877</v>
      </c>
      <c r="B3562">
        <v>310.5</v>
      </c>
    </row>
    <row r="3563" spans="1:2" x14ac:dyDescent="0.25">
      <c r="A3563" s="2">
        <v>43878</v>
      </c>
      <c r="B3563">
        <v>311.52999999999997</v>
      </c>
    </row>
    <row r="3564" spans="1:2" x14ac:dyDescent="0.25">
      <c r="A3564" s="2">
        <v>43879</v>
      </c>
      <c r="B3564">
        <v>310.35000000000002</v>
      </c>
    </row>
    <row r="3565" spans="1:2" x14ac:dyDescent="0.25">
      <c r="A3565" s="2">
        <v>43880</v>
      </c>
      <c r="B3565">
        <v>312.31</v>
      </c>
    </row>
    <row r="3566" spans="1:2" x14ac:dyDescent="0.25">
      <c r="A3566" s="2">
        <v>43881</v>
      </c>
      <c r="B3566">
        <v>311.43</v>
      </c>
    </row>
    <row r="3567" spans="1:2" x14ac:dyDescent="0.25">
      <c r="A3567" s="2">
        <v>43882</v>
      </c>
      <c r="B3567">
        <v>307.83999999999997</v>
      </c>
    </row>
    <row r="3568" spans="1:2" x14ac:dyDescent="0.25">
      <c r="A3568" s="2">
        <v>43883</v>
      </c>
      <c r="B3568">
        <v>307.83999999999997</v>
      </c>
    </row>
    <row r="3569" spans="1:2" x14ac:dyDescent="0.25">
      <c r="A3569" s="2">
        <v>43884</v>
      </c>
      <c r="B3569">
        <v>307.83999999999997</v>
      </c>
    </row>
    <row r="3570" spans="1:2" x14ac:dyDescent="0.25">
      <c r="A3570" s="2">
        <v>43885</v>
      </c>
      <c r="B3570">
        <v>297.08999999999997</v>
      </c>
    </row>
    <row r="3571" spans="1:2" x14ac:dyDescent="0.25">
      <c r="A3571" s="2">
        <v>43886</v>
      </c>
      <c r="B3571">
        <v>287.52</v>
      </c>
    </row>
    <row r="3572" spans="1:2" x14ac:dyDescent="0.25">
      <c r="A3572" s="2">
        <v>43887</v>
      </c>
      <c r="B3572">
        <v>285.51</v>
      </c>
    </row>
    <row r="3573" spans="1:2" x14ac:dyDescent="0.25">
      <c r="A3573" s="2">
        <v>43888</v>
      </c>
      <c r="B3573">
        <v>270.73</v>
      </c>
    </row>
    <row r="3574" spans="1:2" x14ac:dyDescent="0.25">
      <c r="A3574" s="2">
        <v>43889</v>
      </c>
      <c r="B3574">
        <v>268.22000000000003</v>
      </c>
    </row>
    <row r="3575" spans="1:2" x14ac:dyDescent="0.25">
      <c r="A3575" s="2">
        <v>43890</v>
      </c>
      <c r="B3575">
        <v>268.22000000000003</v>
      </c>
    </row>
    <row r="3576" spans="1:2" x14ac:dyDescent="0.25">
      <c r="A3576" s="2">
        <v>43891</v>
      </c>
      <c r="B3576">
        <v>268.22000000000003</v>
      </c>
    </row>
    <row r="3577" spans="1:2" x14ac:dyDescent="0.25">
      <c r="A3577" s="2">
        <v>43892</v>
      </c>
      <c r="B3577">
        <v>276.91000000000003</v>
      </c>
    </row>
    <row r="3578" spans="1:2" x14ac:dyDescent="0.25">
      <c r="A3578" s="2">
        <v>43893</v>
      </c>
      <c r="B3578">
        <v>269.26</v>
      </c>
    </row>
    <row r="3579" spans="1:2" x14ac:dyDescent="0.25">
      <c r="A3579" s="2">
        <v>43894</v>
      </c>
      <c r="B3579">
        <v>280.43</v>
      </c>
    </row>
    <row r="3580" spans="1:2" x14ac:dyDescent="0.25">
      <c r="A3580" s="2">
        <v>43895</v>
      </c>
      <c r="B3580">
        <v>269.47000000000003</v>
      </c>
    </row>
    <row r="3581" spans="1:2" x14ac:dyDescent="0.25">
      <c r="A3581" s="2">
        <v>43896</v>
      </c>
      <c r="B3581">
        <v>261.39999999999998</v>
      </c>
    </row>
    <row r="3582" spans="1:2" x14ac:dyDescent="0.25">
      <c r="A3582" s="2">
        <v>43897</v>
      </c>
      <c r="B3582">
        <v>261.39999999999998</v>
      </c>
    </row>
    <row r="3583" spans="1:2" x14ac:dyDescent="0.25">
      <c r="A3583" s="2">
        <v>43898</v>
      </c>
      <c r="B3583">
        <v>261.39999999999998</v>
      </c>
    </row>
    <row r="3584" spans="1:2" x14ac:dyDescent="0.25">
      <c r="A3584" s="2">
        <v>43899</v>
      </c>
      <c r="B3584">
        <v>239.04</v>
      </c>
    </row>
    <row r="3585" spans="1:2" x14ac:dyDescent="0.25">
      <c r="A3585" s="2">
        <v>43900</v>
      </c>
      <c r="B3585">
        <v>252.3</v>
      </c>
    </row>
    <row r="3586" spans="1:2" x14ac:dyDescent="0.25">
      <c r="A3586" s="2">
        <v>43901</v>
      </c>
      <c r="B3586">
        <v>241.13</v>
      </c>
    </row>
    <row r="3587" spans="1:2" x14ac:dyDescent="0.25">
      <c r="A3587" s="2">
        <v>43902</v>
      </c>
      <c r="B3587">
        <v>220.1</v>
      </c>
    </row>
    <row r="3588" spans="1:2" x14ac:dyDescent="0.25">
      <c r="A3588" s="2">
        <v>43903</v>
      </c>
      <c r="B3588">
        <v>243.55</v>
      </c>
    </row>
    <row r="3589" spans="1:2" x14ac:dyDescent="0.25">
      <c r="A3589" s="2">
        <v>43904</v>
      </c>
      <c r="B3589">
        <v>243.55</v>
      </c>
    </row>
    <row r="3590" spans="1:2" x14ac:dyDescent="0.25">
      <c r="A3590" s="2">
        <v>43905</v>
      </c>
      <c r="B3590">
        <v>243.55</v>
      </c>
    </row>
    <row r="3591" spans="1:2" x14ac:dyDescent="0.25">
      <c r="A3591" s="2">
        <v>43906</v>
      </c>
      <c r="B3591">
        <v>213.35</v>
      </c>
    </row>
    <row r="3592" spans="1:2" x14ac:dyDescent="0.25">
      <c r="A3592" s="2">
        <v>43907</v>
      </c>
      <c r="B3592">
        <v>229.75</v>
      </c>
    </row>
    <row r="3593" spans="1:2" x14ac:dyDescent="0.25">
      <c r="A3593" s="2">
        <v>43908</v>
      </c>
      <c r="B3593">
        <v>218.8</v>
      </c>
    </row>
    <row r="3594" spans="1:2" x14ac:dyDescent="0.25">
      <c r="A3594" s="2">
        <v>43909</v>
      </c>
      <c r="B3594">
        <v>222.55</v>
      </c>
    </row>
    <row r="3595" spans="1:2" x14ac:dyDescent="0.25">
      <c r="A3595" s="2">
        <v>43910</v>
      </c>
      <c r="B3595">
        <v>214.8</v>
      </c>
    </row>
    <row r="3596" spans="1:2" x14ac:dyDescent="0.25">
      <c r="A3596" s="2">
        <v>43911</v>
      </c>
      <c r="B3596">
        <v>214.8</v>
      </c>
    </row>
    <row r="3597" spans="1:2" x14ac:dyDescent="0.25">
      <c r="A3597" s="2">
        <v>43912</v>
      </c>
      <c r="B3597">
        <v>214.8</v>
      </c>
    </row>
    <row r="3598" spans="1:2" x14ac:dyDescent="0.25">
      <c r="A3598" s="2">
        <v>43913</v>
      </c>
      <c r="B3598">
        <v>207.04</v>
      </c>
    </row>
    <row r="3599" spans="1:2" x14ac:dyDescent="0.25">
      <c r="A3599" s="2">
        <v>43914</v>
      </c>
      <c r="B3599">
        <v>225.23</v>
      </c>
    </row>
    <row r="3600" spans="1:2" x14ac:dyDescent="0.25">
      <c r="A3600" s="2">
        <v>43915</v>
      </c>
      <c r="B3600">
        <v>228.17</v>
      </c>
    </row>
    <row r="3601" spans="1:2" x14ac:dyDescent="0.25">
      <c r="A3601" s="2">
        <v>43916</v>
      </c>
      <c r="B3601">
        <v>239.02</v>
      </c>
    </row>
    <row r="3602" spans="1:2" x14ac:dyDescent="0.25">
      <c r="A3602" s="2">
        <v>43917</v>
      </c>
      <c r="B3602">
        <v>231.06</v>
      </c>
    </row>
    <row r="3603" spans="1:2" x14ac:dyDescent="0.25">
      <c r="A3603" s="2">
        <v>43918</v>
      </c>
      <c r="B3603">
        <v>231.06</v>
      </c>
    </row>
    <row r="3604" spans="1:2" x14ac:dyDescent="0.25">
      <c r="A3604" s="2">
        <v>43919</v>
      </c>
      <c r="B3604">
        <v>231.06</v>
      </c>
    </row>
    <row r="3605" spans="1:2" x14ac:dyDescent="0.25">
      <c r="A3605" s="2">
        <v>43920</v>
      </c>
      <c r="B3605">
        <v>237.6</v>
      </c>
    </row>
    <row r="3606" spans="1:2" x14ac:dyDescent="0.25">
      <c r="A3606" s="2">
        <v>43921</v>
      </c>
      <c r="B3606">
        <v>235.48</v>
      </c>
    </row>
    <row r="3607" spans="1:2" x14ac:dyDescent="0.25">
      <c r="A3607" s="2">
        <v>43922</v>
      </c>
      <c r="B3607">
        <v>225.49</v>
      </c>
    </row>
    <row r="3608" spans="1:2" x14ac:dyDescent="0.25">
      <c r="A3608" s="2">
        <v>43923</v>
      </c>
      <c r="B3608">
        <v>231.31</v>
      </c>
    </row>
    <row r="3609" spans="1:2" x14ac:dyDescent="0.25">
      <c r="A3609" s="2">
        <v>43924</v>
      </c>
      <c r="B3609">
        <v>230.39</v>
      </c>
    </row>
    <row r="3610" spans="1:2" x14ac:dyDescent="0.25">
      <c r="A3610" s="2">
        <v>43925</v>
      </c>
      <c r="B3610">
        <v>230.39</v>
      </c>
    </row>
    <row r="3611" spans="1:2" x14ac:dyDescent="0.25">
      <c r="A3611" s="2">
        <v>43926</v>
      </c>
      <c r="B3611">
        <v>230.39</v>
      </c>
    </row>
    <row r="3612" spans="1:2" x14ac:dyDescent="0.25">
      <c r="A3612" s="2">
        <v>43927</v>
      </c>
      <c r="B3612">
        <v>246.46</v>
      </c>
    </row>
    <row r="3613" spans="1:2" x14ac:dyDescent="0.25">
      <c r="A3613" s="2">
        <v>43928</v>
      </c>
      <c r="B3613">
        <v>243.93</v>
      </c>
    </row>
    <row r="3614" spans="1:2" x14ac:dyDescent="0.25">
      <c r="A3614" s="2">
        <v>43929</v>
      </c>
      <c r="B3614">
        <v>252.62</v>
      </c>
    </row>
    <row r="3615" spans="1:2" x14ac:dyDescent="0.25">
      <c r="A3615" s="2">
        <v>43930</v>
      </c>
      <c r="B3615">
        <v>256.39999999999998</v>
      </c>
    </row>
    <row r="3616" spans="1:2" x14ac:dyDescent="0.25">
      <c r="A3616" s="2">
        <v>43931</v>
      </c>
      <c r="B3616">
        <v>255.28</v>
      </c>
    </row>
    <row r="3617" spans="1:2" x14ac:dyDescent="0.25">
      <c r="A3617" s="2">
        <v>43932</v>
      </c>
      <c r="B3617">
        <v>255.28</v>
      </c>
    </row>
    <row r="3618" spans="1:2" x14ac:dyDescent="0.25">
      <c r="A3618" s="2">
        <v>43933</v>
      </c>
      <c r="B3618">
        <v>255.28</v>
      </c>
    </row>
    <row r="3619" spans="1:2" x14ac:dyDescent="0.25">
      <c r="A3619" s="2">
        <v>43934</v>
      </c>
      <c r="B3619">
        <v>255.28</v>
      </c>
    </row>
    <row r="3620" spans="1:2" x14ac:dyDescent="0.25">
      <c r="A3620" s="2">
        <v>43935</v>
      </c>
      <c r="B3620">
        <v>259.31</v>
      </c>
    </row>
    <row r="3621" spans="1:2" x14ac:dyDescent="0.25">
      <c r="A3621" s="2">
        <v>43936</v>
      </c>
      <c r="B3621">
        <v>255.01</v>
      </c>
    </row>
    <row r="3622" spans="1:2" x14ac:dyDescent="0.25">
      <c r="A3622" s="2">
        <v>43937</v>
      </c>
      <c r="B3622">
        <v>256.83999999999997</v>
      </c>
    </row>
    <row r="3623" spans="1:2" x14ac:dyDescent="0.25">
      <c r="A3623" s="2">
        <v>43938</v>
      </c>
      <c r="B3623">
        <v>264.42</v>
      </c>
    </row>
    <row r="3624" spans="1:2" x14ac:dyDescent="0.25">
      <c r="A3624" s="2">
        <v>43939</v>
      </c>
      <c r="B3624">
        <v>264.42</v>
      </c>
    </row>
    <row r="3625" spans="1:2" x14ac:dyDescent="0.25">
      <c r="A3625" s="2">
        <v>43940</v>
      </c>
      <c r="B3625">
        <v>264.42</v>
      </c>
    </row>
    <row r="3626" spans="1:2" x14ac:dyDescent="0.25">
      <c r="A3626" s="2">
        <v>43941</v>
      </c>
      <c r="B3626">
        <v>259.69</v>
      </c>
    </row>
    <row r="3627" spans="1:2" x14ac:dyDescent="0.25">
      <c r="A3627" s="2">
        <v>43942</v>
      </c>
      <c r="B3627">
        <v>252.26</v>
      </c>
    </row>
    <row r="3628" spans="1:2" x14ac:dyDescent="0.25">
      <c r="A3628" s="2">
        <v>43943</v>
      </c>
      <c r="B3628">
        <v>257.33999999999997</v>
      </c>
    </row>
    <row r="3629" spans="1:2" x14ac:dyDescent="0.25">
      <c r="A3629" s="2">
        <v>43944</v>
      </c>
      <c r="B3629">
        <v>259.48</v>
      </c>
    </row>
    <row r="3630" spans="1:2" x14ac:dyDescent="0.25">
      <c r="A3630" s="2">
        <v>43945</v>
      </c>
      <c r="B3630">
        <v>262.42</v>
      </c>
    </row>
    <row r="3631" spans="1:2" x14ac:dyDescent="0.25">
      <c r="A3631" s="2">
        <v>43946</v>
      </c>
      <c r="B3631">
        <v>262.42</v>
      </c>
    </row>
    <row r="3632" spans="1:2" x14ac:dyDescent="0.25">
      <c r="A3632" s="2">
        <v>43947</v>
      </c>
      <c r="B3632">
        <v>262.42</v>
      </c>
    </row>
    <row r="3633" spans="1:2" x14ac:dyDescent="0.25">
      <c r="A3633" s="2">
        <v>43948</v>
      </c>
      <c r="B3633">
        <v>265</v>
      </c>
    </row>
    <row r="3634" spans="1:2" x14ac:dyDescent="0.25">
      <c r="A3634" s="2">
        <v>43949</v>
      </c>
      <c r="B3634">
        <v>263.01</v>
      </c>
    </row>
    <row r="3635" spans="1:2" x14ac:dyDescent="0.25">
      <c r="A3635" s="2">
        <v>43950</v>
      </c>
      <c r="B3635">
        <v>270.88</v>
      </c>
    </row>
    <row r="3636" spans="1:2" x14ac:dyDescent="0.25">
      <c r="A3636" s="2">
        <v>43951</v>
      </c>
      <c r="B3636">
        <v>267.55</v>
      </c>
    </row>
    <row r="3637" spans="1:2" x14ac:dyDescent="0.25">
      <c r="A3637" s="2">
        <v>43952</v>
      </c>
      <c r="B3637">
        <v>260.08</v>
      </c>
    </row>
    <row r="3638" spans="1:2" x14ac:dyDescent="0.25">
      <c r="A3638" s="2">
        <v>43953</v>
      </c>
      <c r="B3638">
        <v>260.08</v>
      </c>
    </row>
    <row r="3639" spans="1:2" x14ac:dyDescent="0.25">
      <c r="A3639" s="2">
        <v>43954</v>
      </c>
      <c r="B3639">
        <v>260.08</v>
      </c>
    </row>
    <row r="3640" spans="1:2" x14ac:dyDescent="0.25">
      <c r="A3640" s="2">
        <v>43955</v>
      </c>
      <c r="B3640">
        <v>259.61</v>
      </c>
    </row>
    <row r="3641" spans="1:2" x14ac:dyDescent="0.25">
      <c r="A3641" s="2">
        <v>43956</v>
      </c>
      <c r="B3641">
        <v>264.35000000000002</v>
      </c>
    </row>
    <row r="3642" spans="1:2" x14ac:dyDescent="0.25">
      <c r="A3642" s="2">
        <v>43957</v>
      </c>
      <c r="B3642">
        <v>263.38</v>
      </c>
    </row>
    <row r="3643" spans="1:2" x14ac:dyDescent="0.25">
      <c r="A3643" s="2">
        <v>43958</v>
      </c>
      <c r="B3643">
        <v>267.10000000000002</v>
      </c>
    </row>
    <row r="3644" spans="1:2" x14ac:dyDescent="0.25">
      <c r="A3644" s="2">
        <v>43959</v>
      </c>
      <c r="B3644">
        <v>268.91000000000003</v>
      </c>
    </row>
    <row r="3645" spans="1:2" x14ac:dyDescent="0.25">
      <c r="A3645" s="2">
        <v>43960</v>
      </c>
      <c r="B3645">
        <v>268.91000000000003</v>
      </c>
    </row>
    <row r="3646" spans="1:2" x14ac:dyDescent="0.25">
      <c r="A3646" s="2">
        <v>43961</v>
      </c>
      <c r="B3646">
        <v>268.91000000000003</v>
      </c>
    </row>
    <row r="3647" spans="1:2" x14ac:dyDescent="0.25">
      <c r="A3647" s="2">
        <v>43962</v>
      </c>
      <c r="B3647">
        <v>270.66000000000003</v>
      </c>
    </row>
    <row r="3648" spans="1:2" x14ac:dyDescent="0.25">
      <c r="A3648" s="2">
        <v>43963</v>
      </c>
      <c r="B3648">
        <v>264.3</v>
      </c>
    </row>
    <row r="3649" spans="1:2" x14ac:dyDescent="0.25">
      <c r="A3649" s="2">
        <v>43964</v>
      </c>
      <c r="B3649">
        <v>259.3</v>
      </c>
    </row>
    <row r="3650" spans="1:2" x14ac:dyDescent="0.25">
      <c r="A3650" s="2">
        <v>43965</v>
      </c>
      <c r="B3650">
        <v>264.35000000000002</v>
      </c>
    </row>
    <row r="3651" spans="1:2" x14ac:dyDescent="0.25">
      <c r="A3651" s="2">
        <v>43966</v>
      </c>
      <c r="B3651">
        <v>265.26</v>
      </c>
    </row>
    <row r="3652" spans="1:2" x14ac:dyDescent="0.25">
      <c r="A3652" s="2">
        <v>43967</v>
      </c>
      <c r="B3652">
        <v>265.26</v>
      </c>
    </row>
    <row r="3653" spans="1:2" x14ac:dyDescent="0.25">
      <c r="A3653" s="2">
        <v>43968</v>
      </c>
      <c r="B3653">
        <v>265.26</v>
      </c>
    </row>
    <row r="3654" spans="1:2" x14ac:dyDescent="0.25">
      <c r="A3654" s="2">
        <v>43969</v>
      </c>
      <c r="B3654">
        <v>272.79000000000002</v>
      </c>
    </row>
    <row r="3655" spans="1:2" x14ac:dyDescent="0.25">
      <c r="A3655" s="2">
        <v>43970</v>
      </c>
      <c r="B3655">
        <v>267.04000000000002</v>
      </c>
    </row>
    <row r="3656" spans="1:2" x14ac:dyDescent="0.25">
      <c r="A3656" s="2">
        <v>43971</v>
      </c>
      <c r="B3656">
        <v>271.33999999999997</v>
      </c>
    </row>
    <row r="3657" spans="1:2" x14ac:dyDescent="0.25">
      <c r="A3657" s="2">
        <v>43972</v>
      </c>
      <c r="B3657">
        <v>268.20999999999998</v>
      </c>
    </row>
    <row r="3658" spans="1:2" x14ac:dyDescent="0.25">
      <c r="A3658" s="2">
        <v>43973</v>
      </c>
      <c r="B3658">
        <v>271.25</v>
      </c>
    </row>
    <row r="3659" spans="1:2" x14ac:dyDescent="0.25">
      <c r="A3659" s="2">
        <v>43974</v>
      </c>
      <c r="B3659">
        <v>271.25</v>
      </c>
    </row>
    <row r="3660" spans="1:2" x14ac:dyDescent="0.25">
      <c r="A3660" s="2">
        <v>43975</v>
      </c>
      <c r="B3660">
        <v>271.25</v>
      </c>
    </row>
    <row r="3661" spans="1:2" x14ac:dyDescent="0.25">
      <c r="A3661" s="2">
        <v>43976</v>
      </c>
      <c r="B3661">
        <v>274.86</v>
      </c>
    </row>
    <row r="3662" spans="1:2" x14ac:dyDescent="0.25">
      <c r="A3662" s="2">
        <v>43977</v>
      </c>
      <c r="B3662">
        <v>272.81</v>
      </c>
    </row>
    <row r="3663" spans="1:2" x14ac:dyDescent="0.25">
      <c r="A3663" s="2">
        <v>43978</v>
      </c>
      <c r="B3663">
        <v>276.45</v>
      </c>
    </row>
    <row r="3664" spans="1:2" x14ac:dyDescent="0.25">
      <c r="A3664" s="2">
        <v>43979</v>
      </c>
      <c r="B3664">
        <v>275.27</v>
      </c>
    </row>
    <row r="3665" spans="1:2" x14ac:dyDescent="0.25">
      <c r="A3665" s="2">
        <v>43980</v>
      </c>
      <c r="B3665">
        <v>273.64999999999998</v>
      </c>
    </row>
    <row r="3666" spans="1:2" x14ac:dyDescent="0.25">
      <c r="A3666" s="2">
        <v>43981</v>
      </c>
      <c r="B3666">
        <v>273.64999999999998</v>
      </c>
    </row>
    <row r="3667" spans="1:2" x14ac:dyDescent="0.25">
      <c r="A3667" s="2">
        <v>43982</v>
      </c>
      <c r="B3667">
        <v>273.64999999999998</v>
      </c>
    </row>
    <row r="3668" spans="1:2" x14ac:dyDescent="0.25">
      <c r="A3668" s="2">
        <v>43983</v>
      </c>
      <c r="B3668">
        <v>275.18</v>
      </c>
    </row>
    <row r="3669" spans="1:2" x14ac:dyDescent="0.25">
      <c r="A3669" s="2">
        <v>43984</v>
      </c>
      <c r="B3669">
        <v>276.01</v>
      </c>
    </row>
    <row r="3670" spans="1:2" x14ac:dyDescent="0.25">
      <c r="A3670" s="2">
        <v>43985</v>
      </c>
      <c r="B3670">
        <v>279.3</v>
      </c>
    </row>
    <row r="3671" spans="1:2" x14ac:dyDescent="0.25">
      <c r="A3671" s="2">
        <v>43986</v>
      </c>
      <c r="B3671">
        <v>277.02</v>
      </c>
    </row>
    <row r="3672" spans="1:2" x14ac:dyDescent="0.25">
      <c r="A3672" s="2">
        <v>43987</v>
      </c>
      <c r="B3672">
        <v>282.29000000000002</v>
      </c>
    </row>
    <row r="3673" spans="1:2" x14ac:dyDescent="0.25">
      <c r="A3673" s="2">
        <v>43988</v>
      </c>
      <c r="B3673">
        <v>282.29000000000002</v>
      </c>
    </row>
    <row r="3674" spans="1:2" x14ac:dyDescent="0.25">
      <c r="A3674" s="2">
        <v>43989</v>
      </c>
      <c r="B3674">
        <v>282.29000000000002</v>
      </c>
    </row>
    <row r="3675" spans="1:2" x14ac:dyDescent="0.25">
      <c r="A3675" s="2">
        <v>43990</v>
      </c>
      <c r="B3675">
        <v>286.82</v>
      </c>
    </row>
    <row r="3676" spans="1:2" x14ac:dyDescent="0.25">
      <c r="A3676" s="2">
        <v>43991</v>
      </c>
      <c r="B3676">
        <v>284.38</v>
      </c>
    </row>
    <row r="3677" spans="1:2" x14ac:dyDescent="0.25">
      <c r="A3677" s="2">
        <v>43992</v>
      </c>
      <c r="B3677">
        <v>280.85000000000002</v>
      </c>
    </row>
    <row r="3678" spans="1:2" x14ac:dyDescent="0.25">
      <c r="A3678" s="2">
        <v>43993</v>
      </c>
      <c r="B3678">
        <v>264.95</v>
      </c>
    </row>
    <row r="3679" spans="1:2" x14ac:dyDescent="0.25">
      <c r="A3679" s="2">
        <v>43994</v>
      </c>
      <c r="B3679">
        <v>269.52</v>
      </c>
    </row>
    <row r="3680" spans="1:2" x14ac:dyDescent="0.25">
      <c r="A3680" s="2">
        <v>43995</v>
      </c>
      <c r="B3680">
        <v>269.52</v>
      </c>
    </row>
    <row r="3681" spans="1:2" x14ac:dyDescent="0.25">
      <c r="A3681" s="2">
        <v>43996</v>
      </c>
      <c r="B3681">
        <v>269.52</v>
      </c>
    </row>
    <row r="3682" spans="1:2" x14ac:dyDescent="0.25">
      <c r="A3682" s="2">
        <v>43997</v>
      </c>
      <c r="B3682">
        <v>273.01</v>
      </c>
    </row>
    <row r="3683" spans="1:2" x14ac:dyDescent="0.25">
      <c r="A3683" s="2">
        <v>43998</v>
      </c>
      <c r="B3683">
        <v>276.83</v>
      </c>
    </row>
    <row r="3684" spans="1:2" x14ac:dyDescent="0.25">
      <c r="A3684" s="2">
        <v>43999</v>
      </c>
      <c r="B3684">
        <v>277.70999999999998</v>
      </c>
    </row>
    <row r="3685" spans="1:2" x14ac:dyDescent="0.25">
      <c r="A3685" s="2">
        <v>44000</v>
      </c>
      <c r="B3685">
        <v>278.12</v>
      </c>
    </row>
    <row r="3686" spans="1:2" x14ac:dyDescent="0.25">
      <c r="A3686" s="2">
        <v>44001</v>
      </c>
      <c r="B3686">
        <v>276.89</v>
      </c>
    </row>
    <row r="3687" spans="1:2" x14ac:dyDescent="0.25">
      <c r="A3687" s="2">
        <v>44002</v>
      </c>
      <c r="B3687">
        <v>276.89</v>
      </c>
    </row>
    <row r="3688" spans="1:2" x14ac:dyDescent="0.25">
      <c r="A3688" s="2">
        <v>44003</v>
      </c>
      <c r="B3688">
        <v>276.89</v>
      </c>
    </row>
    <row r="3689" spans="1:2" x14ac:dyDescent="0.25">
      <c r="A3689" s="2">
        <v>44004</v>
      </c>
      <c r="B3689">
        <v>278.61</v>
      </c>
    </row>
    <row r="3690" spans="1:2" x14ac:dyDescent="0.25">
      <c r="A3690" s="2">
        <v>44005</v>
      </c>
      <c r="B3690">
        <v>277.22000000000003</v>
      </c>
    </row>
    <row r="3691" spans="1:2" x14ac:dyDescent="0.25">
      <c r="A3691" s="2">
        <v>44006</v>
      </c>
      <c r="B3691">
        <v>270.97000000000003</v>
      </c>
    </row>
    <row r="3692" spans="1:2" x14ac:dyDescent="0.25">
      <c r="A3692" s="2">
        <v>44007</v>
      </c>
      <c r="B3692">
        <v>275.89999999999998</v>
      </c>
    </row>
    <row r="3693" spans="1:2" x14ac:dyDescent="0.25">
      <c r="A3693" s="2">
        <v>44008</v>
      </c>
      <c r="B3693">
        <v>268.91000000000003</v>
      </c>
    </row>
    <row r="3694" spans="1:2" x14ac:dyDescent="0.25">
      <c r="A3694" s="2">
        <v>44009</v>
      </c>
      <c r="B3694">
        <v>268.91000000000003</v>
      </c>
    </row>
    <row r="3695" spans="1:2" x14ac:dyDescent="0.25">
      <c r="A3695" s="2">
        <v>44010</v>
      </c>
      <c r="B3695">
        <v>268.91000000000003</v>
      </c>
    </row>
    <row r="3696" spans="1:2" x14ac:dyDescent="0.25">
      <c r="A3696" s="2">
        <v>44011</v>
      </c>
      <c r="B3696">
        <v>271.16000000000003</v>
      </c>
    </row>
    <row r="3697" spans="1:2" x14ac:dyDescent="0.25">
      <c r="A3697" s="2">
        <v>44012</v>
      </c>
      <c r="B3697">
        <v>277.48</v>
      </c>
    </row>
    <row r="3698" spans="1:2" x14ac:dyDescent="0.25">
      <c r="A3698" s="2">
        <v>44013</v>
      </c>
      <c r="B3698">
        <v>278.83</v>
      </c>
    </row>
    <row r="3699" spans="1:2" x14ac:dyDescent="0.25">
      <c r="A3699" s="2">
        <v>44014</v>
      </c>
      <c r="B3699">
        <v>278.01</v>
      </c>
    </row>
    <row r="3700" spans="1:2" x14ac:dyDescent="0.25">
      <c r="A3700" s="2">
        <v>44015</v>
      </c>
      <c r="B3700">
        <v>278.37</v>
      </c>
    </row>
    <row r="3701" spans="1:2" x14ac:dyDescent="0.25">
      <c r="A3701" s="2">
        <v>44016</v>
      </c>
      <c r="B3701">
        <v>278.37</v>
      </c>
    </row>
    <row r="3702" spans="1:2" x14ac:dyDescent="0.25">
      <c r="A3702" s="2">
        <v>44017</v>
      </c>
      <c r="B3702">
        <v>278.37</v>
      </c>
    </row>
    <row r="3703" spans="1:2" x14ac:dyDescent="0.25">
      <c r="A3703" s="2">
        <v>44018</v>
      </c>
      <c r="B3703">
        <v>281.45999999999998</v>
      </c>
    </row>
    <row r="3704" spans="1:2" x14ac:dyDescent="0.25">
      <c r="A3704" s="2">
        <v>44019</v>
      </c>
      <c r="B3704">
        <v>279.27</v>
      </c>
    </row>
    <row r="3705" spans="1:2" x14ac:dyDescent="0.25">
      <c r="A3705" s="2">
        <v>44020</v>
      </c>
      <c r="B3705">
        <v>281.56</v>
      </c>
    </row>
    <row r="3706" spans="1:2" x14ac:dyDescent="0.25">
      <c r="A3706" s="2">
        <v>44021</v>
      </c>
      <c r="B3706">
        <v>278.64999999999998</v>
      </c>
    </row>
    <row r="3707" spans="1:2" x14ac:dyDescent="0.25">
      <c r="A3707" s="2">
        <v>44022</v>
      </c>
      <c r="B3707">
        <v>283.22000000000003</v>
      </c>
    </row>
    <row r="3708" spans="1:2" x14ac:dyDescent="0.25">
      <c r="A3708" s="2">
        <v>44023</v>
      </c>
      <c r="B3708">
        <v>283.22000000000003</v>
      </c>
    </row>
    <row r="3709" spans="1:2" x14ac:dyDescent="0.25">
      <c r="A3709" s="2">
        <v>44024</v>
      </c>
      <c r="B3709">
        <v>283.22000000000003</v>
      </c>
    </row>
    <row r="3710" spans="1:2" x14ac:dyDescent="0.25">
      <c r="A3710" s="2">
        <v>44025</v>
      </c>
      <c r="B3710">
        <v>279.26</v>
      </c>
    </row>
    <row r="3711" spans="1:2" x14ac:dyDescent="0.25">
      <c r="A3711" s="2">
        <v>44026</v>
      </c>
      <c r="B3711">
        <v>281.89</v>
      </c>
    </row>
    <row r="3712" spans="1:2" x14ac:dyDescent="0.25">
      <c r="A3712" s="2">
        <v>44027</v>
      </c>
      <c r="B3712">
        <v>282.74</v>
      </c>
    </row>
    <row r="3713" spans="1:2" x14ac:dyDescent="0.25">
      <c r="A3713" s="2">
        <v>44028</v>
      </c>
      <c r="B3713">
        <v>282.52</v>
      </c>
    </row>
    <row r="3714" spans="1:2" x14ac:dyDescent="0.25">
      <c r="A3714" s="2">
        <v>44029</v>
      </c>
      <c r="B3714">
        <v>282.99</v>
      </c>
    </row>
    <row r="3715" spans="1:2" x14ac:dyDescent="0.25">
      <c r="A3715" s="2">
        <v>44030</v>
      </c>
      <c r="B3715">
        <v>282.99</v>
      </c>
    </row>
    <row r="3716" spans="1:2" x14ac:dyDescent="0.25">
      <c r="A3716" s="2">
        <v>44031</v>
      </c>
      <c r="B3716">
        <v>282.99</v>
      </c>
    </row>
    <row r="3717" spans="1:2" x14ac:dyDescent="0.25">
      <c r="A3717" s="2">
        <v>44032</v>
      </c>
      <c r="B3717">
        <v>284.87</v>
      </c>
    </row>
    <row r="3718" spans="1:2" x14ac:dyDescent="0.25">
      <c r="A3718" s="2">
        <v>44033</v>
      </c>
      <c r="B3718">
        <v>285.48</v>
      </c>
    </row>
    <row r="3719" spans="1:2" x14ac:dyDescent="0.25">
      <c r="A3719" s="2">
        <v>44034</v>
      </c>
      <c r="B3719">
        <v>283.77999999999997</v>
      </c>
    </row>
    <row r="3720" spans="1:2" x14ac:dyDescent="0.25">
      <c r="A3720" s="2">
        <v>44035</v>
      </c>
      <c r="B3720">
        <v>280.52</v>
      </c>
    </row>
    <row r="3721" spans="1:2" x14ac:dyDescent="0.25">
      <c r="A3721" s="2">
        <v>44036</v>
      </c>
      <c r="B3721">
        <v>277.83999999999997</v>
      </c>
    </row>
    <row r="3722" spans="1:2" x14ac:dyDescent="0.25">
      <c r="A3722" s="2">
        <v>44037</v>
      </c>
      <c r="B3722">
        <v>277.83999999999997</v>
      </c>
    </row>
    <row r="3723" spans="1:2" x14ac:dyDescent="0.25">
      <c r="A3723" s="2">
        <v>44038</v>
      </c>
      <c r="B3723">
        <v>277.83999999999997</v>
      </c>
    </row>
    <row r="3724" spans="1:2" x14ac:dyDescent="0.25">
      <c r="A3724" s="2">
        <v>44039</v>
      </c>
      <c r="B3724">
        <v>276.27999999999997</v>
      </c>
    </row>
    <row r="3725" spans="1:2" x14ac:dyDescent="0.25">
      <c r="A3725" s="2">
        <v>44040</v>
      </c>
      <c r="B3725">
        <v>275.51</v>
      </c>
    </row>
    <row r="3726" spans="1:2" x14ac:dyDescent="0.25">
      <c r="A3726" s="2">
        <v>44041</v>
      </c>
      <c r="B3726">
        <v>278.74</v>
      </c>
    </row>
    <row r="3727" spans="1:2" x14ac:dyDescent="0.25">
      <c r="A3727" s="2">
        <v>44042</v>
      </c>
      <c r="B3727">
        <v>277.31</v>
      </c>
    </row>
    <row r="3728" spans="1:2" x14ac:dyDescent="0.25">
      <c r="A3728" s="2">
        <v>44043</v>
      </c>
      <c r="B3728">
        <v>276.99</v>
      </c>
    </row>
    <row r="3729" spans="1:2" x14ac:dyDescent="0.25">
      <c r="A3729" s="2">
        <v>44044</v>
      </c>
      <c r="B3729">
        <v>276.99</v>
      </c>
    </row>
    <row r="3730" spans="1:2" x14ac:dyDescent="0.25">
      <c r="A3730" s="2">
        <v>44045</v>
      </c>
      <c r="B3730">
        <v>276.99</v>
      </c>
    </row>
    <row r="3731" spans="1:2" x14ac:dyDescent="0.25">
      <c r="A3731" s="2">
        <v>44046</v>
      </c>
      <c r="B3731">
        <v>281.89</v>
      </c>
    </row>
    <row r="3732" spans="1:2" x14ac:dyDescent="0.25">
      <c r="A3732" s="2">
        <v>44047</v>
      </c>
      <c r="B3732">
        <v>281.95999999999998</v>
      </c>
    </row>
    <row r="3733" spans="1:2" x14ac:dyDescent="0.25">
      <c r="A3733" s="2">
        <v>44048</v>
      </c>
      <c r="B3733">
        <v>281.64</v>
      </c>
    </row>
    <row r="3734" spans="1:2" x14ac:dyDescent="0.25">
      <c r="A3734" s="2">
        <v>44049</v>
      </c>
      <c r="B3734">
        <v>283.75</v>
      </c>
    </row>
    <row r="3735" spans="1:2" x14ac:dyDescent="0.25">
      <c r="A3735" s="2">
        <v>44050</v>
      </c>
      <c r="B3735">
        <v>284.60000000000002</v>
      </c>
    </row>
    <row r="3736" spans="1:2" x14ac:dyDescent="0.25">
      <c r="A3736" s="2">
        <v>44051</v>
      </c>
      <c r="B3736">
        <v>284.60000000000002</v>
      </c>
    </row>
    <row r="3737" spans="1:2" x14ac:dyDescent="0.25">
      <c r="A3737" s="2">
        <v>44052</v>
      </c>
      <c r="B3737">
        <v>284.60000000000002</v>
      </c>
    </row>
    <row r="3738" spans="1:2" x14ac:dyDescent="0.25">
      <c r="A3738" s="2">
        <v>44053</v>
      </c>
      <c r="B3738">
        <v>286.7</v>
      </c>
    </row>
    <row r="3739" spans="1:2" x14ac:dyDescent="0.25">
      <c r="A3739" s="2">
        <v>44054</v>
      </c>
      <c r="B3739">
        <v>283.93</v>
      </c>
    </row>
    <row r="3740" spans="1:2" x14ac:dyDescent="0.25">
      <c r="A3740" s="2">
        <v>44055</v>
      </c>
      <c r="B3740">
        <v>288.23</v>
      </c>
    </row>
    <row r="3741" spans="1:2" x14ac:dyDescent="0.25">
      <c r="A3741" s="2">
        <v>44056</v>
      </c>
      <c r="B3741">
        <v>286.19</v>
      </c>
    </row>
    <row r="3742" spans="1:2" x14ac:dyDescent="0.25">
      <c r="A3742" s="2">
        <v>44057</v>
      </c>
      <c r="B3742">
        <v>286.64</v>
      </c>
    </row>
    <row r="3743" spans="1:2" x14ac:dyDescent="0.25">
      <c r="A3743" s="2">
        <v>44058</v>
      </c>
      <c r="B3743">
        <v>286.64</v>
      </c>
    </row>
    <row r="3744" spans="1:2" x14ac:dyDescent="0.25">
      <c r="A3744" s="2">
        <v>44059</v>
      </c>
      <c r="B3744">
        <v>286.64</v>
      </c>
    </row>
    <row r="3745" spans="1:2" x14ac:dyDescent="0.25">
      <c r="A3745" s="2">
        <v>44060</v>
      </c>
      <c r="B3745">
        <v>286.45999999999998</v>
      </c>
    </row>
    <row r="3746" spans="1:2" x14ac:dyDescent="0.25">
      <c r="A3746" s="2">
        <v>44061</v>
      </c>
      <c r="B3746">
        <v>285.87</v>
      </c>
    </row>
    <row r="3747" spans="1:2" x14ac:dyDescent="0.25">
      <c r="A3747" s="2">
        <v>44062</v>
      </c>
      <c r="B3747">
        <v>284.01</v>
      </c>
    </row>
    <row r="3748" spans="1:2" x14ac:dyDescent="0.25">
      <c r="A3748" s="2">
        <v>44063</v>
      </c>
      <c r="B3748">
        <v>286.91000000000003</v>
      </c>
    </row>
    <row r="3749" spans="1:2" x14ac:dyDescent="0.25">
      <c r="A3749" s="2">
        <v>44064</v>
      </c>
      <c r="B3749">
        <v>289.89999999999998</v>
      </c>
    </row>
    <row r="3750" spans="1:2" x14ac:dyDescent="0.25">
      <c r="A3750" s="2">
        <v>44065</v>
      </c>
      <c r="B3750">
        <v>289.89999999999998</v>
      </c>
    </row>
    <row r="3751" spans="1:2" x14ac:dyDescent="0.25">
      <c r="A3751" s="2">
        <v>44066</v>
      </c>
      <c r="B3751">
        <v>289.89999999999998</v>
      </c>
    </row>
    <row r="3752" spans="1:2" x14ac:dyDescent="0.25">
      <c r="A3752" s="2">
        <v>44067</v>
      </c>
      <c r="B3752">
        <v>290.91000000000003</v>
      </c>
    </row>
    <row r="3753" spans="1:2" x14ac:dyDescent="0.25">
      <c r="A3753" s="2">
        <v>44068</v>
      </c>
      <c r="B3753">
        <v>292.77</v>
      </c>
    </row>
    <row r="3754" spans="1:2" x14ac:dyDescent="0.25">
      <c r="A3754" s="2">
        <v>44069</v>
      </c>
      <c r="B3754">
        <v>296.39</v>
      </c>
    </row>
    <row r="3755" spans="1:2" x14ac:dyDescent="0.25">
      <c r="A3755" s="2">
        <v>44070</v>
      </c>
      <c r="B3755">
        <v>296.47000000000003</v>
      </c>
    </row>
    <row r="3756" spans="1:2" x14ac:dyDescent="0.25">
      <c r="A3756" s="2">
        <v>44071</v>
      </c>
      <c r="B3756">
        <v>295.76</v>
      </c>
    </row>
    <row r="3757" spans="1:2" x14ac:dyDescent="0.25">
      <c r="A3757" s="2">
        <v>44072</v>
      </c>
      <c r="B3757">
        <v>295.76</v>
      </c>
    </row>
    <row r="3758" spans="1:2" x14ac:dyDescent="0.25">
      <c r="A3758" s="2">
        <v>44073</v>
      </c>
      <c r="B3758">
        <v>295.76</v>
      </c>
    </row>
    <row r="3759" spans="1:2" x14ac:dyDescent="0.25">
      <c r="A3759" s="2">
        <v>44074</v>
      </c>
      <c r="B3759">
        <v>294.07</v>
      </c>
    </row>
    <row r="3760" spans="1:2" x14ac:dyDescent="0.25">
      <c r="A3760" s="2">
        <v>44075</v>
      </c>
      <c r="B3760">
        <v>295.58</v>
      </c>
    </row>
    <row r="3761" spans="1:2" x14ac:dyDescent="0.25">
      <c r="A3761" s="2">
        <v>44076</v>
      </c>
      <c r="B3761">
        <v>303.33</v>
      </c>
    </row>
    <row r="3762" spans="1:2" x14ac:dyDescent="0.25">
      <c r="A3762" s="2">
        <v>44077</v>
      </c>
      <c r="B3762">
        <v>293.91000000000003</v>
      </c>
    </row>
    <row r="3763" spans="1:2" x14ac:dyDescent="0.25">
      <c r="A3763" s="2">
        <v>44078</v>
      </c>
      <c r="B3763">
        <v>290.81</v>
      </c>
    </row>
    <row r="3764" spans="1:2" x14ac:dyDescent="0.25">
      <c r="A3764" s="2">
        <v>44079</v>
      </c>
      <c r="B3764">
        <v>290.81</v>
      </c>
    </row>
    <row r="3765" spans="1:2" x14ac:dyDescent="0.25">
      <c r="A3765" s="2">
        <v>44080</v>
      </c>
      <c r="B3765">
        <v>290.81</v>
      </c>
    </row>
    <row r="3766" spans="1:2" x14ac:dyDescent="0.25">
      <c r="A3766" s="2">
        <v>44081</v>
      </c>
      <c r="B3766">
        <v>291.95</v>
      </c>
    </row>
    <row r="3767" spans="1:2" x14ac:dyDescent="0.25">
      <c r="A3767" s="2">
        <v>44082</v>
      </c>
      <c r="B3767">
        <v>284.12</v>
      </c>
    </row>
    <row r="3768" spans="1:2" x14ac:dyDescent="0.25">
      <c r="A3768" s="2">
        <v>44083</v>
      </c>
      <c r="B3768">
        <v>290.14999999999998</v>
      </c>
    </row>
    <row r="3769" spans="1:2" x14ac:dyDescent="0.25">
      <c r="A3769" s="2">
        <v>44084</v>
      </c>
      <c r="B3769">
        <v>283.23</v>
      </c>
    </row>
    <row r="3770" spans="1:2" x14ac:dyDescent="0.25">
      <c r="A3770" s="2">
        <v>44085</v>
      </c>
      <c r="B3770">
        <v>283.27</v>
      </c>
    </row>
    <row r="3771" spans="1:2" x14ac:dyDescent="0.25">
      <c r="A3771" s="2">
        <v>44086</v>
      </c>
      <c r="B3771">
        <v>283.27</v>
      </c>
    </row>
    <row r="3772" spans="1:2" x14ac:dyDescent="0.25">
      <c r="A3772" s="2">
        <v>44087</v>
      </c>
      <c r="B3772">
        <v>283.27</v>
      </c>
    </row>
    <row r="3773" spans="1:2" x14ac:dyDescent="0.25">
      <c r="A3773" s="2">
        <v>44088</v>
      </c>
      <c r="B3773">
        <v>286.43</v>
      </c>
    </row>
    <row r="3774" spans="1:2" x14ac:dyDescent="0.25">
      <c r="A3774" s="2">
        <v>44089</v>
      </c>
      <c r="B3774">
        <v>287.54000000000002</v>
      </c>
    </row>
    <row r="3775" spans="1:2" x14ac:dyDescent="0.25">
      <c r="A3775" s="2">
        <v>44090</v>
      </c>
      <c r="B3775">
        <v>286.77</v>
      </c>
    </row>
    <row r="3776" spans="1:2" x14ac:dyDescent="0.25">
      <c r="A3776" s="2">
        <v>44091</v>
      </c>
      <c r="B3776">
        <v>286.10000000000002</v>
      </c>
    </row>
    <row r="3777" spans="1:2" x14ac:dyDescent="0.25">
      <c r="A3777" s="2">
        <v>44092</v>
      </c>
      <c r="B3777">
        <v>282.04000000000002</v>
      </c>
    </row>
    <row r="3778" spans="1:2" x14ac:dyDescent="0.25">
      <c r="A3778" s="2">
        <v>44093</v>
      </c>
      <c r="B3778">
        <v>282.04000000000002</v>
      </c>
    </row>
    <row r="3779" spans="1:2" x14ac:dyDescent="0.25">
      <c r="A3779" s="2">
        <v>44094</v>
      </c>
      <c r="B3779">
        <v>282.04000000000002</v>
      </c>
    </row>
    <row r="3780" spans="1:2" x14ac:dyDescent="0.25">
      <c r="A3780" s="2">
        <v>44095</v>
      </c>
      <c r="B3780">
        <v>279.88</v>
      </c>
    </row>
    <row r="3781" spans="1:2" x14ac:dyDescent="0.25">
      <c r="A3781" s="2">
        <v>44096</v>
      </c>
      <c r="B3781">
        <v>283.94</v>
      </c>
    </row>
    <row r="3782" spans="1:2" x14ac:dyDescent="0.25">
      <c r="A3782" s="2">
        <v>44097</v>
      </c>
      <c r="B3782">
        <v>278.37</v>
      </c>
    </row>
    <row r="3783" spans="1:2" x14ac:dyDescent="0.25">
      <c r="A3783" s="2">
        <v>44098</v>
      </c>
      <c r="B3783">
        <v>280.33</v>
      </c>
    </row>
    <row r="3784" spans="1:2" x14ac:dyDescent="0.25">
      <c r="A3784" s="2">
        <v>44099</v>
      </c>
      <c r="B3784">
        <v>285.10000000000002</v>
      </c>
    </row>
    <row r="3785" spans="1:2" x14ac:dyDescent="0.25">
      <c r="A3785" s="2">
        <v>44100</v>
      </c>
      <c r="B3785">
        <v>285.10000000000002</v>
      </c>
    </row>
    <row r="3786" spans="1:2" x14ac:dyDescent="0.25">
      <c r="A3786" s="2">
        <v>44101</v>
      </c>
      <c r="B3786">
        <v>285.10000000000002</v>
      </c>
    </row>
    <row r="3787" spans="1:2" x14ac:dyDescent="0.25">
      <c r="A3787" s="2">
        <v>44102</v>
      </c>
      <c r="B3787">
        <v>288.79000000000002</v>
      </c>
    </row>
    <row r="3788" spans="1:2" x14ac:dyDescent="0.25">
      <c r="A3788" s="2">
        <v>44103</v>
      </c>
      <c r="B3788">
        <v>286.64999999999998</v>
      </c>
    </row>
    <row r="3789" spans="1:2" x14ac:dyDescent="0.25">
      <c r="A3789" s="2">
        <v>44104</v>
      </c>
      <c r="B3789">
        <v>288.87</v>
      </c>
    </row>
    <row r="3790" spans="1:2" x14ac:dyDescent="0.25">
      <c r="A3790" s="2">
        <v>44105</v>
      </c>
      <c r="B3790">
        <v>289.33999999999997</v>
      </c>
    </row>
    <row r="3791" spans="1:2" x14ac:dyDescent="0.25">
      <c r="A3791" s="2">
        <v>44106</v>
      </c>
      <c r="B3791">
        <v>287.11</v>
      </c>
    </row>
    <row r="3792" spans="1:2" x14ac:dyDescent="0.25">
      <c r="A3792" s="2">
        <v>44107</v>
      </c>
      <c r="B3792">
        <v>287.11</v>
      </c>
    </row>
    <row r="3793" spans="1:2" x14ac:dyDescent="0.25">
      <c r="A3793" s="2">
        <v>44108</v>
      </c>
      <c r="B3793">
        <v>287.11</v>
      </c>
    </row>
    <row r="3794" spans="1:2" x14ac:dyDescent="0.25">
      <c r="A3794" s="2">
        <v>44109</v>
      </c>
      <c r="B3794">
        <v>291.35000000000002</v>
      </c>
    </row>
    <row r="3795" spans="1:2" x14ac:dyDescent="0.25">
      <c r="A3795" s="2">
        <v>44110</v>
      </c>
      <c r="B3795">
        <v>286.63</v>
      </c>
    </row>
    <row r="3796" spans="1:2" x14ac:dyDescent="0.25">
      <c r="A3796" s="2">
        <v>44111</v>
      </c>
      <c r="B3796">
        <v>292.23</v>
      </c>
    </row>
    <row r="3797" spans="1:2" x14ac:dyDescent="0.25">
      <c r="A3797" s="2">
        <v>44112</v>
      </c>
      <c r="B3797">
        <v>294.77999999999997</v>
      </c>
    </row>
    <row r="3798" spans="1:2" x14ac:dyDescent="0.25">
      <c r="A3798" s="2">
        <v>44113</v>
      </c>
      <c r="B3798">
        <v>296.62</v>
      </c>
    </row>
    <row r="3799" spans="1:2" x14ac:dyDescent="0.25">
      <c r="A3799" s="2">
        <v>44114</v>
      </c>
      <c r="B3799">
        <v>296.62</v>
      </c>
    </row>
    <row r="3800" spans="1:2" x14ac:dyDescent="0.25">
      <c r="A3800" s="2">
        <v>44115</v>
      </c>
      <c r="B3800">
        <v>296.62</v>
      </c>
    </row>
    <row r="3801" spans="1:2" x14ac:dyDescent="0.25">
      <c r="A3801" s="2">
        <v>44116</v>
      </c>
      <c r="B3801">
        <v>301.39</v>
      </c>
    </row>
    <row r="3802" spans="1:2" x14ac:dyDescent="0.25">
      <c r="A3802" s="2">
        <v>44117</v>
      </c>
      <c r="B3802">
        <v>299.79000000000002</v>
      </c>
    </row>
    <row r="3803" spans="1:2" x14ac:dyDescent="0.25">
      <c r="A3803" s="2">
        <v>44118</v>
      </c>
      <c r="B3803">
        <v>298.77</v>
      </c>
    </row>
    <row r="3804" spans="1:2" x14ac:dyDescent="0.25">
      <c r="A3804" s="2">
        <v>44119</v>
      </c>
      <c r="B3804">
        <v>299.64</v>
      </c>
    </row>
    <row r="3805" spans="1:2" x14ac:dyDescent="0.25">
      <c r="A3805" s="2">
        <v>44120</v>
      </c>
      <c r="B3805">
        <v>298.58999999999997</v>
      </c>
    </row>
    <row r="3806" spans="1:2" x14ac:dyDescent="0.25">
      <c r="A3806" s="2">
        <v>44121</v>
      </c>
      <c r="B3806">
        <v>298.58999999999997</v>
      </c>
    </row>
    <row r="3807" spans="1:2" x14ac:dyDescent="0.25">
      <c r="A3807" s="2">
        <v>44122</v>
      </c>
      <c r="B3807">
        <v>298.58999999999997</v>
      </c>
    </row>
    <row r="3808" spans="1:2" x14ac:dyDescent="0.25">
      <c r="A3808" s="2">
        <v>44123</v>
      </c>
      <c r="B3808">
        <v>297.47000000000003</v>
      </c>
    </row>
    <row r="3809" spans="1:2" x14ac:dyDescent="0.25">
      <c r="A3809" s="2">
        <v>44124</v>
      </c>
      <c r="B3809">
        <v>293.38</v>
      </c>
    </row>
    <row r="3810" spans="1:2" x14ac:dyDescent="0.25">
      <c r="A3810" s="2">
        <v>44125</v>
      </c>
      <c r="B3810">
        <v>291.70999999999998</v>
      </c>
    </row>
    <row r="3811" spans="1:2" x14ac:dyDescent="0.25">
      <c r="A3811" s="2">
        <v>44126</v>
      </c>
      <c r="B3811">
        <v>294.02</v>
      </c>
    </row>
    <row r="3812" spans="1:2" x14ac:dyDescent="0.25">
      <c r="A3812" s="2">
        <v>44127</v>
      </c>
      <c r="B3812">
        <v>294.16000000000003</v>
      </c>
    </row>
    <row r="3813" spans="1:2" x14ac:dyDescent="0.25">
      <c r="A3813" s="2">
        <v>44128</v>
      </c>
      <c r="B3813">
        <v>294.16000000000003</v>
      </c>
    </row>
    <row r="3814" spans="1:2" x14ac:dyDescent="0.25">
      <c r="A3814" s="2">
        <v>44129</v>
      </c>
      <c r="B3814">
        <v>294.16000000000003</v>
      </c>
    </row>
    <row r="3815" spans="1:2" x14ac:dyDescent="0.25">
      <c r="A3815" s="2">
        <v>44130</v>
      </c>
      <c r="B3815">
        <v>289.60000000000002</v>
      </c>
    </row>
    <row r="3816" spans="1:2" x14ac:dyDescent="0.25">
      <c r="A3816" s="2">
        <v>44131</v>
      </c>
      <c r="B3816">
        <v>288.41000000000003</v>
      </c>
    </row>
    <row r="3817" spans="1:2" x14ac:dyDescent="0.25">
      <c r="A3817" s="2">
        <v>44132</v>
      </c>
      <c r="B3817">
        <v>280.72000000000003</v>
      </c>
    </row>
    <row r="3818" spans="1:2" x14ac:dyDescent="0.25">
      <c r="A3818" s="2">
        <v>44133</v>
      </c>
      <c r="B3818">
        <v>284.64999999999998</v>
      </c>
    </row>
    <row r="3819" spans="1:2" x14ac:dyDescent="0.25">
      <c r="A3819" s="2">
        <v>44134</v>
      </c>
      <c r="B3819">
        <v>281.37</v>
      </c>
    </row>
    <row r="3820" spans="1:2" x14ac:dyDescent="0.25">
      <c r="A3820" s="2">
        <v>44135</v>
      </c>
      <c r="B3820">
        <v>281.37</v>
      </c>
    </row>
    <row r="3821" spans="1:2" x14ac:dyDescent="0.25">
      <c r="A3821" s="2">
        <v>44136</v>
      </c>
      <c r="B3821">
        <v>281.37</v>
      </c>
    </row>
    <row r="3822" spans="1:2" x14ac:dyDescent="0.25">
      <c r="A3822" s="2">
        <v>44137</v>
      </c>
      <c r="B3822">
        <v>285.97000000000003</v>
      </c>
    </row>
    <row r="3823" spans="1:2" x14ac:dyDescent="0.25">
      <c r="A3823" s="2">
        <v>44138</v>
      </c>
      <c r="B3823">
        <v>289.81</v>
      </c>
    </row>
    <row r="3824" spans="1:2" x14ac:dyDescent="0.25">
      <c r="A3824" s="2">
        <v>44139</v>
      </c>
      <c r="B3824">
        <v>295.72000000000003</v>
      </c>
    </row>
    <row r="3825" spans="1:2" x14ac:dyDescent="0.25">
      <c r="A3825" s="2">
        <v>44140</v>
      </c>
      <c r="B3825">
        <v>298.11</v>
      </c>
    </row>
    <row r="3826" spans="1:2" x14ac:dyDescent="0.25">
      <c r="A3826" s="2">
        <v>44141</v>
      </c>
      <c r="B3826">
        <v>297.68</v>
      </c>
    </row>
    <row r="3827" spans="1:2" x14ac:dyDescent="0.25">
      <c r="A3827" s="2">
        <v>44142</v>
      </c>
      <c r="B3827">
        <v>297.68</v>
      </c>
    </row>
    <row r="3828" spans="1:2" x14ac:dyDescent="0.25">
      <c r="A3828" s="2">
        <v>44143</v>
      </c>
      <c r="B3828">
        <v>297.68</v>
      </c>
    </row>
    <row r="3829" spans="1:2" x14ac:dyDescent="0.25">
      <c r="A3829" s="2">
        <v>44144</v>
      </c>
      <c r="B3829">
        <v>300.86</v>
      </c>
    </row>
    <row r="3830" spans="1:2" x14ac:dyDescent="0.25">
      <c r="A3830" s="2">
        <v>44145</v>
      </c>
      <c r="B3830">
        <v>302.39</v>
      </c>
    </row>
    <row r="3831" spans="1:2" x14ac:dyDescent="0.25">
      <c r="A3831" s="2">
        <v>44146</v>
      </c>
      <c r="B3831">
        <v>305.79000000000002</v>
      </c>
    </row>
    <row r="3832" spans="1:2" x14ac:dyDescent="0.25">
      <c r="A3832" s="2">
        <v>44147</v>
      </c>
      <c r="B3832">
        <v>302.14999999999998</v>
      </c>
    </row>
    <row r="3833" spans="1:2" x14ac:dyDescent="0.25">
      <c r="A3833" s="2">
        <v>44148</v>
      </c>
      <c r="B3833">
        <v>305.66000000000003</v>
      </c>
    </row>
    <row r="3834" spans="1:2" x14ac:dyDescent="0.25">
      <c r="A3834" s="2">
        <v>44149</v>
      </c>
      <c r="B3834">
        <v>305.66000000000003</v>
      </c>
    </row>
    <row r="3835" spans="1:2" x14ac:dyDescent="0.25">
      <c r="A3835" s="2">
        <v>44150</v>
      </c>
      <c r="B3835">
        <v>305.66000000000003</v>
      </c>
    </row>
    <row r="3836" spans="1:2" x14ac:dyDescent="0.25">
      <c r="A3836" s="2">
        <v>44151</v>
      </c>
      <c r="B3836">
        <v>308.83</v>
      </c>
    </row>
    <row r="3837" spans="1:2" x14ac:dyDescent="0.25">
      <c r="A3837" s="2">
        <v>44152</v>
      </c>
      <c r="B3837">
        <v>306.04000000000002</v>
      </c>
    </row>
    <row r="3838" spans="1:2" x14ac:dyDescent="0.25">
      <c r="A3838" s="2">
        <v>44153</v>
      </c>
      <c r="B3838">
        <v>302.91000000000003</v>
      </c>
    </row>
    <row r="3839" spans="1:2" x14ac:dyDescent="0.25">
      <c r="A3839" s="2">
        <v>44154</v>
      </c>
      <c r="B3839">
        <v>305.04000000000002</v>
      </c>
    </row>
    <row r="3840" spans="1:2" x14ac:dyDescent="0.25">
      <c r="A3840" s="2">
        <v>44155</v>
      </c>
      <c r="B3840">
        <v>302.17</v>
      </c>
    </row>
    <row r="3841" spans="1:2" x14ac:dyDescent="0.25">
      <c r="A3841" s="2">
        <v>44156</v>
      </c>
      <c r="B3841">
        <v>302.17</v>
      </c>
    </row>
    <row r="3842" spans="1:2" x14ac:dyDescent="0.25">
      <c r="A3842" s="2">
        <v>44157</v>
      </c>
      <c r="B3842">
        <v>302.17</v>
      </c>
    </row>
    <row r="3843" spans="1:2" x14ac:dyDescent="0.25">
      <c r="A3843" s="2">
        <v>44158</v>
      </c>
      <c r="B3843">
        <v>302.94</v>
      </c>
    </row>
    <row r="3844" spans="1:2" x14ac:dyDescent="0.25">
      <c r="A3844" s="2">
        <v>44159</v>
      </c>
      <c r="B3844">
        <v>308.77</v>
      </c>
    </row>
    <row r="3845" spans="1:2" x14ac:dyDescent="0.25">
      <c r="A3845" s="2">
        <v>44160</v>
      </c>
      <c r="B3845">
        <v>307.64999999999998</v>
      </c>
    </row>
    <row r="3846" spans="1:2" x14ac:dyDescent="0.25">
      <c r="A3846" s="2">
        <v>44161</v>
      </c>
      <c r="B3846">
        <v>307.32</v>
      </c>
    </row>
    <row r="3847" spans="1:2" x14ac:dyDescent="0.25">
      <c r="A3847" s="2">
        <v>44162</v>
      </c>
      <c r="B3847">
        <v>307.58</v>
      </c>
    </row>
    <row r="3848" spans="1:2" x14ac:dyDescent="0.25">
      <c r="A3848" s="2">
        <v>44163</v>
      </c>
      <c r="B3848">
        <v>307.58</v>
      </c>
    </row>
    <row r="3849" spans="1:2" x14ac:dyDescent="0.25">
      <c r="A3849" s="2">
        <v>44164</v>
      </c>
      <c r="B3849">
        <v>307.58</v>
      </c>
    </row>
    <row r="3850" spans="1:2" x14ac:dyDescent="0.25">
      <c r="A3850" s="2">
        <v>44165</v>
      </c>
      <c r="B3850">
        <v>304.72000000000003</v>
      </c>
    </row>
    <row r="3851" spans="1:2" x14ac:dyDescent="0.25">
      <c r="A3851" s="2">
        <v>44166</v>
      </c>
      <c r="B3851">
        <v>308.45999999999998</v>
      </c>
    </row>
    <row r="3852" spans="1:2" x14ac:dyDescent="0.25">
      <c r="A3852" s="2">
        <v>44167</v>
      </c>
      <c r="B3852">
        <v>306.54000000000002</v>
      </c>
    </row>
    <row r="3853" spans="1:2" x14ac:dyDescent="0.25">
      <c r="A3853" s="2">
        <v>44168</v>
      </c>
      <c r="B3853">
        <v>304.25</v>
      </c>
    </row>
    <row r="3854" spans="1:2" x14ac:dyDescent="0.25">
      <c r="A3854" s="2">
        <v>44169</v>
      </c>
      <c r="B3854">
        <v>306.75</v>
      </c>
    </row>
    <row r="3855" spans="1:2" x14ac:dyDescent="0.25">
      <c r="A3855" s="2">
        <v>44170</v>
      </c>
      <c r="B3855">
        <v>306.75</v>
      </c>
    </row>
    <row r="3856" spans="1:2" x14ac:dyDescent="0.25">
      <c r="A3856" s="2">
        <v>44171</v>
      </c>
      <c r="B3856">
        <v>306.75</v>
      </c>
    </row>
    <row r="3857" spans="1:2" x14ac:dyDescent="0.25">
      <c r="A3857" s="2">
        <v>44172</v>
      </c>
      <c r="B3857">
        <v>306.94</v>
      </c>
    </row>
    <row r="3858" spans="1:2" x14ac:dyDescent="0.25">
      <c r="A3858" s="2">
        <v>44173</v>
      </c>
      <c r="B3858">
        <v>308.16000000000003</v>
      </c>
    </row>
    <row r="3859" spans="1:2" x14ac:dyDescent="0.25">
      <c r="A3859" s="2">
        <v>44174</v>
      </c>
      <c r="B3859">
        <v>305.85000000000002</v>
      </c>
    </row>
    <row r="3860" spans="1:2" x14ac:dyDescent="0.25">
      <c r="A3860" s="2">
        <v>44175</v>
      </c>
      <c r="B3860">
        <v>305.32</v>
      </c>
    </row>
    <row r="3861" spans="1:2" x14ac:dyDescent="0.25">
      <c r="A3861" s="2">
        <v>44176</v>
      </c>
      <c r="B3861">
        <v>304.64</v>
      </c>
    </row>
    <row r="3862" spans="1:2" x14ac:dyDescent="0.25">
      <c r="A3862" s="2">
        <v>44177</v>
      </c>
      <c r="B3862">
        <v>304.64</v>
      </c>
    </row>
    <row r="3863" spans="1:2" x14ac:dyDescent="0.25">
      <c r="A3863" s="2">
        <v>44178</v>
      </c>
      <c r="B3863">
        <v>304.64</v>
      </c>
    </row>
    <row r="3864" spans="1:2" x14ac:dyDescent="0.25">
      <c r="A3864" s="2">
        <v>44179</v>
      </c>
      <c r="B3864">
        <v>302.48</v>
      </c>
    </row>
    <row r="3865" spans="1:2" x14ac:dyDescent="0.25">
      <c r="A3865" s="2">
        <v>44180</v>
      </c>
      <c r="B3865">
        <v>306.95</v>
      </c>
    </row>
    <row r="3866" spans="1:2" x14ac:dyDescent="0.25">
      <c r="A3866" s="2">
        <v>44181</v>
      </c>
      <c r="B3866">
        <v>306.26</v>
      </c>
    </row>
    <row r="3867" spans="1:2" x14ac:dyDescent="0.25">
      <c r="A3867" s="2">
        <v>44182</v>
      </c>
      <c r="B3867">
        <v>306.61</v>
      </c>
    </row>
    <row r="3868" spans="1:2" x14ac:dyDescent="0.25">
      <c r="A3868" s="2">
        <v>44183</v>
      </c>
      <c r="B3868">
        <v>305.22000000000003</v>
      </c>
    </row>
    <row r="3869" spans="1:2" x14ac:dyDescent="0.25">
      <c r="A3869" s="2">
        <v>44184</v>
      </c>
      <c r="B3869">
        <v>305.22000000000003</v>
      </c>
    </row>
    <row r="3870" spans="1:2" x14ac:dyDescent="0.25">
      <c r="A3870" s="2">
        <v>44185</v>
      </c>
      <c r="B3870">
        <v>305.22000000000003</v>
      </c>
    </row>
    <row r="3871" spans="1:2" x14ac:dyDescent="0.25">
      <c r="A3871" s="2">
        <v>44186</v>
      </c>
      <c r="B3871">
        <v>306.19</v>
      </c>
    </row>
    <row r="3872" spans="1:2" x14ac:dyDescent="0.25">
      <c r="A3872" s="2">
        <v>44187</v>
      </c>
      <c r="B3872">
        <v>303.93</v>
      </c>
    </row>
    <row r="3873" spans="1:2" x14ac:dyDescent="0.25">
      <c r="A3873" s="2">
        <v>44188</v>
      </c>
      <c r="B3873">
        <v>305.98</v>
      </c>
    </row>
    <row r="3874" spans="1:2" x14ac:dyDescent="0.25">
      <c r="A3874" s="2">
        <v>44189</v>
      </c>
      <c r="B3874">
        <v>306.41000000000003</v>
      </c>
    </row>
    <row r="3875" spans="1:2" x14ac:dyDescent="0.25">
      <c r="A3875" s="2">
        <v>44190</v>
      </c>
      <c r="B3875">
        <v>306.41000000000003</v>
      </c>
    </row>
    <row r="3876" spans="1:2" x14ac:dyDescent="0.25">
      <c r="A3876" s="2">
        <v>44191</v>
      </c>
      <c r="B3876">
        <v>306.41000000000003</v>
      </c>
    </row>
    <row r="3877" spans="1:2" x14ac:dyDescent="0.25">
      <c r="A3877" s="2">
        <v>44192</v>
      </c>
      <c r="B3877">
        <v>306.41000000000003</v>
      </c>
    </row>
    <row r="3878" spans="1:2" x14ac:dyDescent="0.25">
      <c r="A3878" s="2">
        <v>44193</v>
      </c>
      <c r="B3878">
        <v>308.48</v>
      </c>
    </row>
    <row r="3879" spans="1:2" x14ac:dyDescent="0.25">
      <c r="A3879" s="2">
        <v>44194</v>
      </c>
      <c r="B3879">
        <v>306.74</v>
      </c>
    </row>
    <row r="3880" spans="1:2" x14ac:dyDescent="0.25">
      <c r="A3880" s="2">
        <v>44195</v>
      </c>
      <c r="B3880">
        <v>306.63</v>
      </c>
    </row>
    <row r="3881" spans="1:2" x14ac:dyDescent="0.25">
      <c r="A3881" s="2">
        <v>44196</v>
      </c>
      <c r="B3881">
        <v>308.87</v>
      </c>
    </row>
    <row r="3882" spans="1:2" x14ac:dyDescent="0.25">
      <c r="A3882" s="2">
        <v>44197</v>
      </c>
      <c r="B3882">
        <v>308.87</v>
      </c>
    </row>
    <row r="3883" spans="1:2" x14ac:dyDescent="0.25">
      <c r="A3883" s="2">
        <v>44198</v>
      </c>
      <c r="B3883">
        <v>308.87</v>
      </c>
    </row>
    <row r="3884" spans="1:2" x14ac:dyDescent="0.25">
      <c r="A3884" s="2">
        <v>44199</v>
      </c>
      <c r="B3884">
        <v>308.87</v>
      </c>
    </row>
    <row r="3885" spans="1:2" x14ac:dyDescent="0.25">
      <c r="A3885" s="2">
        <v>44200</v>
      </c>
      <c r="B3885">
        <v>303.70999999999998</v>
      </c>
    </row>
    <row r="3886" spans="1:2" x14ac:dyDescent="0.25">
      <c r="A3886" s="2">
        <v>44201</v>
      </c>
      <c r="B3886">
        <v>306.51</v>
      </c>
    </row>
    <row r="3887" spans="1:2" x14ac:dyDescent="0.25">
      <c r="A3887" s="2">
        <v>44202</v>
      </c>
      <c r="B3887">
        <v>306.60000000000002</v>
      </c>
    </row>
    <row r="3888" spans="1:2" x14ac:dyDescent="0.25">
      <c r="A3888" s="2">
        <v>44203</v>
      </c>
      <c r="B3888">
        <v>312.77</v>
      </c>
    </row>
    <row r="3889" spans="1:2" x14ac:dyDescent="0.25">
      <c r="A3889" s="2">
        <v>44204</v>
      </c>
      <c r="B3889">
        <v>315.18</v>
      </c>
    </row>
    <row r="3890" spans="1:2" x14ac:dyDescent="0.25">
      <c r="A3890" s="2">
        <v>44205</v>
      </c>
      <c r="B3890">
        <v>315.18</v>
      </c>
    </row>
    <row r="3891" spans="1:2" x14ac:dyDescent="0.25">
      <c r="A3891" s="2">
        <v>44206</v>
      </c>
      <c r="B3891">
        <v>315.18</v>
      </c>
    </row>
    <row r="3892" spans="1:2" x14ac:dyDescent="0.25">
      <c r="A3892" s="2">
        <v>44207</v>
      </c>
      <c r="B3892">
        <v>315.36</v>
      </c>
    </row>
    <row r="3893" spans="1:2" x14ac:dyDescent="0.25">
      <c r="A3893" s="2">
        <v>44208</v>
      </c>
      <c r="B3893">
        <v>315.54000000000002</v>
      </c>
    </row>
    <row r="3894" spans="1:2" x14ac:dyDescent="0.25">
      <c r="A3894" s="2">
        <v>44209</v>
      </c>
      <c r="B3894">
        <v>316.14</v>
      </c>
    </row>
    <row r="3895" spans="1:2" x14ac:dyDescent="0.25">
      <c r="A3895" s="2">
        <v>44210</v>
      </c>
      <c r="B3895">
        <v>316.07</v>
      </c>
    </row>
    <row r="3896" spans="1:2" x14ac:dyDescent="0.25">
      <c r="A3896" s="2">
        <v>44211</v>
      </c>
      <c r="B3896">
        <v>313.82</v>
      </c>
    </row>
    <row r="3897" spans="1:2" x14ac:dyDescent="0.25">
      <c r="A3897" s="2">
        <v>44212</v>
      </c>
      <c r="B3897">
        <v>313.82</v>
      </c>
    </row>
    <row r="3898" spans="1:2" x14ac:dyDescent="0.25">
      <c r="A3898" s="2">
        <v>44213</v>
      </c>
      <c r="B3898">
        <v>313.82</v>
      </c>
    </row>
    <row r="3899" spans="1:2" x14ac:dyDescent="0.25">
      <c r="A3899" s="2">
        <v>44214</v>
      </c>
      <c r="B3899">
        <v>315.39999999999998</v>
      </c>
    </row>
    <row r="3900" spans="1:2" x14ac:dyDescent="0.25">
      <c r="A3900" s="2">
        <v>44215</v>
      </c>
      <c r="B3900">
        <v>316.16000000000003</v>
      </c>
    </row>
    <row r="3901" spans="1:2" x14ac:dyDescent="0.25">
      <c r="A3901" s="2">
        <v>44216</v>
      </c>
      <c r="B3901">
        <v>321.38</v>
      </c>
    </row>
    <row r="3902" spans="1:2" x14ac:dyDescent="0.25">
      <c r="A3902" s="2">
        <v>44217</v>
      </c>
      <c r="B3902">
        <v>320</v>
      </c>
    </row>
    <row r="3903" spans="1:2" x14ac:dyDescent="0.25">
      <c r="A3903" s="2">
        <v>44218</v>
      </c>
      <c r="B3903">
        <v>319.02999999999997</v>
      </c>
    </row>
    <row r="3904" spans="1:2" x14ac:dyDescent="0.25">
      <c r="A3904" s="2">
        <v>44219</v>
      </c>
      <c r="B3904">
        <v>319.02999999999997</v>
      </c>
    </row>
    <row r="3905" spans="1:2" x14ac:dyDescent="0.25">
      <c r="A3905" s="2">
        <v>44220</v>
      </c>
      <c r="B3905">
        <v>319.02999999999997</v>
      </c>
    </row>
    <row r="3906" spans="1:2" x14ac:dyDescent="0.25">
      <c r="A3906" s="2">
        <v>44221</v>
      </c>
      <c r="B3906">
        <v>320.33999999999997</v>
      </c>
    </row>
    <row r="3907" spans="1:2" x14ac:dyDescent="0.25">
      <c r="A3907" s="2">
        <v>44222</v>
      </c>
      <c r="B3907">
        <v>320.10000000000002</v>
      </c>
    </row>
    <row r="3908" spans="1:2" x14ac:dyDescent="0.25">
      <c r="A3908" s="2">
        <v>44223</v>
      </c>
      <c r="B3908">
        <v>312.63</v>
      </c>
    </row>
    <row r="3909" spans="1:2" x14ac:dyDescent="0.25">
      <c r="A3909" s="2">
        <v>44224</v>
      </c>
      <c r="B3909">
        <v>316.31</v>
      </c>
    </row>
    <row r="3910" spans="1:2" x14ac:dyDescent="0.25">
      <c r="A3910" s="2">
        <v>44225</v>
      </c>
      <c r="B3910">
        <v>309.08999999999997</v>
      </c>
    </row>
    <row r="3911" spans="1:2" x14ac:dyDescent="0.25">
      <c r="A3911" s="2">
        <v>44226</v>
      </c>
      <c r="B3911">
        <v>309.08999999999997</v>
      </c>
    </row>
    <row r="3912" spans="1:2" x14ac:dyDescent="0.25">
      <c r="A3912" s="2">
        <v>44227</v>
      </c>
      <c r="B3912">
        <v>309.08999999999997</v>
      </c>
    </row>
    <row r="3913" spans="1:2" x14ac:dyDescent="0.25">
      <c r="A3913" s="2">
        <v>44228</v>
      </c>
      <c r="B3913">
        <v>315.39999999999998</v>
      </c>
    </row>
    <row r="3914" spans="1:2" x14ac:dyDescent="0.25">
      <c r="A3914" s="2">
        <v>44229</v>
      </c>
      <c r="B3914">
        <v>320.85000000000002</v>
      </c>
    </row>
    <row r="3915" spans="1:2" x14ac:dyDescent="0.25">
      <c r="A3915" s="2">
        <v>44230</v>
      </c>
      <c r="B3915">
        <v>321.91000000000003</v>
      </c>
    </row>
    <row r="3916" spans="1:2" x14ac:dyDescent="0.25">
      <c r="A3916" s="2">
        <v>44231</v>
      </c>
      <c r="B3916">
        <v>326</v>
      </c>
    </row>
    <row r="3917" spans="1:2" x14ac:dyDescent="0.25">
      <c r="A3917" s="2">
        <v>44232</v>
      </c>
      <c r="B3917">
        <v>327.66000000000003</v>
      </c>
    </row>
    <row r="3918" spans="1:2" x14ac:dyDescent="0.25">
      <c r="A3918" s="2">
        <v>44233</v>
      </c>
      <c r="B3918">
        <v>327.66000000000003</v>
      </c>
    </row>
    <row r="3919" spans="1:2" x14ac:dyDescent="0.25">
      <c r="A3919" s="2">
        <v>44234</v>
      </c>
      <c r="B3919">
        <v>327.66000000000003</v>
      </c>
    </row>
    <row r="3920" spans="1:2" x14ac:dyDescent="0.25">
      <c r="A3920" s="2">
        <v>44235</v>
      </c>
      <c r="B3920">
        <v>328.93</v>
      </c>
    </row>
    <row r="3921" spans="1:2" x14ac:dyDescent="0.25">
      <c r="A3921" s="2">
        <v>44236</v>
      </c>
      <c r="B3921">
        <v>326.47000000000003</v>
      </c>
    </row>
    <row r="3922" spans="1:2" x14ac:dyDescent="0.25">
      <c r="A3922" s="2">
        <v>44237</v>
      </c>
      <c r="B3922">
        <v>325.74</v>
      </c>
    </row>
    <row r="3923" spans="1:2" x14ac:dyDescent="0.25">
      <c r="A3923" s="2">
        <v>44238</v>
      </c>
      <c r="B3923">
        <v>325.8</v>
      </c>
    </row>
    <row r="3924" spans="1:2" x14ac:dyDescent="0.25">
      <c r="A3924" s="2">
        <v>44239</v>
      </c>
      <c r="B3924">
        <v>328.4</v>
      </c>
    </row>
    <row r="3925" spans="1:2" x14ac:dyDescent="0.25">
      <c r="A3925" s="2">
        <v>44240</v>
      </c>
      <c r="B3925">
        <v>328.4</v>
      </c>
    </row>
    <row r="3926" spans="1:2" x14ac:dyDescent="0.25">
      <c r="A3926" s="2">
        <v>44241</v>
      </c>
      <c r="B3926">
        <v>328.4</v>
      </c>
    </row>
    <row r="3927" spans="1:2" x14ac:dyDescent="0.25">
      <c r="A3927" s="2">
        <v>44242</v>
      </c>
      <c r="B3927">
        <v>329.62</v>
      </c>
    </row>
    <row r="3928" spans="1:2" x14ac:dyDescent="0.25">
      <c r="A3928" s="2">
        <v>44243</v>
      </c>
      <c r="B3928">
        <v>327.3</v>
      </c>
    </row>
    <row r="3929" spans="1:2" x14ac:dyDescent="0.25">
      <c r="A3929" s="2">
        <v>44244</v>
      </c>
      <c r="B3929">
        <v>329.49</v>
      </c>
    </row>
    <row r="3930" spans="1:2" x14ac:dyDescent="0.25">
      <c r="A3930" s="2">
        <v>44245</v>
      </c>
      <c r="B3930">
        <v>327.39999999999998</v>
      </c>
    </row>
    <row r="3931" spans="1:2" x14ac:dyDescent="0.25">
      <c r="A3931" s="2">
        <v>44246</v>
      </c>
      <c r="B3931">
        <v>325.32</v>
      </c>
    </row>
    <row r="3932" spans="1:2" x14ac:dyDescent="0.25">
      <c r="A3932" s="2">
        <v>44247</v>
      </c>
      <c r="B3932">
        <v>325.32</v>
      </c>
    </row>
    <row r="3933" spans="1:2" x14ac:dyDescent="0.25">
      <c r="A3933" s="2">
        <v>44248</v>
      </c>
      <c r="B3933">
        <v>325.32</v>
      </c>
    </row>
    <row r="3934" spans="1:2" x14ac:dyDescent="0.25">
      <c r="A3934" s="2">
        <v>44249</v>
      </c>
      <c r="B3934">
        <v>323</v>
      </c>
    </row>
    <row r="3935" spans="1:2" x14ac:dyDescent="0.25">
      <c r="A3935" s="2">
        <v>44250</v>
      </c>
      <c r="B3935">
        <v>323.14</v>
      </c>
    </row>
    <row r="3936" spans="1:2" x14ac:dyDescent="0.25">
      <c r="A3936" s="2">
        <v>44251</v>
      </c>
      <c r="B3936">
        <v>326.72000000000003</v>
      </c>
    </row>
    <row r="3937" spans="1:2" x14ac:dyDescent="0.25">
      <c r="A3937" s="2">
        <v>44252</v>
      </c>
      <c r="B3937">
        <v>316.70999999999998</v>
      </c>
    </row>
    <row r="3938" spans="1:2" x14ac:dyDescent="0.25">
      <c r="A3938" s="2">
        <v>44253</v>
      </c>
      <c r="B3938">
        <v>317.94</v>
      </c>
    </row>
    <row r="3939" spans="1:2" x14ac:dyDescent="0.25">
      <c r="A3939" s="2">
        <v>44254</v>
      </c>
      <c r="B3939">
        <v>317.94</v>
      </c>
    </row>
    <row r="3940" spans="1:2" x14ac:dyDescent="0.25">
      <c r="A3940" s="2">
        <v>44255</v>
      </c>
      <c r="B3940">
        <v>317.94</v>
      </c>
    </row>
    <row r="3941" spans="1:2" x14ac:dyDescent="0.25">
      <c r="A3941" s="2">
        <v>44256</v>
      </c>
      <c r="B3941">
        <v>327.35000000000002</v>
      </c>
    </row>
    <row r="3942" spans="1:2" x14ac:dyDescent="0.25">
      <c r="A3942" s="2">
        <v>44257</v>
      </c>
      <c r="B3942">
        <v>325.37</v>
      </c>
    </row>
    <row r="3943" spans="1:2" x14ac:dyDescent="0.25">
      <c r="A3943" s="2">
        <v>44258</v>
      </c>
      <c r="B3943">
        <v>320.60000000000002</v>
      </c>
    </row>
    <row r="3944" spans="1:2" x14ac:dyDescent="0.25">
      <c r="A3944" s="2">
        <v>44259</v>
      </c>
      <c r="B3944">
        <v>316.72000000000003</v>
      </c>
    </row>
    <row r="3945" spans="1:2" x14ac:dyDescent="0.25">
      <c r="A3945" s="2">
        <v>44260</v>
      </c>
      <c r="B3945">
        <v>325.5</v>
      </c>
    </row>
    <row r="3946" spans="1:2" x14ac:dyDescent="0.25">
      <c r="A3946" s="2">
        <v>44261</v>
      </c>
      <c r="B3946">
        <v>325.5</v>
      </c>
    </row>
    <row r="3947" spans="1:2" x14ac:dyDescent="0.25">
      <c r="A3947" s="2">
        <v>44262</v>
      </c>
      <c r="B3947">
        <v>325.5</v>
      </c>
    </row>
    <row r="3948" spans="1:2" x14ac:dyDescent="0.25">
      <c r="A3948" s="2">
        <v>44263</v>
      </c>
      <c r="B3948">
        <v>325.72000000000003</v>
      </c>
    </row>
    <row r="3949" spans="1:2" x14ac:dyDescent="0.25">
      <c r="A3949" s="2">
        <v>44264</v>
      </c>
      <c r="B3949">
        <v>329.58</v>
      </c>
    </row>
    <row r="3950" spans="1:2" x14ac:dyDescent="0.25">
      <c r="A3950" s="2">
        <v>44265</v>
      </c>
      <c r="B3950">
        <v>331.64</v>
      </c>
    </row>
    <row r="3951" spans="1:2" x14ac:dyDescent="0.25">
      <c r="A3951" s="2">
        <v>44266</v>
      </c>
      <c r="B3951">
        <v>332.95</v>
      </c>
    </row>
    <row r="3952" spans="1:2" x14ac:dyDescent="0.25">
      <c r="A3952" s="2">
        <v>44267</v>
      </c>
      <c r="B3952">
        <v>334.37</v>
      </c>
    </row>
    <row r="3953" spans="1:2" x14ac:dyDescent="0.25">
      <c r="A3953" s="2">
        <v>44268</v>
      </c>
      <c r="B3953">
        <v>334.37</v>
      </c>
    </row>
    <row r="3954" spans="1:2" x14ac:dyDescent="0.25">
      <c r="A3954" s="2">
        <v>44269</v>
      </c>
      <c r="B3954">
        <v>334.37</v>
      </c>
    </row>
    <row r="3955" spans="1:2" x14ac:dyDescent="0.25">
      <c r="A3955" s="2">
        <v>44270</v>
      </c>
      <c r="B3955">
        <v>336.92</v>
      </c>
    </row>
    <row r="3956" spans="1:2" x14ac:dyDescent="0.25">
      <c r="A3956" s="2">
        <v>44271</v>
      </c>
      <c r="B3956">
        <v>336.22</v>
      </c>
    </row>
    <row r="3957" spans="1:2" x14ac:dyDescent="0.25">
      <c r="A3957" s="2">
        <v>44272</v>
      </c>
      <c r="B3957">
        <v>337.73</v>
      </c>
    </row>
    <row r="3958" spans="1:2" x14ac:dyDescent="0.25">
      <c r="A3958" s="2">
        <v>44273</v>
      </c>
      <c r="B3958">
        <v>332.62</v>
      </c>
    </row>
    <row r="3959" spans="1:2" x14ac:dyDescent="0.25">
      <c r="A3959" s="2">
        <v>44274</v>
      </c>
      <c r="B3959">
        <v>333.04</v>
      </c>
    </row>
    <row r="3960" spans="1:2" x14ac:dyDescent="0.25">
      <c r="A3960" s="2">
        <v>44275</v>
      </c>
      <c r="B3960">
        <v>333.04</v>
      </c>
    </row>
    <row r="3961" spans="1:2" x14ac:dyDescent="0.25">
      <c r="A3961" s="2">
        <v>44276</v>
      </c>
      <c r="B3961">
        <v>333.04</v>
      </c>
    </row>
    <row r="3962" spans="1:2" x14ac:dyDescent="0.25">
      <c r="A3962" s="2">
        <v>44277</v>
      </c>
      <c r="B3962">
        <v>334.4</v>
      </c>
    </row>
    <row r="3963" spans="1:2" x14ac:dyDescent="0.25">
      <c r="A3963" s="2">
        <v>44278</v>
      </c>
      <c r="B3963">
        <v>333.05</v>
      </c>
    </row>
    <row r="3964" spans="1:2" x14ac:dyDescent="0.25">
      <c r="A3964" s="2">
        <v>44279</v>
      </c>
      <c r="B3964">
        <v>332.86</v>
      </c>
    </row>
    <row r="3965" spans="1:2" x14ac:dyDescent="0.25">
      <c r="A3965" s="2">
        <v>44280</v>
      </c>
      <c r="B3965">
        <v>335.27</v>
      </c>
    </row>
    <row r="3966" spans="1:2" x14ac:dyDescent="0.25">
      <c r="A3966" s="2">
        <v>44281</v>
      </c>
      <c r="B3966">
        <v>341.43</v>
      </c>
    </row>
    <row r="3967" spans="1:2" x14ac:dyDescent="0.25">
      <c r="A3967" s="2">
        <v>44282</v>
      </c>
      <c r="B3967">
        <v>341.43</v>
      </c>
    </row>
    <row r="3968" spans="1:2" x14ac:dyDescent="0.25">
      <c r="A3968" s="2">
        <v>44283</v>
      </c>
      <c r="B3968">
        <v>341.43</v>
      </c>
    </row>
    <row r="3969" spans="1:2" x14ac:dyDescent="0.25">
      <c r="A3969" s="2">
        <v>44284</v>
      </c>
      <c r="B3969">
        <v>341.07</v>
      </c>
    </row>
    <row r="3970" spans="1:2" x14ac:dyDescent="0.25">
      <c r="A3970" s="2">
        <v>44285</v>
      </c>
      <c r="B3970">
        <v>341.27</v>
      </c>
    </row>
    <row r="3971" spans="1:2" x14ac:dyDescent="0.25">
      <c r="A3971" s="2">
        <v>44286</v>
      </c>
      <c r="B3971">
        <v>342.99</v>
      </c>
    </row>
    <row r="3972" spans="1:2" x14ac:dyDescent="0.25">
      <c r="A3972" s="2">
        <v>44287</v>
      </c>
      <c r="B3972">
        <v>346.43</v>
      </c>
    </row>
    <row r="3973" spans="1:2" x14ac:dyDescent="0.25">
      <c r="A3973" s="2">
        <v>44288</v>
      </c>
      <c r="B3973">
        <v>344.75</v>
      </c>
    </row>
    <row r="3974" spans="1:2" x14ac:dyDescent="0.25">
      <c r="A3974" s="2">
        <v>44289</v>
      </c>
      <c r="B3974">
        <v>344.75</v>
      </c>
    </row>
    <row r="3975" spans="1:2" x14ac:dyDescent="0.25">
      <c r="A3975" s="2">
        <v>44290</v>
      </c>
      <c r="B3975">
        <v>344.75</v>
      </c>
    </row>
    <row r="3976" spans="1:2" x14ac:dyDescent="0.25">
      <c r="A3976" s="2">
        <v>44291</v>
      </c>
      <c r="B3976">
        <v>344.75</v>
      </c>
    </row>
    <row r="3977" spans="1:2" x14ac:dyDescent="0.25">
      <c r="A3977" s="2">
        <v>44292</v>
      </c>
      <c r="B3977">
        <v>349.18</v>
      </c>
    </row>
    <row r="3978" spans="1:2" x14ac:dyDescent="0.25">
      <c r="A3978" s="2">
        <v>44293</v>
      </c>
      <c r="B3978">
        <v>347.58</v>
      </c>
    </row>
    <row r="3979" spans="1:2" x14ac:dyDescent="0.25">
      <c r="A3979" s="2">
        <v>44294</v>
      </c>
      <c r="B3979">
        <v>349.44</v>
      </c>
    </row>
    <row r="3980" spans="1:2" x14ac:dyDescent="0.25">
      <c r="A3980" s="2">
        <v>44295</v>
      </c>
      <c r="B3980">
        <v>351.69</v>
      </c>
    </row>
    <row r="3981" spans="1:2" x14ac:dyDescent="0.25">
      <c r="A3981" s="2">
        <v>44296</v>
      </c>
      <c r="B3981">
        <v>351.69</v>
      </c>
    </row>
    <row r="3982" spans="1:2" x14ac:dyDescent="0.25">
      <c r="A3982" s="2">
        <v>44297</v>
      </c>
      <c r="B3982">
        <v>351.69</v>
      </c>
    </row>
    <row r="3983" spans="1:2" x14ac:dyDescent="0.25">
      <c r="A3983" s="2">
        <v>44298</v>
      </c>
      <c r="B3983">
        <v>351.15</v>
      </c>
    </row>
    <row r="3984" spans="1:2" x14ac:dyDescent="0.25">
      <c r="A3984" s="2">
        <v>44299</v>
      </c>
      <c r="B3984">
        <v>352.55</v>
      </c>
    </row>
    <row r="3985" spans="1:2" x14ac:dyDescent="0.25">
      <c r="A3985" s="2">
        <v>44300</v>
      </c>
      <c r="B3985">
        <v>349.15</v>
      </c>
    </row>
    <row r="3986" spans="1:2" x14ac:dyDescent="0.25">
      <c r="A3986" s="2">
        <v>44301</v>
      </c>
      <c r="B3986">
        <v>352.85</v>
      </c>
    </row>
    <row r="3987" spans="1:2" x14ac:dyDescent="0.25">
      <c r="A3987" s="2">
        <v>44302</v>
      </c>
      <c r="B3987">
        <v>353.65</v>
      </c>
    </row>
    <row r="3988" spans="1:2" x14ac:dyDescent="0.25">
      <c r="A3988" s="2">
        <v>44303</v>
      </c>
      <c r="B3988">
        <v>353.65</v>
      </c>
    </row>
    <row r="3989" spans="1:2" x14ac:dyDescent="0.25">
      <c r="A3989" s="2">
        <v>44304</v>
      </c>
      <c r="B3989">
        <v>353.65</v>
      </c>
    </row>
    <row r="3990" spans="1:2" x14ac:dyDescent="0.25">
      <c r="A3990" s="2">
        <v>44305</v>
      </c>
      <c r="B3990">
        <v>350.34</v>
      </c>
    </row>
    <row r="3991" spans="1:2" x14ac:dyDescent="0.25">
      <c r="A3991" s="2">
        <v>44306</v>
      </c>
      <c r="B3991">
        <v>347.51</v>
      </c>
    </row>
    <row r="3992" spans="1:2" x14ac:dyDescent="0.25">
      <c r="A3992" s="2">
        <v>44307</v>
      </c>
      <c r="B3992">
        <v>352.02</v>
      </c>
    </row>
    <row r="3993" spans="1:2" x14ac:dyDescent="0.25">
      <c r="A3993" s="2">
        <v>44308</v>
      </c>
      <c r="B3993">
        <v>347.68</v>
      </c>
    </row>
    <row r="3994" spans="1:2" x14ac:dyDescent="0.25">
      <c r="A3994" s="2">
        <v>44309</v>
      </c>
      <c r="B3994">
        <v>350.9</v>
      </c>
    </row>
    <row r="3995" spans="1:2" x14ac:dyDescent="0.25">
      <c r="A3995" s="2">
        <v>44310</v>
      </c>
      <c r="B3995">
        <v>350.9</v>
      </c>
    </row>
    <row r="3996" spans="1:2" x14ac:dyDescent="0.25">
      <c r="A3996" s="2">
        <v>44311</v>
      </c>
      <c r="B3996">
        <v>350.9</v>
      </c>
    </row>
    <row r="3997" spans="1:2" x14ac:dyDescent="0.25">
      <c r="A3997" s="2">
        <v>44312</v>
      </c>
      <c r="B3997">
        <v>350.97</v>
      </c>
    </row>
    <row r="3998" spans="1:2" x14ac:dyDescent="0.25">
      <c r="A3998" s="2">
        <v>44313</v>
      </c>
      <c r="B3998">
        <v>350.81</v>
      </c>
    </row>
    <row r="3999" spans="1:2" x14ac:dyDescent="0.25">
      <c r="A3999" s="2">
        <v>44314</v>
      </c>
      <c r="B3999">
        <v>351.04</v>
      </c>
    </row>
    <row r="4000" spans="1:2" x14ac:dyDescent="0.25">
      <c r="A4000" s="2">
        <v>44315</v>
      </c>
      <c r="B4000">
        <v>351.71</v>
      </c>
    </row>
    <row r="4001" spans="1:2" x14ac:dyDescent="0.25">
      <c r="A4001" s="2">
        <v>44316</v>
      </c>
      <c r="B4001">
        <v>350.56</v>
      </c>
    </row>
    <row r="4002" spans="1:2" x14ac:dyDescent="0.25">
      <c r="A4002" s="2">
        <v>44317</v>
      </c>
      <c r="B4002">
        <v>350.56</v>
      </c>
    </row>
    <row r="4003" spans="1:2" x14ac:dyDescent="0.25">
      <c r="A4003" s="2">
        <v>44318</v>
      </c>
      <c r="B4003">
        <v>350.56</v>
      </c>
    </row>
    <row r="4004" spans="1:2" x14ac:dyDescent="0.25">
      <c r="A4004" s="2">
        <v>44319</v>
      </c>
      <c r="B4004">
        <v>352.08</v>
      </c>
    </row>
    <row r="4005" spans="1:2" x14ac:dyDescent="0.25">
      <c r="A4005" s="2">
        <v>44320</v>
      </c>
      <c r="B4005">
        <v>350.95</v>
      </c>
    </row>
    <row r="4006" spans="1:2" x14ac:dyDescent="0.25">
      <c r="A4006" s="2">
        <v>44321</v>
      </c>
      <c r="B4006">
        <v>351.66</v>
      </c>
    </row>
    <row r="4007" spans="1:2" x14ac:dyDescent="0.25">
      <c r="A4007" s="2">
        <v>44322</v>
      </c>
      <c r="B4007">
        <v>352.97</v>
      </c>
    </row>
    <row r="4008" spans="1:2" x14ac:dyDescent="0.25">
      <c r="A4008" s="2">
        <v>44323</v>
      </c>
      <c r="B4008">
        <v>355.64</v>
      </c>
    </row>
    <row r="4009" spans="1:2" x14ac:dyDescent="0.25">
      <c r="A4009" s="2">
        <v>44324</v>
      </c>
      <c r="B4009">
        <v>355.64</v>
      </c>
    </row>
    <row r="4010" spans="1:2" x14ac:dyDescent="0.25">
      <c r="A4010" s="2">
        <v>44325</v>
      </c>
      <c r="B4010">
        <v>355.64</v>
      </c>
    </row>
    <row r="4011" spans="1:2" x14ac:dyDescent="0.25">
      <c r="A4011" s="2">
        <v>44326</v>
      </c>
      <c r="B4011">
        <v>348.76</v>
      </c>
    </row>
    <row r="4012" spans="1:2" x14ac:dyDescent="0.25">
      <c r="A4012" s="2">
        <v>44327</v>
      </c>
      <c r="B4012">
        <v>345.71</v>
      </c>
    </row>
    <row r="4013" spans="1:2" x14ac:dyDescent="0.25">
      <c r="A4013" s="2">
        <v>44328</v>
      </c>
      <c r="B4013">
        <v>339.78</v>
      </c>
    </row>
    <row r="4014" spans="1:2" x14ac:dyDescent="0.25">
      <c r="A4014" s="2">
        <v>44329</v>
      </c>
      <c r="B4014">
        <v>345.02</v>
      </c>
    </row>
    <row r="4015" spans="1:2" x14ac:dyDescent="0.25">
      <c r="A4015" s="2">
        <v>44330</v>
      </c>
      <c r="B4015">
        <v>348.98</v>
      </c>
    </row>
    <row r="4016" spans="1:2" x14ac:dyDescent="0.25">
      <c r="A4016" s="2">
        <v>44331</v>
      </c>
      <c r="B4016">
        <v>348.98</v>
      </c>
    </row>
    <row r="4017" spans="1:2" x14ac:dyDescent="0.25">
      <c r="A4017" s="2">
        <v>44332</v>
      </c>
      <c r="B4017">
        <v>348.98</v>
      </c>
    </row>
    <row r="4018" spans="1:2" x14ac:dyDescent="0.25">
      <c r="A4018" s="2">
        <v>44333</v>
      </c>
      <c r="B4018">
        <v>347.53</v>
      </c>
    </row>
    <row r="4019" spans="1:2" x14ac:dyDescent="0.25">
      <c r="A4019" s="2">
        <v>44334</v>
      </c>
      <c r="B4019">
        <v>342.37</v>
      </c>
    </row>
    <row r="4020" spans="1:2" x14ac:dyDescent="0.25">
      <c r="A4020" s="2">
        <v>44335</v>
      </c>
      <c r="B4020">
        <v>341.68</v>
      </c>
    </row>
    <row r="4021" spans="1:2" x14ac:dyDescent="0.25">
      <c r="A4021" s="2">
        <v>44336</v>
      </c>
      <c r="B4021">
        <v>345.57</v>
      </c>
    </row>
    <row r="4022" spans="1:2" x14ac:dyDescent="0.25">
      <c r="A4022" s="2">
        <v>44337</v>
      </c>
      <c r="B4022">
        <v>345.73</v>
      </c>
    </row>
    <row r="4023" spans="1:2" x14ac:dyDescent="0.25">
      <c r="A4023" s="2">
        <v>44338</v>
      </c>
      <c r="B4023">
        <v>345.73</v>
      </c>
    </row>
    <row r="4024" spans="1:2" x14ac:dyDescent="0.25">
      <c r="A4024" s="2">
        <v>44339</v>
      </c>
      <c r="B4024">
        <v>345.73</v>
      </c>
    </row>
    <row r="4025" spans="1:2" x14ac:dyDescent="0.25">
      <c r="A4025" s="2">
        <v>44340</v>
      </c>
      <c r="B4025">
        <v>348.5</v>
      </c>
    </row>
    <row r="4026" spans="1:2" x14ac:dyDescent="0.25">
      <c r="A4026" s="2">
        <v>44341</v>
      </c>
      <c r="B4026">
        <v>346.29</v>
      </c>
    </row>
    <row r="4027" spans="1:2" x14ac:dyDescent="0.25">
      <c r="A4027" s="2">
        <v>44342</v>
      </c>
      <c r="B4027">
        <v>347.94</v>
      </c>
    </row>
    <row r="4028" spans="1:2" x14ac:dyDescent="0.25">
      <c r="A4028" s="2">
        <v>44343</v>
      </c>
      <c r="B4028">
        <v>349.25</v>
      </c>
    </row>
    <row r="4029" spans="1:2" x14ac:dyDescent="0.25">
      <c r="A4029" s="2">
        <v>44344</v>
      </c>
      <c r="B4029">
        <v>351.17</v>
      </c>
    </row>
    <row r="4030" spans="1:2" x14ac:dyDescent="0.25">
      <c r="A4030" s="2">
        <v>44345</v>
      </c>
      <c r="B4030">
        <v>351.17</v>
      </c>
    </row>
    <row r="4031" spans="1:2" x14ac:dyDescent="0.25">
      <c r="A4031" s="2">
        <v>44346</v>
      </c>
      <c r="B4031">
        <v>351.17</v>
      </c>
    </row>
    <row r="4032" spans="1:2" x14ac:dyDescent="0.25">
      <c r="A4032" s="2">
        <v>44347</v>
      </c>
      <c r="B4032">
        <v>348.05</v>
      </c>
    </row>
    <row r="4033" spans="1:2" x14ac:dyDescent="0.25">
      <c r="A4033" s="2">
        <v>44348</v>
      </c>
      <c r="B4033">
        <v>348.62</v>
      </c>
    </row>
    <row r="4034" spans="1:2" x14ac:dyDescent="0.25">
      <c r="A4034" s="2">
        <v>44349</v>
      </c>
      <c r="B4034">
        <v>350.28</v>
      </c>
    </row>
    <row r="4035" spans="1:2" x14ac:dyDescent="0.25">
      <c r="A4035" s="2">
        <v>44350</v>
      </c>
      <c r="B4035">
        <v>349.03</v>
      </c>
    </row>
    <row r="4036" spans="1:2" x14ac:dyDescent="0.25">
      <c r="A4036" s="2">
        <v>44351</v>
      </c>
      <c r="B4036">
        <v>354.15</v>
      </c>
    </row>
    <row r="4037" spans="1:2" x14ac:dyDescent="0.25">
      <c r="A4037" s="2">
        <v>44352</v>
      </c>
      <c r="B4037">
        <v>354.15</v>
      </c>
    </row>
    <row r="4038" spans="1:2" x14ac:dyDescent="0.25">
      <c r="A4038" s="2">
        <v>44353</v>
      </c>
      <c r="B4038">
        <v>354.15</v>
      </c>
    </row>
    <row r="4039" spans="1:2" x14ac:dyDescent="0.25">
      <c r="A4039" s="2">
        <v>44354</v>
      </c>
      <c r="B4039">
        <v>352.56</v>
      </c>
    </row>
    <row r="4040" spans="1:2" x14ac:dyDescent="0.25">
      <c r="A4040" s="2">
        <v>44355</v>
      </c>
      <c r="B4040">
        <v>352.04</v>
      </c>
    </row>
    <row r="4041" spans="1:2" x14ac:dyDescent="0.25">
      <c r="A4041" s="2">
        <v>44356</v>
      </c>
      <c r="B4041">
        <v>351.04</v>
      </c>
    </row>
    <row r="4042" spans="1:2" x14ac:dyDescent="0.25">
      <c r="A4042" s="2">
        <v>44357</v>
      </c>
      <c r="B4042">
        <v>353.29</v>
      </c>
    </row>
    <row r="4043" spans="1:2" x14ac:dyDescent="0.25">
      <c r="A4043" s="2">
        <v>44358</v>
      </c>
      <c r="B4043">
        <v>355.42</v>
      </c>
    </row>
    <row r="4044" spans="1:2" x14ac:dyDescent="0.25">
      <c r="A4044" s="2">
        <v>44359</v>
      </c>
      <c r="B4044">
        <v>355.42</v>
      </c>
    </row>
    <row r="4045" spans="1:2" x14ac:dyDescent="0.25">
      <c r="A4045" s="2">
        <v>44360</v>
      </c>
      <c r="B4045">
        <v>355.42</v>
      </c>
    </row>
    <row r="4046" spans="1:2" x14ac:dyDescent="0.25">
      <c r="A4046" s="2">
        <v>44361</v>
      </c>
      <c r="B4046">
        <v>356.52</v>
      </c>
    </row>
    <row r="4047" spans="1:2" x14ac:dyDescent="0.25">
      <c r="A4047" s="2">
        <v>44362</v>
      </c>
      <c r="B4047">
        <v>355.93</v>
      </c>
    </row>
    <row r="4048" spans="1:2" x14ac:dyDescent="0.25">
      <c r="A4048" s="2">
        <v>44363</v>
      </c>
      <c r="B4048">
        <v>353.55</v>
      </c>
    </row>
    <row r="4049" spans="1:2" x14ac:dyDescent="0.25">
      <c r="A4049" s="2">
        <v>44364</v>
      </c>
      <c r="B4049">
        <v>358.94</v>
      </c>
    </row>
    <row r="4050" spans="1:2" x14ac:dyDescent="0.25">
      <c r="A4050" s="2">
        <v>44365</v>
      </c>
      <c r="B4050">
        <v>355.4</v>
      </c>
    </row>
    <row r="4051" spans="1:2" x14ac:dyDescent="0.25">
      <c r="A4051" s="2">
        <v>44366</v>
      </c>
      <c r="B4051">
        <v>355.4</v>
      </c>
    </row>
    <row r="4052" spans="1:2" x14ac:dyDescent="0.25">
      <c r="A4052" s="2">
        <v>44367</v>
      </c>
      <c r="B4052">
        <v>355.4</v>
      </c>
    </row>
    <row r="4053" spans="1:2" x14ac:dyDescent="0.25">
      <c r="A4053" s="2">
        <v>44368</v>
      </c>
      <c r="B4053">
        <v>360.6</v>
      </c>
    </row>
    <row r="4054" spans="1:2" x14ac:dyDescent="0.25">
      <c r="A4054" s="2">
        <v>44369</v>
      </c>
      <c r="B4054">
        <v>362.36</v>
      </c>
    </row>
    <row r="4055" spans="1:2" x14ac:dyDescent="0.25">
      <c r="A4055" s="2">
        <v>44370</v>
      </c>
      <c r="B4055">
        <v>360.24</v>
      </c>
    </row>
    <row r="4056" spans="1:2" x14ac:dyDescent="0.25">
      <c r="A4056" s="2">
        <v>44371</v>
      </c>
      <c r="B4056">
        <v>362.82</v>
      </c>
    </row>
    <row r="4057" spans="1:2" x14ac:dyDescent="0.25">
      <c r="A4057" s="2">
        <v>44372</v>
      </c>
      <c r="B4057">
        <v>363.61</v>
      </c>
    </row>
    <row r="4058" spans="1:2" x14ac:dyDescent="0.25">
      <c r="A4058" s="2">
        <v>44373</v>
      </c>
      <c r="B4058">
        <v>363.61</v>
      </c>
    </row>
    <row r="4059" spans="1:2" x14ac:dyDescent="0.25">
      <c r="A4059" s="2">
        <v>44374</v>
      </c>
      <c r="B4059">
        <v>363.61</v>
      </c>
    </row>
    <row r="4060" spans="1:2" x14ac:dyDescent="0.25">
      <c r="A4060" s="2">
        <v>44375</v>
      </c>
      <c r="B4060">
        <v>365.67</v>
      </c>
    </row>
    <row r="4061" spans="1:2" x14ac:dyDescent="0.25">
      <c r="A4061" s="2">
        <v>44376</v>
      </c>
      <c r="B4061">
        <v>366.47</v>
      </c>
    </row>
    <row r="4062" spans="1:2" x14ac:dyDescent="0.25">
      <c r="A4062" s="2">
        <v>44377</v>
      </c>
      <c r="B4062">
        <v>367.09</v>
      </c>
    </row>
    <row r="4063" spans="1:2" x14ac:dyDescent="0.25">
      <c r="A4063" s="2">
        <v>44378</v>
      </c>
      <c r="B4063">
        <v>369.03</v>
      </c>
    </row>
    <row r="4064" spans="1:2" x14ac:dyDescent="0.25">
      <c r="A4064" s="2">
        <v>44379</v>
      </c>
      <c r="B4064">
        <v>373.75</v>
      </c>
    </row>
    <row r="4065" spans="1:2" x14ac:dyDescent="0.25">
      <c r="A4065" s="2">
        <v>44380</v>
      </c>
      <c r="B4065">
        <v>373.75</v>
      </c>
    </row>
    <row r="4066" spans="1:2" x14ac:dyDescent="0.25">
      <c r="A4066" s="2">
        <v>44381</v>
      </c>
      <c r="B4066">
        <v>373.75</v>
      </c>
    </row>
    <row r="4067" spans="1:2" x14ac:dyDescent="0.25">
      <c r="A4067" s="2">
        <v>44382</v>
      </c>
      <c r="B4067">
        <v>372.67</v>
      </c>
    </row>
    <row r="4068" spans="1:2" x14ac:dyDescent="0.25">
      <c r="A4068" s="2">
        <v>44383</v>
      </c>
      <c r="B4068">
        <v>372.54</v>
      </c>
    </row>
    <row r="4069" spans="1:2" x14ac:dyDescent="0.25">
      <c r="A4069" s="2">
        <v>44384</v>
      </c>
      <c r="B4069">
        <v>374.01</v>
      </c>
    </row>
    <row r="4070" spans="1:2" x14ac:dyDescent="0.25">
      <c r="A4070" s="2">
        <v>44385</v>
      </c>
      <c r="B4070">
        <v>370.65</v>
      </c>
    </row>
    <row r="4071" spans="1:2" x14ac:dyDescent="0.25">
      <c r="A4071" s="2">
        <v>44386</v>
      </c>
      <c r="B4071">
        <v>374.2</v>
      </c>
    </row>
    <row r="4072" spans="1:2" x14ac:dyDescent="0.25">
      <c r="A4072" s="2">
        <v>44387</v>
      </c>
      <c r="B4072">
        <v>374.2</v>
      </c>
    </row>
    <row r="4073" spans="1:2" x14ac:dyDescent="0.25">
      <c r="A4073" s="2">
        <v>44388</v>
      </c>
      <c r="B4073">
        <v>374.2</v>
      </c>
    </row>
    <row r="4074" spans="1:2" x14ac:dyDescent="0.25">
      <c r="A4074" s="2">
        <v>44389</v>
      </c>
      <c r="B4074">
        <v>375.67</v>
      </c>
    </row>
    <row r="4075" spans="1:2" x14ac:dyDescent="0.25">
      <c r="A4075" s="2">
        <v>44390</v>
      </c>
      <c r="B4075">
        <v>374.61</v>
      </c>
    </row>
    <row r="4076" spans="1:2" x14ac:dyDescent="0.25">
      <c r="A4076" s="2">
        <v>44391</v>
      </c>
      <c r="B4076">
        <v>376.1</v>
      </c>
    </row>
    <row r="4077" spans="1:2" x14ac:dyDescent="0.25">
      <c r="A4077" s="2">
        <v>44392</v>
      </c>
      <c r="B4077">
        <v>374.98</v>
      </c>
    </row>
    <row r="4078" spans="1:2" x14ac:dyDescent="0.25">
      <c r="A4078" s="2">
        <v>44393</v>
      </c>
      <c r="B4078">
        <v>372.37</v>
      </c>
    </row>
    <row r="4079" spans="1:2" x14ac:dyDescent="0.25">
      <c r="A4079" s="2">
        <v>44394</v>
      </c>
      <c r="B4079">
        <v>372.37</v>
      </c>
    </row>
    <row r="4080" spans="1:2" x14ac:dyDescent="0.25">
      <c r="A4080" s="2">
        <v>44395</v>
      </c>
      <c r="B4080">
        <v>372.37</v>
      </c>
    </row>
    <row r="4081" spans="1:2" x14ac:dyDescent="0.25">
      <c r="A4081" s="2">
        <v>44396</v>
      </c>
      <c r="B4081">
        <v>367.58</v>
      </c>
    </row>
    <row r="4082" spans="1:2" x14ac:dyDescent="0.25">
      <c r="A4082" s="2">
        <v>44397</v>
      </c>
      <c r="B4082">
        <v>372.88</v>
      </c>
    </row>
    <row r="4083" spans="1:2" x14ac:dyDescent="0.25">
      <c r="A4083" s="2">
        <v>44398</v>
      </c>
      <c r="B4083">
        <v>376.05</v>
      </c>
    </row>
    <row r="4084" spans="1:2" x14ac:dyDescent="0.25">
      <c r="A4084" s="2">
        <v>44399</v>
      </c>
      <c r="B4084">
        <v>376.74</v>
      </c>
    </row>
    <row r="4085" spans="1:2" x14ac:dyDescent="0.25">
      <c r="A4085" s="2">
        <v>44400</v>
      </c>
      <c r="B4085">
        <v>380.84</v>
      </c>
    </row>
    <row r="4086" spans="1:2" x14ac:dyDescent="0.25">
      <c r="A4086" s="2">
        <v>44401</v>
      </c>
      <c r="B4086">
        <v>380.84</v>
      </c>
    </row>
    <row r="4087" spans="1:2" x14ac:dyDescent="0.25">
      <c r="A4087" s="2">
        <v>44402</v>
      </c>
      <c r="B4087">
        <v>380.84</v>
      </c>
    </row>
    <row r="4088" spans="1:2" x14ac:dyDescent="0.25">
      <c r="A4088" s="2">
        <v>44403</v>
      </c>
      <c r="B4088">
        <v>381.1</v>
      </c>
    </row>
    <row r="4089" spans="1:2" x14ac:dyDescent="0.25">
      <c r="A4089" s="2">
        <v>44404</v>
      </c>
      <c r="B4089">
        <v>378.56</v>
      </c>
    </row>
    <row r="4090" spans="1:2" x14ac:dyDescent="0.25">
      <c r="A4090" s="2">
        <v>44405</v>
      </c>
      <c r="B4090">
        <v>378.59</v>
      </c>
    </row>
    <row r="4091" spans="1:2" x14ac:dyDescent="0.25">
      <c r="A4091" s="2">
        <v>44406</v>
      </c>
      <c r="B4091">
        <v>378.1</v>
      </c>
    </row>
    <row r="4092" spans="1:2" x14ac:dyDescent="0.25">
      <c r="A4092" s="2">
        <v>44407</v>
      </c>
      <c r="B4092">
        <v>375.52</v>
      </c>
    </row>
    <row r="4093" spans="1:2" x14ac:dyDescent="0.25">
      <c r="A4093" s="2">
        <v>44408</v>
      </c>
      <c r="B4093">
        <v>375.52</v>
      </c>
    </row>
    <row r="4094" spans="1:2" x14ac:dyDescent="0.25">
      <c r="A4094" s="2">
        <v>44409</v>
      </c>
      <c r="B4094">
        <v>375.52</v>
      </c>
    </row>
    <row r="4095" spans="1:2" x14ac:dyDescent="0.25">
      <c r="A4095" s="2">
        <v>44410</v>
      </c>
      <c r="B4095">
        <v>374.98</v>
      </c>
    </row>
    <row r="4096" spans="1:2" x14ac:dyDescent="0.25">
      <c r="A4096" s="2">
        <v>44411</v>
      </c>
      <c r="B4096">
        <v>378.09</v>
      </c>
    </row>
    <row r="4097" spans="1:2" x14ac:dyDescent="0.25">
      <c r="A4097" s="2">
        <v>44412</v>
      </c>
      <c r="B4097">
        <v>377.1</v>
      </c>
    </row>
    <row r="4098" spans="1:2" x14ac:dyDescent="0.25">
      <c r="A4098" s="2">
        <v>44413</v>
      </c>
      <c r="B4098">
        <v>379.74</v>
      </c>
    </row>
    <row r="4099" spans="1:2" x14ac:dyDescent="0.25">
      <c r="A4099" s="2">
        <v>44414</v>
      </c>
      <c r="B4099">
        <v>381.8</v>
      </c>
    </row>
    <row r="4100" spans="1:2" x14ac:dyDescent="0.25">
      <c r="A4100" s="2">
        <v>44415</v>
      </c>
      <c r="B4100">
        <v>381.8</v>
      </c>
    </row>
    <row r="4101" spans="1:2" x14ac:dyDescent="0.25">
      <c r="A4101" s="2">
        <v>44416</v>
      </c>
      <c r="B4101">
        <v>381.8</v>
      </c>
    </row>
    <row r="4102" spans="1:2" x14ac:dyDescent="0.25">
      <c r="A4102" s="2">
        <v>44417</v>
      </c>
      <c r="B4102">
        <v>382.95</v>
      </c>
    </row>
    <row r="4103" spans="1:2" x14ac:dyDescent="0.25">
      <c r="A4103" s="2">
        <v>44418</v>
      </c>
      <c r="B4103">
        <v>384.61</v>
      </c>
    </row>
    <row r="4104" spans="1:2" x14ac:dyDescent="0.25">
      <c r="A4104" s="2">
        <v>44419</v>
      </c>
      <c r="B4104">
        <v>385.7</v>
      </c>
    </row>
    <row r="4105" spans="1:2" x14ac:dyDescent="0.25">
      <c r="A4105" s="2">
        <v>44420</v>
      </c>
      <c r="B4105">
        <v>386.23</v>
      </c>
    </row>
    <row r="4106" spans="1:2" x14ac:dyDescent="0.25">
      <c r="A4106" s="2">
        <v>44421</v>
      </c>
      <c r="B4106">
        <v>386.01</v>
      </c>
    </row>
    <row r="4107" spans="1:2" x14ac:dyDescent="0.25">
      <c r="A4107" s="2">
        <v>44422</v>
      </c>
      <c r="B4107">
        <v>386.01</v>
      </c>
    </row>
    <row r="4108" spans="1:2" x14ac:dyDescent="0.25">
      <c r="A4108" s="2">
        <v>44423</v>
      </c>
      <c r="B4108">
        <v>386.01</v>
      </c>
    </row>
    <row r="4109" spans="1:2" x14ac:dyDescent="0.25">
      <c r="A4109" s="2">
        <v>44424</v>
      </c>
      <c r="B4109">
        <v>386.8</v>
      </c>
    </row>
    <row r="4110" spans="1:2" x14ac:dyDescent="0.25">
      <c r="A4110" s="2">
        <v>44425</v>
      </c>
      <c r="B4110">
        <v>384.25</v>
      </c>
    </row>
    <row r="4111" spans="1:2" x14ac:dyDescent="0.25">
      <c r="A4111" s="2">
        <v>44426</v>
      </c>
      <c r="B4111">
        <v>381.61</v>
      </c>
    </row>
    <row r="4112" spans="1:2" x14ac:dyDescent="0.25">
      <c r="A4112" s="2">
        <v>44427</v>
      </c>
      <c r="B4112">
        <v>382.99</v>
      </c>
    </row>
    <row r="4113" spans="1:2" x14ac:dyDescent="0.25">
      <c r="A4113" s="2">
        <v>44428</v>
      </c>
      <c r="B4113">
        <v>386.95</v>
      </c>
    </row>
    <row r="4114" spans="1:2" x14ac:dyDescent="0.25">
      <c r="A4114" s="2">
        <v>44429</v>
      </c>
      <c r="B4114">
        <v>386.95</v>
      </c>
    </row>
    <row r="4115" spans="1:2" x14ac:dyDescent="0.25">
      <c r="A4115" s="2">
        <v>44430</v>
      </c>
      <c r="B4115">
        <v>386.95</v>
      </c>
    </row>
    <row r="4116" spans="1:2" x14ac:dyDescent="0.25">
      <c r="A4116" s="2">
        <v>44431</v>
      </c>
      <c r="B4116">
        <v>388.72</v>
      </c>
    </row>
    <row r="4117" spans="1:2" x14ac:dyDescent="0.25">
      <c r="A4117" s="2">
        <v>44432</v>
      </c>
      <c r="B4117">
        <v>388.57</v>
      </c>
    </row>
    <row r="4118" spans="1:2" x14ac:dyDescent="0.25">
      <c r="A4118" s="2">
        <v>44433</v>
      </c>
      <c r="B4118">
        <v>389.57</v>
      </c>
    </row>
    <row r="4119" spans="1:2" x14ac:dyDescent="0.25">
      <c r="A4119" s="2">
        <v>44434</v>
      </c>
      <c r="B4119">
        <v>386.29</v>
      </c>
    </row>
    <row r="4120" spans="1:2" x14ac:dyDescent="0.25">
      <c r="A4120" s="2">
        <v>44435</v>
      </c>
      <c r="B4120">
        <v>389.9</v>
      </c>
    </row>
    <row r="4121" spans="1:2" x14ac:dyDescent="0.25">
      <c r="A4121" s="2">
        <v>44436</v>
      </c>
      <c r="B4121">
        <v>389.9</v>
      </c>
    </row>
    <row r="4122" spans="1:2" x14ac:dyDescent="0.25">
      <c r="A4122" s="2">
        <v>44437</v>
      </c>
      <c r="B4122">
        <v>389.9</v>
      </c>
    </row>
    <row r="4123" spans="1:2" x14ac:dyDescent="0.25">
      <c r="A4123" s="2">
        <v>44438</v>
      </c>
      <c r="B4123">
        <v>390.82</v>
      </c>
    </row>
    <row r="4124" spans="1:2" x14ac:dyDescent="0.25">
      <c r="A4124" s="2">
        <v>44439</v>
      </c>
      <c r="B4124">
        <v>388.69</v>
      </c>
    </row>
    <row r="4125" spans="1:2" x14ac:dyDescent="0.25">
      <c r="A4125" s="2">
        <v>44440</v>
      </c>
      <c r="B4125">
        <v>389.4</v>
      </c>
    </row>
    <row r="4126" spans="1:2" x14ac:dyDescent="0.25">
      <c r="A4126" s="2">
        <v>44441</v>
      </c>
      <c r="B4126">
        <v>389.6</v>
      </c>
    </row>
    <row r="4127" spans="1:2" x14ac:dyDescent="0.25">
      <c r="A4127" s="2">
        <v>44442</v>
      </c>
      <c r="B4127">
        <v>388.63</v>
      </c>
    </row>
    <row r="4128" spans="1:2" x14ac:dyDescent="0.25">
      <c r="A4128" s="2">
        <v>44443</v>
      </c>
      <c r="B4128">
        <v>388.63</v>
      </c>
    </row>
    <row r="4129" spans="1:2" x14ac:dyDescent="0.25">
      <c r="A4129" s="2">
        <v>44444</v>
      </c>
      <c r="B4129">
        <v>388.63</v>
      </c>
    </row>
    <row r="4130" spans="1:2" x14ac:dyDescent="0.25">
      <c r="A4130" s="2">
        <v>44445</v>
      </c>
      <c r="B4130">
        <v>390.09</v>
      </c>
    </row>
    <row r="4131" spans="1:2" x14ac:dyDescent="0.25">
      <c r="A4131" s="2">
        <v>44446</v>
      </c>
      <c r="B4131">
        <v>387.71</v>
      </c>
    </row>
    <row r="4132" spans="1:2" x14ac:dyDescent="0.25">
      <c r="A4132" s="2">
        <v>44447</v>
      </c>
      <c r="B4132">
        <v>388.28</v>
      </c>
    </row>
    <row r="4133" spans="1:2" x14ac:dyDescent="0.25">
      <c r="A4133" s="2">
        <v>44448</v>
      </c>
      <c r="B4133">
        <v>386.16</v>
      </c>
    </row>
    <row r="4134" spans="1:2" x14ac:dyDescent="0.25">
      <c r="A4134" s="2">
        <v>44449</v>
      </c>
      <c r="B4134">
        <v>383.1</v>
      </c>
    </row>
    <row r="4135" spans="1:2" x14ac:dyDescent="0.25">
      <c r="A4135" s="2">
        <v>44450</v>
      </c>
      <c r="B4135">
        <v>383.1</v>
      </c>
    </row>
    <row r="4136" spans="1:2" x14ac:dyDescent="0.25">
      <c r="A4136" s="2">
        <v>44451</v>
      </c>
      <c r="B4136">
        <v>383.1</v>
      </c>
    </row>
    <row r="4137" spans="1:2" x14ac:dyDescent="0.25">
      <c r="A4137" s="2">
        <v>44452</v>
      </c>
      <c r="B4137">
        <v>385.96</v>
      </c>
    </row>
    <row r="4138" spans="1:2" x14ac:dyDescent="0.25">
      <c r="A4138" s="2">
        <v>44453</v>
      </c>
      <c r="B4138">
        <v>382.72</v>
      </c>
    </row>
    <row r="4139" spans="1:2" x14ac:dyDescent="0.25">
      <c r="A4139" s="2">
        <v>44454</v>
      </c>
      <c r="B4139">
        <v>385.65</v>
      </c>
    </row>
    <row r="4140" spans="1:2" x14ac:dyDescent="0.25">
      <c r="A4140" s="2">
        <v>44455</v>
      </c>
      <c r="B4140">
        <v>387.05</v>
      </c>
    </row>
    <row r="4141" spans="1:2" x14ac:dyDescent="0.25">
      <c r="A4141" s="2">
        <v>44456</v>
      </c>
      <c r="B4141">
        <v>382.97</v>
      </c>
    </row>
    <row r="4142" spans="1:2" x14ac:dyDescent="0.25">
      <c r="A4142" s="2">
        <v>44457</v>
      </c>
      <c r="B4142">
        <v>382.97</v>
      </c>
    </row>
    <row r="4143" spans="1:2" x14ac:dyDescent="0.25">
      <c r="A4143" s="2">
        <v>44458</v>
      </c>
      <c r="B4143">
        <v>382.97</v>
      </c>
    </row>
    <row r="4144" spans="1:2" x14ac:dyDescent="0.25">
      <c r="A4144" s="2">
        <v>44459</v>
      </c>
      <c r="B4144">
        <v>378.69</v>
      </c>
    </row>
    <row r="4145" spans="1:2" x14ac:dyDescent="0.25">
      <c r="A4145" s="2">
        <v>44460</v>
      </c>
      <c r="B4145">
        <v>377.53</v>
      </c>
    </row>
    <row r="4146" spans="1:2" x14ac:dyDescent="0.25">
      <c r="A4146" s="2">
        <v>44461</v>
      </c>
      <c r="B4146">
        <v>381.41</v>
      </c>
    </row>
    <row r="4147" spans="1:2" x14ac:dyDescent="0.25">
      <c r="A4147" s="2">
        <v>44462</v>
      </c>
      <c r="B4147">
        <v>386.51</v>
      </c>
    </row>
    <row r="4148" spans="1:2" x14ac:dyDescent="0.25">
      <c r="A4148" s="2">
        <v>44463</v>
      </c>
      <c r="B4148">
        <v>386.95</v>
      </c>
    </row>
    <row r="4149" spans="1:2" x14ac:dyDescent="0.25">
      <c r="A4149" s="2">
        <v>44464</v>
      </c>
      <c r="B4149">
        <v>386.95</v>
      </c>
    </row>
    <row r="4150" spans="1:2" x14ac:dyDescent="0.25">
      <c r="A4150" s="2">
        <v>44465</v>
      </c>
      <c r="B4150">
        <v>386.95</v>
      </c>
    </row>
    <row r="4151" spans="1:2" x14ac:dyDescent="0.25">
      <c r="A4151" s="2">
        <v>44466</v>
      </c>
      <c r="B4151">
        <v>386.58</v>
      </c>
    </row>
    <row r="4152" spans="1:2" x14ac:dyDescent="0.25">
      <c r="A4152" s="2">
        <v>44467</v>
      </c>
      <c r="B4152">
        <v>379.37</v>
      </c>
    </row>
    <row r="4153" spans="1:2" x14ac:dyDescent="0.25">
      <c r="A4153" s="2">
        <v>44468</v>
      </c>
      <c r="B4153">
        <v>380.78</v>
      </c>
    </row>
    <row r="4154" spans="1:2" x14ac:dyDescent="0.25">
      <c r="A4154" s="2">
        <v>44469</v>
      </c>
      <c r="B4154">
        <v>378.7</v>
      </c>
    </row>
    <row r="4155" spans="1:2" x14ac:dyDescent="0.25">
      <c r="A4155" s="2">
        <v>44470</v>
      </c>
      <c r="B4155">
        <v>382.36</v>
      </c>
    </row>
    <row r="4156" spans="1:2" x14ac:dyDescent="0.25">
      <c r="A4156" s="2">
        <v>44471</v>
      </c>
      <c r="B4156">
        <v>382.36</v>
      </c>
    </row>
    <row r="4157" spans="1:2" x14ac:dyDescent="0.25">
      <c r="A4157" s="2">
        <v>44472</v>
      </c>
      <c r="B4157">
        <v>382.36</v>
      </c>
    </row>
    <row r="4158" spans="1:2" x14ac:dyDescent="0.25">
      <c r="A4158" s="2">
        <v>44473</v>
      </c>
      <c r="B4158">
        <v>376.25</v>
      </c>
    </row>
    <row r="4159" spans="1:2" x14ac:dyDescent="0.25">
      <c r="A4159" s="2">
        <v>44474</v>
      </c>
      <c r="B4159">
        <v>381.36</v>
      </c>
    </row>
    <row r="4160" spans="1:2" x14ac:dyDescent="0.25">
      <c r="A4160" s="2">
        <v>44475</v>
      </c>
      <c r="B4160">
        <v>384.91</v>
      </c>
    </row>
    <row r="4161" spans="1:2" x14ac:dyDescent="0.25">
      <c r="A4161" s="2">
        <v>44476</v>
      </c>
      <c r="B4161">
        <v>387.51</v>
      </c>
    </row>
    <row r="4162" spans="1:2" x14ac:dyDescent="0.25">
      <c r="A4162" s="2">
        <v>44477</v>
      </c>
      <c r="B4162">
        <v>386.53</v>
      </c>
    </row>
    <row r="4163" spans="1:2" x14ac:dyDescent="0.25">
      <c r="A4163" s="2">
        <v>44478</v>
      </c>
      <c r="B4163">
        <v>386.53</v>
      </c>
    </row>
    <row r="4164" spans="1:2" x14ac:dyDescent="0.25">
      <c r="A4164" s="2">
        <v>44479</v>
      </c>
      <c r="B4164">
        <v>386.53</v>
      </c>
    </row>
    <row r="4165" spans="1:2" x14ac:dyDescent="0.25">
      <c r="A4165" s="2">
        <v>44480</v>
      </c>
      <c r="B4165">
        <v>383.71</v>
      </c>
    </row>
    <row r="4166" spans="1:2" x14ac:dyDescent="0.25">
      <c r="A4166" s="2">
        <v>44481</v>
      </c>
      <c r="B4166">
        <v>383.42</v>
      </c>
    </row>
    <row r="4167" spans="1:2" x14ac:dyDescent="0.25">
      <c r="A4167" s="2">
        <v>44482</v>
      </c>
      <c r="B4167">
        <v>384.35</v>
      </c>
    </row>
    <row r="4168" spans="1:2" x14ac:dyDescent="0.25">
      <c r="A4168" s="2">
        <v>44483</v>
      </c>
      <c r="B4168">
        <v>389.6</v>
      </c>
    </row>
    <row r="4169" spans="1:2" x14ac:dyDescent="0.25">
      <c r="A4169" s="2">
        <v>44484</v>
      </c>
      <c r="B4169">
        <v>392.5</v>
      </c>
    </row>
    <row r="4170" spans="1:2" x14ac:dyDescent="0.25">
      <c r="A4170" s="2">
        <v>44485</v>
      </c>
      <c r="B4170">
        <v>392.5</v>
      </c>
    </row>
    <row r="4171" spans="1:2" x14ac:dyDescent="0.25">
      <c r="A4171" s="2">
        <v>44486</v>
      </c>
      <c r="B4171">
        <v>392.5</v>
      </c>
    </row>
    <row r="4172" spans="1:2" x14ac:dyDescent="0.25">
      <c r="A4172" s="2">
        <v>44487</v>
      </c>
      <c r="B4172">
        <v>393.75</v>
      </c>
    </row>
    <row r="4173" spans="1:2" x14ac:dyDescent="0.25">
      <c r="A4173" s="2">
        <v>44488</v>
      </c>
      <c r="B4173">
        <v>394.94</v>
      </c>
    </row>
    <row r="4174" spans="1:2" x14ac:dyDescent="0.25">
      <c r="A4174" s="2">
        <v>44489</v>
      </c>
      <c r="B4174">
        <v>397.48</v>
      </c>
    </row>
    <row r="4175" spans="1:2" x14ac:dyDescent="0.25">
      <c r="A4175" s="2">
        <v>44490</v>
      </c>
      <c r="B4175">
        <v>398.21</v>
      </c>
    </row>
    <row r="4176" spans="1:2" x14ac:dyDescent="0.25">
      <c r="A4176" s="2">
        <v>44491</v>
      </c>
      <c r="B4176">
        <v>398.03</v>
      </c>
    </row>
    <row r="4177" spans="1:2" x14ac:dyDescent="0.25">
      <c r="A4177" s="2">
        <v>44492</v>
      </c>
      <c r="B4177">
        <v>398.03</v>
      </c>
    </row>
    <row r="4178" spans="1:2" x14ac:dyDescent="0.25">
      <c r="A4178" s="2">
        <v>44493</v>
      </c>
      <c r="B4178">
        <v>398.03</v>
      </c>
    </row>
    <row r="4179" spans="1:2" x14ac:dyDescent="0.25">
      <c r="A4179" s="2">
        <v>44494</v>
      </c>
      <c r="B4179">
        <v>400.84</v>
      </c>
    </row>
    <row r="4180" spans="1:2" x14ac:dyDescent="0.25">
      <c r="A4180" s="2">
        <v>44495</v>
      </c>
      <c r="B4180">
        <v>401.06</v>
      </c>
    </row>
    <row r="4181" spans="1:2" x14ac:dyDescent="0.25">
      <c r="A4181" s="2">
        <v>44496</v>
      </c>
      <c r="B4181">
        <v>399.08</v>
      </c>
    </row>
    <row r="4182" spans="1:2" x14ac:dyDescent="0.25">
      <c r="A4182" s="2">
        <v>44497</v>
      </c>
      <c r="B4182">
        <v>403.85</v>
      </c>
    </row>
    <row r="4183" spans="1:2" x14ac:dyDescent="0.25">
      <c r="A4183" s="2">
        <v>44498</v>
      </c>
      <c r="B4183">
        <v>402.87</v>
      </c>
    </row>
    <row r="4184" spans="1:2" x14ac:dyDescent="0.25">
      <c r="A4184" s="2">
        <v>44499</v>
      </c>
      <c r="B4184">
        <v>402.87</v>
      </c>
    </row>
    <row r="4185" spans="1:2" x14ac:dyDescent="0.25">
      <c r="A4185" s="2">
        <v>44500</v>
      </c>
      <c r="B4185">
        <v>402.87</v>
      </c>
    </row>
    <row r="4186" spans="1:2" x14ac:dyDescent="0.25">
      <c r="A4186" s="2">
        <v>44501</v>
      </c>
      <c r="B4186">
        <v>405.93</v>
      </c>
    </row>
    <row r="4187" spans="1:2" x14ac:dyDescent="0.25">
      <c r="A4187" s="2">
        <v>44502</v>
      </c>
      <c r="B4187">
        <v>406.54</v>
      </c>
    </row>
    <row r="4188" spans="1:2" x14ac:dyDescent="0.25">
      <c r="A4188" s="2">
        <v>44503</v>
      </c>
      <c r="B4188">
        <v>410.05</v>
      </c>
    </row>
    <row r="4189" spans="1:2" x14ac:dyDescent="0.25">
      <c r="A4189" s="2">
        <v>44504</v>
      </c>
      <c r="B4189">
        <v>412.14</v>
      </c>
    </row>
    <row r="4190" spans="1:2" x14ac:dyDescent="0.25">
      <c r="A4190" s="2">
        <v>44505</v>
      </c>
      <c r="B4190">
        <v>415.5</v>
      </c>
    </row>
    <row r="4191" spans="1:2" x14ac:dyDescent="0.25">
      <c r="A4191" s="2">
        <v>44506</v>
      </c>
      <c r="B4191">
        <v>415.5</v>
      </c>
    </row>
    <row r="4192" spans="1:2" x14ac:dyDescent="0.25">
      <c r="A4192" s="2">
        <v>44507</v>
      </c>
      <c r="B4192">
        <v>415.5</v>
      </c>
    </row>
    <row r="4193" spans="1:2" x14ac:dyDescent="0.25">
      <c r="A4193" s="2">
        <v>44508</v>
      </c>
      <c r="B4193">
        <v>413.71</v>
      </c>
    </row>
    <row r="4194" spans="1:2" x14ac:dyDescent="0.25">
      <c r="A4194" s="2">
        <v>44509</v>
      </c>
      <c r="B4194">
        <v>412.36</v>
      </c>
    </row>
    <row r="4195" spans="1:2" x14ac:dyDescent="0.25">
      <c r="A4195" s="2">
        <v>44510</v>
      </c>
      <c r="B4195">
        <v>409.72</v>
      </c>
    </row>
    <row r="4196" spans="1:2" x14ac:dyDescent="0.25">
      <c r="A4196" s="2">
        <v>44511</v>
      </c>
      <c r="B4196">
        <v>413.45</v>
      </c>
    </row>
    <row r="4197" spans="1:2" x14ac:dyDescent="0.25">
      <c r="A4197" s="2">
        <v>44512</v>
      </c>
      <c r="B4197">
        <v>416.9</v>
      </c>
    </row>
    <row r="4198" spans="1:2" x14ac:dyDescent="0.25">
      <c r="A4198" s="2">
        <v>44513</v>
      </c>
      <c r="B4198">
        <v>416.9</v>
      </c>
    </row>
    <row r="4199" spans="1:2" x14ac:dyDescent="0.25">
      <c r="A4199" s="2">
        <v>44514</v>
      </c>
      <c r="B4199">
        <v>416.9</v>
      </c>
    </row>
    <row r="4200" spans="1:2" x14ac:dyDescent="0.25">
      <c r="A4200" s="2">
        <v>44515</v>
      </c>
      <c r="B4200">
        <v>417.06</v>
      </c>
    </row>
    <row r="4201" spans="1:2" x14ac:dyDescent="0.25">
      <c r="A4201" s="2">
        <v>44516</v>
      </c>
      <c r="B4201">
        <v>421.48</v>
      </c>
    </row>
    <row r="4202" spans="1:2" x14ac:dyDescent="0.25">
      <c r="A4202" s="2">
        <v>44517</v>
      </c>
      <c r="B4202">
        <v>422.39</v>
      </c>
    </row>
    <row r="4203" spans="1:2" x14ac:dyDescent="0.25">
      <c r="A4203" s="2">
        <v>44518</v>
      </c>
      <c r="B4203">
        <v>422.77</v>
      </c>
    </row>
    <row r="4204" spans="1:2" x14ac:dyDescent="0.25">
      <c r="A4204" s="2">
        <v>44519</v>
      </c>
      <c r="B4204">
        <v>424.96</v>
      </c>
    </row>
    <row r="4205" spans="1:2" x14ac:dyDescent="0.25">
      <c r="A4205" s="2">
        <v>44520</v>
      </c>
      <c r="B4205">
        <v>424.96</v>
      </c>
    </row>
    <row r="4206" spans="1:2" x14ac:dyDescent="0.25">
      <c r="A4206" s="2">
        <v>44521</v>
      </c>
      <c r="B4206">
        <v>424.96</v>
      </c>
    </row>
    <row r="4207" spans="1:2" x14ac:dyDescent="0.25">
      <c r="A4207" s="2">
        <v>44522</v>
      </c>
      <c r="B4207">
        <v>423.36</v>
      </c>
    </row>
    <row r="4208" spans="1:2" x14ac:dyDescent="0.25">
      <c r="A4208" s="2">
        <v>44523</v>
      </c>
      <c r="B4208">
        <v>424.79</v>
      </c>
    </row>
    <row r="4209" spans="1:2" x14ac:dyDescent="0.25">
      <c r="A4209" s="2">
        <v>44524</v>
      </c>
      <c r="B4209">
        <v>427.8</v>
      </c>
    </row>
    <row r="4210" spans="1:2" x14ac:dyDescent="0.25">
      <c r="A4210" s="2">
        <v>44525</v>
      </c>
      <c r="B4210">
        <v>428.1</v>
      </c>
    </row>
    <row r="4211" spans="1:2" x14ac:dyDescent="0.25">
      <c r="A4211" s="2">
        <v>44526</v>
      </c>
      <c r="B4211">
        <v>414.93</v>
      </c>
    </row>
    <row r="4212" spans="1:2" x14ac:dyDescent="0.25">
      <c r="A4212" s="2">
        <v>44527</v>
      </c>
      <c r="B4212">
        <v>414.93</v>
      </c>
    </row>
    <row r="4213" spans="1:2" x14ac:dyDescent="0.25">
      <c r="A4213" s="2">
        <v>44528</v>
      </c>
      <c r="B4213">
        <v>414.93</v>
      </c>
    </row>
    <row r="4214" spans="1:2" x14ac:dyDescent="0.25">
      <c r="A4214" s="2">
        <v>44529</v>
      </c>
      <c r="B4214">
        <v>420.98</v>
      </c>
    </row>
    <row r="4215" spans="1:2" x14ac:dyDescent="0.25">
      <c r="A4215" s="2">
        <v>44530</v>
      </c>
      <c r="B4215">
        <v>409.89</v>
      </c>
    </row>
    <row r="4216" spans="1:2" x14ac:dyDescent="0.25">
      <c r="A4216" s="2">
        <v>44531</v>
      </c>
      <c r="B4216">
        <v>406.83</v>
      </c>
    </row>
    <row r="4217" spans="1:2" x14ac:dyDescent="0.25">
      <c r="A4217" s="2">
        <v>44532</v>
      </c>
      <c r="B4217">
        <v>411.75</v>
      </c>
    </row>
    <row r="4218" spans="1:2" x14ac:dyDescent="0.25">
      <c r="A4218" s="2">
        <v>44533</v>
      </c>
      <c r="B4218">
        <v>410.02</v>
      </c>
    </row>
    <row r="4219" spans="1:2" x14ac:dyDescent="0.25">
      <c r="A4219" s="2">
        <v>44534</v>
      </c>
      <c r="B4219">
        <v>410.02</v>
      </c>
    </row>
    <row r="4220" spans="1:2" x14ac:dyDescent="0.25">
      <c r="A4220" s="2">
        <v>44535</v>
      </c>
      <c r="B4220">
        <v>410.02</v>
      </c>
    </row>
    <row r="4221" spans="1:2" x14ac:dyDescent="0.25">
      <c r="A4221" s="2">
        <v>44536</v>
      </c>
      <c r="B4221">
        <v>414.98</v>
      </c>
    </row>
    <row r="4222" spans="1:2" x14ac:dyDescent="0.25">
      <c r="A4222" s="2">
        <v>44537</v>
      </c>
      <c r="B4222">
        <v>424.75</v>
      </c>
    </row>
    <row r="4223" spans="1:2" x14ac:dyDescent="0.25">
      <c r="A4223" s="2">
        <v>44538</v>
      </c>
      <c r="B4223">
        <v>424.44</v>
      </c>
    </row>
    <row r="4224" spans="1:2" x14ac:dyDescent="0.25">
      <c r="A4224" s="2">
        <v>44539</v>
      </c>
      <c r="B4224">
        <v>420.99</v>
      </c>
    </row>
    <row r="4225" spans="1:2" x14ac:dyDescent="0.25">
      <c r="A4225" s="2">
        <v>44540</v>
      </c>
      <c r="B4225">
        <v>426.45</v>
      </c>
    </row>
    <row r="4226" spans="1:2" x14ac:dyDescent="0.25">
      <c r="A4226" s="2">
        <v>44541</v>
      </c>
      <c r="B4226">
        <v>426.45</v>
      </c>
    </row>
    <row r="4227" spans="1:2" x14ac:dyDescent="0.25">
      <c r="A4227" s="2">
        <v>44542</v>
      </c>
      <c r="B4227">
        <v>426.45</v>
      </c>
    </row>
    <row r="4228" spans="1:2" x14ac:dyDescent="0.25">
      <c r="A4228" s="2">
        <v>44543</v>
      </c>
      <c r="B4228">
        <v>422.37</v>
      </c>
    </row>
    <row r="4229" spans="1:2" x14ac:dyDescent="0.25">
      <c r="A4229" s="2">
        <v>44544</v>
      </c>
      <c r="B4229">
        <v>418.12</v>
      </c>
    </row>
    <row r="4230" spans="1:2" x14ac:dyDescent="0.25">
      <c r="A4230" s="2">
        <v>44545</v>
      </c>
      <c r="B4230">
        <v>426.73</v>
      </c>
    </row>
    <row r="4231" spans="1:2" x14ac:dyDescent="0.25">
      <c r="A4231" s="2">
        <v>44546</v>
      </c>
      <c r="B4231">
        <v>420.25</v>
      </c>
    </row>
    <row r="4232" spans="1:2" x14ac:dyDescent="0.25">
      <c r="A4232" s="2">
        <v>44547</v>
      </c>
      <c r="B4232">
        <v>416.17</v>
      </c>
    </row>
    <row r="4233" spans="1:2" x14ac:dyDescent="0.25">
      <c r="A4233" s="2">
        <v>44548</v>
      </c>
      <c r="B4233">
        <v>416.17</v>
      </c>
    </row>
    <row r="4234" spans="1:2" x14ac:dyDescent="0.25">
      <c r="A4234" s="2">
        <v>44549</v>
      </c>
      <c r="B4234">
        <v>416.17</v>
      </c>
    </row>
    <row r="4235" spans="1:2" x14ac:dyDescent="0.25">
      <c r="A4235" s="2">
        <v>44550</v>
      </c>
      <c r="B4235">
        <v>413.51</v>
      </c>
    </row>
    <row r="4236" spans="1:2" x14ac:dyDescent="0.25">
      <c r="A4236" s="2">
        <v>44551</v>
      </c>
      <c r="B4236">
        <v>420.07</v>
      </c>
    </row>
    <row r="4237" spans="1:2" x14ac:dyDescent="0.25">
      <c r="A4237" s="2">
        <v>44552</v>
      </c>
      <c r="B4237">
        <v>424.16</v>
      </c>
    </row>
    <row r="4238" spans="1:2" x14ac:dyDescent="0.25">
      <c r="A4238" s="2">
        <v>44553</v>
      </c>
      <c r="B4238">
        <v>426.46</v>
      </c>
    </row>
    <row r="4239" spans="1:2" x14ac:dyDescent="0.25">
      <c r="A4239" s="2">
        <v>44554</v>
      </c>
      <c r="B4239">
        <v>426.46</v>
      </c>
    </row>
    <row r="4240" spans="1:2" x14ac:dyDescent="0.25">
      <c r="A4240" s="2">
        <v>44555</v>
      </c>
      <c r="B4240">
        <v>426.46</v>
      </c>
    </row>
    <row r="4241" spans="1:2" x14ac:dyDescent="0.25">
      <c r="A4241" s="2">
        <v>44556</v>
      </c>
      <c r="B4241">
        <v>426.46</v>
      </c>
    </row>
    <row r="4242" spans="1:2" x14ac:dyDescent="0.25">
      <c r="A4242" s="2">
        <v>44557</v>
      </c>
      <c r="B4242">
        <v>429.88</v>
      </c>
    </row>
    <row r="4243" spans="1:2" x14ac:dyDescent="0.25">
      <c r="A4243" s="2">
        <v>44558</v>
      </c>
      <c r="B4243">
        <v>432.41</v>
      </c>
    </row>
    <row r="4244" spans="1:2" x14ac:dyDescent="0.25">
      <c r="A4244" s="2">
        <v>44559</v>
      </c>
      <c r="B4244">
        <v>432.81</v>
      </c>
    </row>
    <row r="4245" spans="1:2" x14ac:dyDescent="0.25">
      <c r="A4245" s="2">
        <v>44560</v>
      </c>
      <c r="B4245">
        <v>430.37</v>
      </c>
    </row>
    <row r="4246" spans="1:2" x14ac:dyDescent="0.25">
      <c r="A4246" s="2">
        <v>44561</v>
      </c>
      <c r="B4246">
        <v>429.56</v>
      </c>
    </row>
    <row r="4247" spans="1:2" x14ac:dyDescent="0.25">
      <c r="A4247" s="2">
        <v>44562</v>
      </c>
      <c r="B4247">
        <v>429.56</v>
      </c>
    </row>
    <row r="4248" spans="1:2" x14ac:dyDescent="0.25">
      <c r="A4248" s="2">
        <v>44563</v>
      </c>
      <c r="B4248">
        <v>429.56</v>
      </c>
    </row>
    <row r="4249" spans="1:2" x14ac:dyDescent="0.25">
      <c r="A4249" s="2">
        <v>44564</v>
      </c>
      <c r="B4249">
        <v>431.68</v>
      </c>
    </row>
    <row r="4250" spans="1:2" x14ac:dyDescent="0.25">
      <c r="A4250" s="2">
        <v>44565</v>
      </c>
      <c r="B4250">
        <v>433.85</v>
      </c>
    </row>
    <row r="4251" spans="1:2" x14ac:dyDescent="0.25">
      <c r="A4251" s="2">
        <v>44566</v>
      </c>
      <c r="B4251">
        <v>423.96</v>
      </c>
    </row>
    <row r="4252" spans="1:2" x14ac:dyDescent="0.25">
      <c r="A4252" s="2">
        <v>44567</v>
      </c>
      <c r="B4252">
        <v>423.73</v>
      </c>
    </row>
    <row r="4253" spans="1:2" x14ac:dyDescent="0.25">
      <c r="A4253" s="2">
        <v>44568</v>
      </c>
      <c r="B4253">
        <v>422.71</v>
      </c>
    </row>
    <row r="4254" spans="1:2" x14ac:dyDescent="0.25">
      <c r="A4254" s="2">
        <v>44569</v>
      </c>
      <c r="B4254">
        <v>422.71</v>
      </c>
    </row>
    <row r="4255" spans="1:2" x14ac:dyDescent="0.25">
      <c r="A4255" s="2">
        <v>44570</v>
      </c>
      <c r="B4255">
        <v>422.71</v>
      </c>
    </row>
    <row r="4256" spans="1:2" x14ac:dyDescent="0.25">
      <c r="A4256" s="2">
        <v>44571</v>
      </c>
      <c r="B4256">
        <v>421.36</v>
      </c>
    </row>
    <row r="4257" spans="1:2" x14ac:dyDescent="0.25">
      <c r="A4257" s="2">
        <v>44572</v>
      </c>
      <c r="B4257">
        <v>424.53</v>
      </c>
    </row>
    <row r="4258" spans="1:2" x14ac:dyDescent="0.25">
      <c r="A4258" s="2">
        <v>44573</v>
      </c>
      <c r="B4258">
        <v>424.46</v>
      </c>
    </row>
    <row r="4259" spans="1:2" x14ac:dyDescent="0.25">
      <c r="A4259" s="2">
        <v>44574</v>
      </c>
      <c r="B4259">
        <v>415.06</v>
      </c>
    </row>
    <row r="4260" spans="1:2" x14ac:dyDescent="0.25">
      <c r="A4260" s="2">
        <v>44575</v>
      </c>
      <c r="B4260">
        <v>415.99</v>
      </c>
    </row>
    <row r="4261" spans="1:2" x14ac:dyDescent="0.25">
      <c r="A4261" s="2">
        <v>44576</v>
      </c>
      <c r="B4261">
        <v>415.99</v>
      </c>
    </row>
    <row r="4262" spans="1:2" x14ac:dyDescent="0.25">
      <c r="A4262" s="2">
        <v>44577</v>
      </c>
      <c r="B4262">
        <v>415.99</v>
      </c>
    </row>
    <row r="4263" spans="1:2" x14ac:dyDescent="0.25">
      <c r="A4263" s="2">
        <v>44578</v>
      </c>
      <c r="B4263">
        <v>417.93</v>
      </c>
    </row>
    <row r="4264" spans="1:2" x14ac:dyDescent="0.25">
      <c r="A4264" s="2">
        <v>44579</v>
      </c>
      <c r="B4264">
        <v>411.22</v>
      </c>
    </row>
    <row r="4265" spans="1:2" x14ac:dyDescent="0.25">
      <c r="A4265" s="2">
        <v>44580</v>
      </c>
      <c r="B4265">
        <v>408.03</v>
      </c>
    </row>
    <row r="4266" spans="1:2" x14ac:dyDescent="0.25">
      <c r="A4266" s="2">
        <v>44581</v>
      </c>
      <c r="B4266">
        <v>403.8</v>
      </c>
    </row>
    <row r="4267" spans="1:2" x14ac:dyDescent="0.25">
      <c r="A4267" s="2">
        <v>44582</v>
      </c>
      <c r="B4267">
        <v>395.81</v>
      </c>
    </row>
    <row r="4268" spans="1:2" x14ac:dyDescent="0.25">
      <c r="A4268" s="2">
        <v>44583</v>
      </c>
      <c r="B4268">
        <v>395.81</v>
      </c>
    </row>
    <row r="4269" spans="1:2" x14ac:dyDescent="0.25">
      <c r="A4269" s="2">
        <v>44584</v>
      </c>
      <c r="B4269">
        <v>395.81</v>
      </c>
    </row>
    <row r="4270" spans="1:2" x14ac:dyDescent="0.25">
      <c r="A4270" s="2">
        <v>44585</v>
      </c>
      <c r="B4270">
        <v>398.45</v>
      </c>
    </row>
    <row r="4271" spans="1:2" x14ac:dyDescent="0.25">
      <c r="A4271" s="2">
        <v>44586</v>
      </c>
      <c r="B4271">
        <v>394.86</v>
      </c>
    </row>
    <row r="4272" spans="1:2" x14ac:dyDescent="0.25">
      <c r="A4272" s="2">
        <v>44587</v>
      </c>
      <c r="B4272">
        <v>393.96</v>
      </c>
    </row>
    <row r="4273" spans="1:2" x14ac:dyDescent="0.25">
      <c r="A4273" s="2">
        <v>44588</v>
      </c>
      <c r="B4273">
        <v>395.97</v>
      </c>
    </row>
    <row r="4274" spans="1:2" x14ac:dyDescent="0.25">
      <c r="A4274" s="2">
        <v>44589</v>
      </c>
      <c r="B4274">
        <v>406.45</v>
      </c>
    </row>
    <row r="4275" spans="1:2" x14ac:dyDescent="0.25">
      <c r="A4275" s="2">
        <v>44590</v>
      </c>
      <c r="B4275">
        <v>406.45</v>
      </c>
    </row>
    <row r="4276" spans="1:2" x14ac:dyDescent="0.25">
      <c r="A4276" s="2">
        <v>44591</v>
      </c>
      <c r="B4276">
        <v>406.45</v>
      </c>
    </row>
    <row r="4277" spans="1:2" x14ac:dyDescent="0.25">
      <c r="A4277" s="2">
        <v>44592</v>
      </c>
      <c r="B4277">
        <v>413.46</v>
      </c>
    </row>
    <row r="4278" spans="1:2" x14ac:dyDescent="0.25">
      <c r="A4278" s="2">
        <v>44593</v>
      </c>
      <c r="B4278">
        <v>412.45</v>
      </c>
    </row>
    <row r="4279" spans="1:2" x14ac:dyDescent="0.25">
      <c r="A4279" s="2">
        <v>44594</v>
      </c>
      <c r="B4279">
        <v>414.02</v>
      </c>
    </row>
    <row r="4280" spans="1:2" x14ac:dyDescent="0.25">
      <c r="A4280" s="2">
        <v>44595</v>
      </c>
      <c r="B4280">
        <v>405.27</v>
      </c>
    </row>
    <row r="4281" spans="1:2" x14ac:dyDescent="0.25">
      <c r="A4281" s="2">
        <v>44596</v>
      </c>
      <c r="B4281">
        <v>401.09</v>
      </c>
    </row>
    <row r="4282" spans="1:2" x14ac:dyDescent="0.25">
      <c r="A4282" s="2">
        <v>44597</v>
      </c>
      <c r="B4282">
        <v>401.09</v>
      </c>
    </row>
    <row r="4283" spans="1:2" x14ac:dyDescent="0.25">
      <c r="A4283" s="2">
        <v>44598</v>
      </c>
      <c r="B4283">
        <v>401.09</v>
      </c>
    </row>
    <row r="4284" spans="1:2" x14ac:dyDescent="0.25">
      <c r="A4284" s="2">
        <v>44599</v>
      </c>
      <c r="B4284">
        <v>400.2</v>
      </c>
    </row>
    <row r="4285" spans="1:2" x14ac:dyDescent="0.25">
      <c r="A4285" s="2">
        <v>44600</v>
      </c>
      <c r="B4285">
        <v>404.95</v>
      </c>
    </row>
    <row r="4286" spans="1:2" x14ac:dyDescent="0.25">
      <c r="A4286" s="2">
        <v>44601</v>
      </c>
      <c r="B4286">
        <v>409.9</v>
      </c>
    </row>
    <row r="4287" spans="1:2" x14ac:dyDescent="0.25">
      <c r="A4287" s="2">
        <v>44602</v>
      </c>
      <c r="B4287">
        <v>402.38</v>
      </c>
    </row>
    <row r="4288" spans="1:2" x14ac:dyDescent="0.25">
      <c r="A4288" s="2">
        <v>44603</v>
      </c>
      <c r="B4288">
        <v>395.52</v>
      </c>
    </row>
    <row r="4289" spans="1:2" x14ac:dyDescent="0.25">
      <c r="A4289" s="2">
        <v>44604</v>
      </c>
      <c r="B4289">
        <v>395.52</v>
      </c>
    </row>
    <row r="4290" spans="1:2" x14ac:dyDescent="0.25">
      <c r="A4290" s="2">
        <v>44605</v>
      </c>
      <c r="B4290">
        <v>395.52</v>
      </c>
    </row>
    <row r="4291" spans="1:2" x14ac:dyDescent="0.25">
      <c r="A4291" s="2">
        <v>44606</v>
      </c>
      <c r="B4291">
        <v>397.53</v>
      </c>
    </row>
    <row r="4292" spans="1:2" x14ac:dyDescent="0.25">
      <c r="A4292" s="2">
        <v>44607</v>
      </c>
      <c r="B4292">
        <v>402.81</v>
      </c>
    </row>
    <row r="4293" spans="1:2" x14ac:dyDescent="0.25">
      <c r="A4293" s="2">
        <v>44608</v>
      </c>
      <c r="B4293">
        <v>402.25</v>
      </c>
    </row>
    <row r="4294" spans="1:2" x14ac:dyDescent="0.25">
      <c r="A4294" s="2">
        <v>44609</v>
      </c>
      <c r="B4294">
        <v>393.84</v>
      </c>
    </row>
    <row r="4295" spans="1:2" x14ac:dyDescent="0.25">
      <c r="A4295" s="2">
        <v>44610</v>
      </c>
      <c r="B4295">
        <v>391.62</v>
      </c>
    </row>
    <row r="4296" spans="1:2" x14ac:dyDescent="0.25">
      <c r="A4296" s="2">
        <v>44611</v>
      </c>
      <c r="B4296">
        <v>391.62</v>
      </c>
    </row>
    <row r="4297" spans="1:2" x14ac:dyDescent="0.25">
      <c r="A4297" s="2">
        <v>44612</v>
      </c>
      <c r="B4297">
        <v>391.62</v>
      </c>
    </row>
    <row r="4298" spans="1:2" x14ac:dyDescent="0.25">
      <c r="A4298" s="2">
        <v>44613</v>
      </c>
      <c r="B4298">
        <v>388.44</v>
      </c>
    </row>
    <row r="4299" spans="1:2" x14ac:dyDescent="0.25">
      <c r="A4299" s="2">
        <v>44614</v>
      </c>
      <c r="B4299">
        <v>388.06</v>
      </c>
    </row>
    <row r="4300" spans="1:2" x14ac:dyDescent="0.25">
      <c r="A4300" s="2">
        <v>44615</v>
      </c>
      <c r="B4300">
        <v>380.85</v>
      </c>
    </row>
    <row r="4301" spans="1:2" x14ac:dyDescent="0.25">
      <c r="A4301" s="2">
        <v>44616</v>
      </c>
      <c r="B4301">
        <v>392.84</v>
      </c>
    </row>
    <row r="4302" spans="1:2" x14ac:dyDescent="0.25">
      <c r="A4302" s="2">
        <v>44617</v>
      </c>
      <c r="B4302">
        <v>399.77</v>
      </c>
    </row>
    <row r="4303" spans="1:2" x14ac:dyDescent="0.25">
      <c r="A4303" s="2">
        <v>44618</v>
      </c>
      <c r="B4303">
        <v>399.77</v>
      </c>
    </row>
    <row r="4304" spans="1:2" x14ac:dyDescent="0.25">
      <c r="A4304" s="2">
        <v>44619</v>
      </c>
      <c r="B4304">
        <v>399.77</v>
      </c>
    </row>
    <row r="4305" spans="1:2" x14ac:dyDescent="0.25">
      <c r="A4305" s="2">
        <v>44620</v>
      </c>
      <c r="B4305">
        <v>399.44</v>
      </c>
    </row>
    <row r="4306" spans="1:2" x14ac:dyDescent="0.25">
      <c r="A4306" s="2">
        <v>44621</v>
      </c>
      <c r="B4306">
        <v>394.56</v>
      </c>
    </row>
    <row r="4307" spans="1:2" x14ac:dyDescent="0.25">
      <c r="A4307" s="2">
        <v>44622</v>
      </c>
      <c r="B4307">
        <v>403.96</v>
      </c>
    </row>
    <row r="4308" spans="1:2" x14ac:dyDescent="0.25">
      <c r="A4308" s="2">
        <v>44623</v>
      </c>
      <c r="B4308">
        <v>402.97</v>
      </c>
    </row>
    <row r="4309" spans="1:2" x14ac:dyDescent="0.25">
      <c r="A4309" s="2">
        <v>44624</v>
      </c>
      <c r="B4309">
        <v>405.17</v>
      </c>
    </row>
    <row r="4310" spans="1:2" x14ac:dyDescent="0.25">
      <c r="A4310" s="2">
        <v>44625</v>
      </c>
      <c r="B4310">
        <v>405.17</v>
      </c>
    </row>
    <row r="4311" spans="1:2" x14ac:dyDescent="0.25">
      <c r="A4311" s="2">
        <v>44626</v>
      </c>
      <c r="B4311">
        <v>405.17</v>
      </c>
    </row>
    <row r="4312" spans="1:2" x14ac:dyDescent="0.25">
      <c r="A4312" s="2">
        <v>44627</v>
      </c>
      <c r="B4312">
        <v>394.44</v>
      </c>
    </row>
    <row r="4313" spans="1:2" x14ac:dyDescent="0.25">
      <c r="A4313" s="2">
        <v>44628</v>
      </c>
      <c r="B4313">
        <v>391.7</v>
      </c>
    </row>
    <row r="4314" spans="1:2" x14ac:dyDescent="0.25">
      <c r="A4314" s="2">
        <v>44629</v>
      </c>
      <c r="B4314">
        <v>398.13</v>
      </c>
    </row>
    <row r="4315" spans="1:2" x14ac:dyDescent="0.25">
      <c r="A4315" s="2">
        <v>44630</v>
      </c>
      <c r="B4315">
        <v>393.2</v>
      </c>
    </row>
    <row r="4316" spans="1:2" x14ac:dyDescent="0.25">
      <c r="A4316" s="2">
        <v>44631</v>
      </c>
      <c r="B4316">
        <v>391.44</v>
      </c>
    </row>
    <row r="4317" spans="1:2" x14ac:dyDescent="0.25">
      <c r="A4317" s="2">
        <v>44632</v>
      </c>
      <c r="B4317">
        <v>391.44</v>
      </c>
    </row>
    <row r="4318" spans="1:2" x14ac:dyDescent="0.25">
      <c r="A4318" s="2">
        <v>44633</v>
      </c>
      <c r="B4318">
        <v>391.44</v>
      </c>
    </row>
    <row r="4319" spans="1:2" x14ac:dyDescent="0.25">
      <c r="A4319" s="2">
        <v>44634</v>
      </c>
      <c r="B4319">
        <v>389.67</v>
      </c>
    </row>
    <row r="4320" spans="1:2" x14ac:dyDescent="0.25">
      <c r="A4320" s="2">
        <v>44635</v>
      </c>
      <c r="B4320">
        <v>396.9</v>
      </c>
    </row>
    <row r="4321" spans="1:2" x14ac:dyDescent="0.25">
      <c r="A4321" s="2">
        <v>44636</v>
      </c>
      <c r="B4321">
        <v>405.68</v>
      </c>
    </row>
    <row r="4322" spans="1:2" x14ac:dyDescent="0.25">
      <c r="A4322" s="2">
        <v>44637</v>
      </c>
      <c r="B4322">
        <v>408.6</v>
      </c>
    </row>
    <row r="4323" spans="1:2" x14ac:dyDescent="0.25">
      <c r="A4323" s="2">
        <v>44638</v>
      </c>
      <c r="B4323">
        <v>414.98</v>
      </c>
    </row>
    <row r="4324" spans="1:2" x14ac:dyDescent="0.25">
      <c r="A4324" s="2">
        <v>44639</v>
      </c>
      <c r="B4324">
        <v>414.98</v>
      </c>
    </row>
    <row r="4325" spans="1:2" x14ac:dyDescent="0.25">
      <c r="A4325" s="2">
        <v>44640</v>
      </c>
      <c r="B4325">
        <v>414.98</v>
      </c>
    </row>
    <row r="4326" spans="1:2" x14ac:dyDescent="0.25">
      <c r="A4326" s="2">
        <v>44641</v>
      </c>
      <c r="B4326">
        <v>413.69</v>
      </c>
    </row>
    <row r="4327" spans="1:2" x14ac:dyDescent="0.25">
      <c r="A4327" s="2">
        <v>44642</v>
      </c>
      <c r="B4327">
        <v>418.9</v>
      </c>
    </row>
    <row r="4328" spans="1:2" x14ac:dyDescent="0.25">
      <c r="A4328" s="2">
        <v>44643</v>
      </c>
      <c r="B4328">
        <v>415.24</v>
      </c>
    </row>
    <row r="4329" spans="1:2" x14ac:dyDescent="0.25">
      <c r="A4329" s="2">
        <v>44644</v>
      </c>
      <c r="B4329">
        <v>421.5</v>
      </c>
    </row>
    <row r="4330" spans="1:2" x14ac:dyDescent="0.25">
      <c r="A4330" s="2">
        <v>44645</v>
      </c>
      <c r="B4330">
        <v>422.7</v>
      </c>
    </row>
    <row r="4331" spans="1:2" x14ac:dyDescent="0.25">
      <c r="A4331" s="2">
        <v>44646</v>
      </c>
      <c r="B4331">
        <v>422.7</v>
      </c>
    </row>
    <row r="4332" spans="1:2" x14ac:dyDescent="0.25">
      <c r="A4332" s="2">
        <v>44647</v>
      </c>
      <c r="B4332">
        <v>422.7</v>
      </c>
    </row>
    <row r="4333" spans="1:2" x14ac:dyDescent="0.25">
      <c r="A4333" s="2">
        <v>44648</v>
      </c>
      <c r="B4333">
        <v>427.12</v>
      </c>
    </row>
    <row r="4334" spans="1:2" x14ac:dyDescent="0.25">
      <c r="A4334" s="2">
        <v>44649</v>
      </c>
      <c r="B4334">
        <v>427.71</v>
      </c>
    </row>
    <row r="4335" spans="1:2" x14ac:dyDescent="0.25">
      <c r="A4335" s="2">
        <v>44650</v>
      </c>
      <c r="B4335">
        <v>423.49</v>
      </c>
    </row>
    <row r="4336" spans="1:2" x14ac:dyDescent="0.25">
      <c r="A4336" s="2">
        <v>44651</v>
      </c>
      <c r="B4336">
        <v>417.83</v>
      </c>
    </row>
    <row r="4337" spans="1:2" x14ac:dyDescent="0.25">
      <c r="A4337" s="2">
        <v>44652</v>
      </c>
      <c r="B4337">
        <v>421.11</v>
      </c>
    </row>
    <row r="4338" spans="1:2" x14ac:dyDescent="0.25">
      <c r="A4338" s="2">
        <v>44653</v>
      </c>
      <c r="B4338">
        <v>421.11</v>
      </c>
    </row>
    <row r="4339" spans="1:2" x14ac:dyDescent="0.25">
      <c r="A4339" s="2">
        <v>44654</v>
      </c>
      <c r="B4339">
        <v>421.11</v>
      </c>
    </row>
    <row r="4340" spans="1:2" x14ac:dyDescent="0.25">
      <c r="A4340" s="2">
        <v>44655</v>
      </c>
      <c r="B4340">
        <v>426.33</v>
      </c>
    </row>
    <row r="4341" spans="1:2" x14ac:dyDescent="0.25">
      <c r="A4341" s="2">
        <v>44656</v>
      </c>
      <c r="B4341">
        <v>422.42</v>
      </c>
    </row>
    <row r="4342" spans="1:2" x14ac:dyDescent="0.25">
      <c r="A4342" s="2">
        <v>44657</v>
      </c>
      <c r="B4342">
        <v>420.08</v>
      </c>
    </row>
    <row r="4343" spans="1:2" x14ac:dyDescent="0.25">
      <c r="A4343" s="2">
        <v>44658</v>
      </c>
      <c r="B4343">
        <v>422.18</v>
      </c>
    </row>
    <row r="4344" spans="1:2" x14ac:dyDescent="0.25">
      <c r="A4344" s="2">
        <v>44659</v>
      </c>
      <c r="B4344">
        <v>423.19</v>
      </c>
    </row>
    <row r="4345" spans="1:2" x14ac:dyDescent="0.25">
      <c r="A4345" s="2">
        <v>44660</v>
      </c>
      <c r="B4345">
        <v>423.19</v>
      </c>
    </row>
    <row r="4346" spans="1:2" x14ac:dyDescent="0.25">
      <c r="A4346" s="2">
        <v>44661</v>
      </c>
      <c r="B4346">
        <v>423.19</v>
      </c>
    </row>
    <row r="4347" spans="1:2" x14ac:dyDescent="0.25">
      <c r="A4347" s="2">
        <v>44662</v>
      </c>
      <c r="B4347">
        <v>414.56</v>
      </c>
    </row>
    <row r="4348" spans="1:2" x14ac:dyDescent="0.25">
      <c r="A4348" s="2">
        <v>44663</v>
      </c>
      <c r="B4348">
        <v>414.64</v>
      </c>
    </row>
    <row r="4349" spans="1:2" x14ac:dyDescent="0.25">
      <c r="A4349" s="2">
        <v>44664</v>
      </c>
      <c r="B4349">
        <v>420.7</v>
      </c>
    </row>
    <row r="4350" spans="1:2" x14ac:dyDescent="0.25">
      <c r="A4350" s="2">
        <v>44665</v>
      </c>
      <c r="B4350">
        <v>413.6</v>
      </c>
    </row>
    <row r="4351" spans="1:2" x14ac:dyDescent="0.25">
      <c r="A4351" s="2">
        <v>44666</v>
      </c>
      <c r="B4351">
        <v>420.5</v>
      </c>
    </row>
    <row r="4352" spans="1:2" x14ac:dyDescent="0.25">
      <c r="A4352" s="2">
        <v>44667</v>
      </c>
      <c r="B4352">
        <v>420.5</v>
      </c>
    </row>
    <row r="4353" spans="1:2" x14ac:dyDescent="0.25">
      <c r="A4353" s="2">
        <v>44668</v>
      </c>
      <c r="B4353">
        <v>420.5</v>
      </c>
    </row>
    <row r="4354" spans="1:2" x14ac:dyDescent="0.25">
      <c r="A4354" s="2">
        <v>44669</v>
      </c>
      <c r="B4354">
        <v>420.5</v>
      </c>
    </row>
    <row r="4355" spans="1:2" x14ac:dyDescent="0.25">
      <c r="A4355" s="2">
        <v>44670</v>
      </c>
      <c r="B4355">
        <v>423.08</v>
      </c>
    </row>
    <row r="4356" spans="1:2" x14ac:dyDescent="0.25">
      <c r="A4356" s="2">
        <v>44671</v>
      </c>
      <c r="B4356">
        <v>421.76</v>
      </c>
    </row>
    <row r="4357" spans="1:2" x14ac:dyDescent="0.25">
      <c r="A4357" s="2">
        <v>44672</v>
      </c>
      <c r="B4357">
        <v>413.4</v>
      </c>
    </row>
    <row r="4358" spans="1:2" x14ac:dyDescent="0.25">
      <c r="A4358" s="2">
        <v>44673</v>
      </c>
      <c r="B4358">
        <v>404.53</v>
      </c>
    </row>
    <row r="4359" spans="1:2" x14ac:dyDescent="0.25">
      <c r="A4359" s="2">
        <v>44674</v>
      </c>
      <c r="B4359">
        <v>404.53</v>
      </c>
    </row>
    <row r="4360" spans="1:2" x14ac:dyDescent="0.25">
      <c r="A4360" s="2">
        <v>44675</v>
      </c>
      <c r="B4360">
        <v>404.53</v>
      </c>
    </row>
    <row r="4361" spans="1:2" x14ac:dyDescent="0.25">
      <c r="A4361" s="2">
        <v>44676</v>
      </c>
      <c r="B4361">
        <v>409.53</v>
      </c>
    </row>
    <row r="4362" spans="1:2" x14ac:dyDescent="0.25">
      <c r="A4362" s="2">
        <v>44677</v>
      </c>
      <c r="B4362">
        <v>400.69</v>
      </c>
    </row>
    <row r="4363" spans="1:2" x14ac:dyDescent="0.25">
      <c r="A4363" s="2">
        <v>44678</v>
      </c>
      <c r="B4363">
        <v>404.99</v>
      </c>
    </row>
    <row r="4364" spans="1:2" x14ac:dyDescent="0.25">
      <c r="A4364" s="2">
        <v>44679</v>
      </c>
      <c r="B4364">
        <v>418.9</v>
      </c>
    </row>
    <row r="4365" spans="1:2" x14ac:dyDescent="0.25">
      <c r="A4365" s="2">
        <v>44680</v>
      </c>
      <c r="B4365">
        <v>401.62</v>
      </c>
    </row>
    <row r="4366" spans="1:2" x14ac:dyDescent="0.25">
      <c r="A4366" s="2">
        <v>44681</v>
      </c>
      <c r="B4366">
        <v>401.62</v>
      </c>
    </row>
    <row r="4367" spans="1:2" x14ac:dyDescent="0.25">
      <c r="A4367" s="2">
        <v>44682</v>
      </c>
      <c r="B4367">
        <v>401.62</v>
      </c>
    </row>
    <row r="4368" spans="1:2" x14ac:dyDescent="0.25">
      <c r="A4368" s="2">
        <v>44683</v>
      </c>
      <c r="B4368">
        <v>401.48</v>
      </c>
    </row>
    <row r="4369" spans="1:2" x14ac:dyDescent="0.25">
      <c r="A4369" s="2">
        <v>44684</v>
      </c>
      <c r="B4369">
        <v>405.24</v>
      </c>
    </row>
    <row r="4370" spans="1:2" x14ac:dyDescent="0.25">
      <c r="A4370" s="2">
        <v>44685</v>
      </c>
      <c r="B4370">
        <v>418.34</v>
      </c>
    </row>
    <row r="4371" spans="1:2" x14ac:dyDescent="0.25">
      <c r="A4371" s="2">
        <v>44686</v>
      </c>
      <c r="B4371">
        <v>402.04</v>
      </c>
    </row>
    <row r="4372" spans="1:2" x14ac:dyDescent="0.25">
      <c r="A4372" s="2">
        <v>44687</v>
      </c>
      <c r="B4372">
        <v>399.74</v>
      </c>
    </row>
    <row r="4373" spans="1:2" x14ac:dyDescent="0.25">
      <c r="A4373" s="2">
        <v>44688</v>
      </c>
      <c r="B4373">
        <v>399.74</v>
      </c>
    </row>
    <row r="4374" spans="1:2" x14ac:dyDescent="0.25">
      <c r="A4374" s="2">
        <v>44689</v>
      </c>
      <c r="B4374">
        <v>399.74</v>
      </c>
    </row>
    <row r="4375" spans="1:2" x14ac:dyDescent="0.25">
      <c r="A4375" s="2">
        <v>44690</v>
      </c>
      <c r="B4375">
        <v>387.37</v>
      </c>
    </row>
    <row r="4376" spans="1:2" x14ac:dyDescent="0.25">
      <c r="A4376" s="2">
        <v>44691</v>
      </c>
      <c r="B4376">
        <v>388.5</v>
      </c>
    </row>
    <row r="4377" spans="1:2" x14ac:dyDescent="0.25">
      <c r="A4377" s="2">
        <v>44692</v>
      </c>
      <c r="B4377">
        <v>382.15</v>
      </c>
    </row>
    <row r="4378" spans="1:2" x14ac:dyDescent="0.25">
      <c r="A4378" s="2">
        <v>44693</v>
      </c>
      <c r="B4378">
        <v>387.09</v>
      </c>
    </row>
    <row r="4379" spans="1:2" x14ac:dyDescent="0.25">
      <c r="A4379" s="2">
        <v>44694</v>
      </c>
      <c r="B4379">
        <v>397.25</v>
      </c>
    </row>
    <row r="4380" spans="1:2" x14ac:dyDescent="0.25">
      <c r="A4380" s="2">
        <v>44695</v>
      </c>
      <c r="B4380">
        <v>397.25</v>
      </c>
    </row>
    <row r="4381" spans="1:2" x14ac:dyDescent="0.25">
      <c r="A4381" s="2">
        <v>44696</v>
      </c>
      <c r="B4381">
        <v>397.25</v>
      </c>
    </row>
    <row r="4382" spans="1:2" x14ac:dyDescent="0.25">
      <c r="A4382" s="2">
        <v>44697</v>
      </c>
      <c r="B4382">
        <v>394.29</v>
      </c>
    </row>
    <row r="4383" spans="1:2" x14ac:dyDescent="0.25">
      <c r="A4383" s="2">
        <v>44698</v>
      </c>
      <c r="B4383">
        <v>397.71</v>
      </c>
    </row>
    <row r="4384" spans="1:2" x14ac:dyDescent="0.25">
      <c r="A4384" s="2">
        <v>44699</v>
      </c>
      <c r="B4384">
        <v>382.38</v>
      </c>
    </row>
    <row r="4385" spans="1:2" x14ac:dyDescent="0.25">
      <c r="A4385" s="2">
        <v>44700</v>
      </c>
      <c r="B4385">
        <v>380.11</v>
      </c>
    </row>
    <row r="4386" spans="1:2" x14ac:dyDescent="0.25">
      <c r="A4386" s="2">
        <v>44701</v>
      </c>
      <c r="B4386">
        <v>378.3</v>
      </c>
    </row>
    <row r="4387" spans="1:2" x14ac:dyDescent="0.25">
      <c r="A4387" s="2">
        <v>44702</v>
      </c>
      <c r="B4387">
        <v>378.3</v>
      </c>
    </row>
    <row r="4388" spans="1:2" x14ac:dyDescent="0.25">
      <c r="A4388" s="2">
        <v>44703</v>
      </c>
      <c r="B4388">
        <v>378.3</v>
      </c>
    </row>
    <row r="4389" spans="1:2" x14ac:dyDescent="0.25">
      <c r="A4389" s="2">
        <v>44704</v>
      </c>
      <c r="B4389">
        <v>382.39</v>
      </c>
    </row>
    <row r="4390" spans="1:2" x14ac:dyDescent="0.25">
      <c r="A4390" s="2">
        <v>44705</v>
      </c>
      <c r="B4390">
        <v>377.14</v>
      </c>
    </row>
    <row r="4391" spans="1:2" x14ac:dyDescent="0.25">
      <c r="A4391" s="2">
        <v>44706</v>
      </c>
      <c r="B4391">
        <v>383</v>
      </c>
    </row>
    <row r="4392" spans="1:2" x14ac:dyDescent="0.25">
      <c r="A4392" s="2">
        <v>44707</v>
      </c>
      <c r="B4392">
        <v>389.12</v>
      </c>
    </row>
    <row r="4393" spans="1:2" x14ac:dyDescent="0.25">
      <c r="A4393" s="2">
        <v>44708</v>
      </c>
      <c r="B4393">
        <v>397.87</v>
      </c>
    </row>
    <row r="4394" spans="1:2" x14ac:dyDescent="0.25">
      <c r="A4394" s="2">
        <v>44709</v>
      </c>
      <c r="B4394">
        <v>397.87</v>
      </c>
    </row>
    <row r="4395" spans="1:2" x14ac:dyDescent="0.25">
      <c r="A4395" s="2">
        <v>44710</v>
      </c>
      <c r="B4395">
        <v>397.87</v>
      </c>
    </row>
    <row r="4396" spans="1:2" x14ac:dyDescent="0.25">
      <c r="A4396" s="2">
        <v>44711</v>
      </c>
      <c r="B4396">
        <v>398.03</v>
      </c>
    </row>
    <row r="4397" spans="1:2" x14ac:dyDescent="0.25">
      <c r="A4397" s="2">
        <v>44712</v>
      </c>
      <c r="B4397">
        <v>395.73</v>
      </c>
    </row>
    <row r="4398" spans="1:2" x14ac:dyDescent="0.25">
      <c r="A4398" s="2">
        <v>44713</v>
      </c>
      <c r="B4398">
        <v>392.85</v>
      </c>
    </row>
    <row r="4399" spans="1:2" x14ac:dyDescent="0.25">
      <c r="A4399" s="2">
        <v>44714</v>
      </c>
      <c r="B4399">
        <v>394.19</v>
      </c>
    </row>
    <row r="4400" spans="1:2" x14ac:dyDescent="0.25">
      <c r="A4400" s="2">
        <v>44715</v>
      </c>
      <c r="B4400">
        <v>392.95</v>
      </c>
    </row>
    <row r="4401" spans="1:2" x14ac:dyDescent="0.25">
      <c r="A4401" s="2">
        <v>44716</v>
      </c>
      <c r="B4401">
        <v>392.95</v>
      </c>
    </row>
    <row r="4402" spans="1:2" x14ac:dyDescent="0.25">
      <c r="A4402" s="2">
        <v>44717</v>
      </c>
      <c r="B4402">
        <v>392.95</v>
      </c>
    </row>
    <row r="4403" spans="1:2" x14ac:dyDescent="0.25">
      <c r="A4403" s="2">
        <v>44718</v>
      </c>
      <c r="B4403">
        <v>394.35</v>
      </c>
    </row>
    <row r="4404" spans="1:2" x14ac:dyDescent="0.25">
      <c r="A4404" s="2">
        <v>44719</v>
      </c>
      <c r="B4404">
        <v>400.51</v>
      </c>
    </row>
    <row r="4405" spans="1:2" x14ac:dyDescent="0.25">
      <c r="A4405" s="2">
        <v>44720</v>
      </c>
      <c r="B4405">
        <v>393.35</v>
      </c>
    </row>
    <row r="4406" spans="1:2" x14ac:dyDescent="0.25">
      <c r="A4406" s="2">
        <v>44721</v>
      </c>
      <c r="B4406">
        <v>383.88</v>
      </c>
    </row>
    <row r="4407" spans="1:2" x14ac:dyDescent="0.25">
      <c r="A4407" s="2">
        <v>44722</v>
      </c>
      <c r="B4407">
        <v>378.53</v>
      </c>
    </row>
    <row r="4408" spans="1:2" x14ac:dyDescent="0.25">
      <c r="A4408" s="2">
        <v>44723</v>
      </c>
      <c r="B4408">
        <v>378.53</v>
      </c>
    </row>
    <row r="4409" spans="1:2" x14ac:dyDescent="0.25">
      <c r="A4409" s="2">
        <v>44724</v>
      </c>
      <c r="B4409">
        <v>378.53</v>
      </c>
    </row>
    <row r="4410" spans="1:2" x14ac:dyDescent="0.25">
      <c r="A4410" s="2">
        <v>44725</v>
      </c>
      <c r="B4410">
        <v>368.13</v>
      </c>
    </row>
    <row r="4411" spans="1:2" x14ac:dyDescent="0.25">
      <c r="A4411" s="2">
        <v>44726</v>
      </c>
      <c r="B4411">
        <v>366.96</v>
      </c>
    </row>
    <row r="4412" spans="1:2" x14ac:dyDescent="0.25">
      <c r="A4412" s="2">
        <v>44727</v>
      </c>
      <c r="B4412">
        <v>373.07</v>
      </c>
    </row>
    <row r="4413" spans="1:2" x14ac:dyDescent="0.25">
      <c r="A4413" s="2">
        <v>44728</v>
      </c>
      <c r="B4413">
        <v>362.06</v>
      </c>
    </row>
    <row r="4414" spans="1:2" x14ac:dyDescent="0.25">
      <c r="A4414" s="2">
        <v>44729</v>
      </c>
      <c r="B4414">
        <v>359.88</v>
      </c>
    </row>
    <row r="4415" spans="1:2" x14ac:dyDescent="0.25">
      <c r="A4415" s="2">
        <v>44730</v>
      </c>
      <c r="B4415">
        <v>359.88</v>
      </c>
    </row>
    <row r="4416" spans="1:2" x14ac:dyDescent="0.25">
      <c r="A4416" s="2">
        <v>44731</v>
      </c>
      <c r="B4416">
        <v>359.88</v>
      </c>
    </row>
    <row r="4417" spans="1:2" x14ac:dyDescent="0.25">
      <c r="A4417" s="2">
        <v>44732</v>
      </c>
      <c r="B4417">
        <v>359.63</v>
      </c>
    </row>
    <row r="4418" spans="1:2" x14ac:dyDescent="0.25">
      <c r="A4418" s="2">
        <v>44733</v>
      </c>
      <c r="B4418">
        <v>366.46</v>
      </c>
    </row>
    <row r="4419" spans="1:2" x14ac:dyDescent="0.25">
      <c r="A4419" s="2">
        <v>44734</v>
      </c>
      <c r="B4419">
        <v>367</v>
      </c>
    </row>
    <row r="4420" spans="1:2" x14ac:dyDescent="0.25">
      <c r="A4420" s="2">
        <v>44735</v>
      </c>
      <c r="B4420">
        <v>371.5</v>
      </c>
    </row>
    <row r="4421" spans="1:2" x14ac:dyDescent="0.25">
      <c r="A4421" s="2">
        <v>44736</v>
      </c>
      <c r="B4421">
        <v>381.74</v>
      </c>
    </row>
    <row r="4422" spans="1:2" x14ac:dyDescent="0.25">
      <c r="A4422" s="2">
        <v>44737</v>
      </c>
      <c r="B4422">
        <v>381.74</v>
      </c>
    </row>
    <row r="4423" spans="1:2" x14ac:dyDescent="0.25">
      <c r="A4423" s="2">
        <v>44738</v>
      </c>
      <c r="B4423">
        <v>381.74</v>
      </c>
    </row>
    <row r="4424" spans="1:2" x14ac:dyDescent="0.25">
      <c r="A4424" s="2">
        <v>44739</v>
      </c>
      <c r="B4424">
        <v>378.88</v>
      </c>
    </row>
    <row r="4425" spans="1:2" x14ac:dyDescent="0.25">
      <c r="A4425" s="2">
        <v>44740</v>
      </c>
      <c r="B4425">
        <v>371.63</v>
      </c>
    </row>
    <row r="4426" spans="1:2" x14ac:dyDescent="0.25">
      <c r="A4426" s="2">
        <v>44741</v>
      </c>
      <c r="B4426">
        <v>372.96</v>
      </c>
    </row>
    <row r="4427" spans="1:2" x14ac:dyDescent="0.25">
      <c r="A4427" s="2">
        <v>44742</v>
      </c>
      <c r="B4427">
        <v>374.37</v>
      </c>
    </row>
    <row r="4428" spans="1:2" x14ac:dyDescent="0.25">
      <c r="A4428" s="2">
        <v>44743</v>
      </c>
      <c r="B4428">
        <v>376.94</v>
      </c>
    </row>
    <row r="4429" spans="1:2" x14ac:dyDescent="0.25">
      <c r="A4429" s="2">
        <v>44744</v>
      </c>
      <c r="B4429">
        <v>376.94</v>
      </c>
    </row>
    <row r="4430" spans="1:2" x14ac:dyDescent="0.25">
      <c r="A4430" s="2">
        <v>44745</v>
      </c>
      <c r="B4430">
        <v>376.94</v>
      </c>
    </row>
    <row r="4431" spans="1:2" x14ac:dyDescent="0.25">
      <c r="A4431" s="2">
        <v>44746</v>
      </c>
      <c r="B4431">
        <v>375.5</v>
      </c>
    </row>
    <row r="4432" spans="1:2" x14ac:dyDescent="0.25">
      <c r="A4432" s="2">
        <v>44747</v>
      </c>
      <c r="B4432">
        <v>382.55</v>
      </c>
    </row>
    <row r="4433" spans="1:2" x14ac:dyDescent="0.25">
      <c r="A4433" s="2">
        <v>44748</v>
      </c>
      <c r="B4433">
        <v>388.19</v>
      </c>
    </row>
    <row r="4434" spans="1:2" x14ac:dyDescent="0.25">
      <c r="A4434" s="2">
        <v>44749</v>
      </c>
      <c r="B4434">
        <v>393.92</v>
      </c>
    </row>
    <row r="4435" spans="1:2" x14ac:dyDescent="0.25">
      <c r="A4435" s="2">
        <v>44750</v>
      </c>
      <c r="B4435">
        <v>394.27</v>
      </c>
    </row>
    <row r="4436" spans="1:2" x14ac:dyDescent="0.25">
      <c r="A4436" s="2">
        <v>44751</v>
      </c>
      <c r="B4436">
        <v>394.27</v>
      </c>
    </row>
    <row r="4437" spans="1:2" x14ac:dyDescent="0.25">
      <c r="A4437" s="2">
        <v>44752</v>
      </c>
      <c r="B4437">
        <v>394.27</v>
      </c>
    </row>
    <row r="4438" spans="1:2" x14ac:dyDescent="0.25">
      <c r="A4438" s="2">
        <v>44753</v>
      </c>
      <c r="B4438">
        <v>392.25</v>
      </c>
    </row>
    <row r="4439" spans="1:2" x14ac:dyDescent="0.25">
      <c r="A4439" s="2">
        <v>44754</v>
      </c>
      <c r="B4439">
        <v>390.79</v>
      </c>
    </row>
    <row r="4440" spans="1:2" x14ac:dyDescent="0.25">
      <c r="A4440" s="2">
        <v>44755</v>
      </c>
      <c r="B4440">
        <v>388.09</v>
      </c>
    </row>
    <row r="4441" spans="1:2" x14ac:dyDescent="0.25">
      <c r="A4441" s="2">
        <v>44756</v>
      </c>
      <c r="B4441">
        <v>389.37</v>
      </c>
    </row>
    <row r="4442" spans="1:2" x14ac:dyDescent="0.25">
      <c r="A4442" s="2">
        <v>44757</v>
      </c>
      <c r="B4442">
        <v>394.71</v>
      </c>
    </row>
    <row r="4443" spans="1:2" x14ac:dyDescent="0.25">
      <c r="A4443" s="2">
        <v>44758</v>
      </c>
      <c r="B4443">
        <v>394.71</v>
      </c>
    </row>
    <row r="4444" spans="1:2" x14ac:dyDescent="0.25">
      <c r="A4444" s="2">
        <v>44759</v>
      </c>
      <c r="B4444">
        <v>394.71</v>
      </c>
    </row>
    <row r="4445" spans="1:2" x14ac:dyDescent="0.25">
      <c r="A4445" s="2">
        <v>44760</v>
      </c>
      <c r="B4445">
        <v>388.62</v>
      </c>
    </row>
    <row r="4446" spans="1:2" x14ac:dyDescent="0.25">
      <c r="A4446" s="2">
        <v>44761</v>
      </c>
      <c r="B4446">
        <v>394.93</v>
      </c>
    </row>
    <row r="4447" spans="1:2" x14ac:dyDescent="0.25">
      <c r="A4447" s="2">
        <v>44762</v>
      </c>
      <c r="B4447">
        <v>399.06</v>
      </c>
    </row>
    <row r="4448" spans="1:2" x14ac:dyDescent="0.25">
      <c r="A4448" s="2">
        <v>44763</v>
      </c>
      <c r="B4448">
        <v>403.02</v>
      </c>
    </row>
    <row r="4449" spans="1:2" x14ac:dyDescent="0.25">
      <c r="A4449" s="2">
        <v>44764</v>
      </c>
      <c r="B4449">
        <v>399.62</v>
      </c>
    </row>
    <row r="4450" spans="1:2" x14ac:dyDescent="0.25">
      <c r="A4450" s="2">
        <v>44765</v>
      </c>
      <c r="B4450">
        <v>399.62</v>
      </c>
    </row>
    <row r="4451" spans="1:2" x14ac:dyDescent="0.25">
      <c r="A4451" s="2">
        <v>44766</v>
      </c>
      <c r="B4451">
        <v>399.62</v>
      </c>
    </row>
    <row r="4452" spans="1:2" x14ac:dyDescent="0.25">
      <c r="A4452" s="2">
        <v>44767</v>
      </c>
      <c r="B4452">
        <v>398.34</v>
      </c>
    </row>
    <row r="4453" spans="1:2" x14ac:dyDescent="0.25">
      <c r="A4453" s="2">
        <v>44768</v>
      </c>
      <c r="B4453">
        <v>398.1</v>
      </c>
    </row>
    <row r="4454" spans="1:2" x14ac:dyDescent="0.25">
      <c r="A4454" s="2">
        <v>44769</v>
      </c>
      <c r="B4454">
        <v>407.39</v>
      </c>
    </row>
    <row r="4455" spans="1:2" x14ac:dyDescent="0.25">
      <c r="A4455" s="2">
        <v>44770</v>
      </c>
      <c r="B4455">
        <v>413.6</v>
      </c>
    </row>
    <row r="4456" spans="1:2" x14ac:dyDescent="0.25">
      <c r="A4456" s="2">
        <v>44771</v>
      </c>
      <c r="B4456">
        <v>416.39</v>
      </c>
    </row>
    <row r="4457" spans="1:2" x14ac:dyDescent="0.25">
      <c r="A4457" s="2">
        <v>44772</v>
      </c>
      <c r="B4457">
        <v>416.39</v>
      </c>
    </row>
    <row r="4458" spans="1:2" x14ac:dyDescent="0.25">
      <c r="A4458" s="2">
        <v>44773</v>
      </c>
      <c r="B4458">
        <v>416.39</v>
      </c>
    </row>
    <row r="4459" spans="1:2" x14ac:dyDescent="0.25">
      <c r="A4459" s="2">
        <v>44774</v>
      </c>
      <c r="B4459">
        <v>413.79</v>
      </c>
    </row>
    <row r="4460" spans="1:2" x14ac:dyDescent="0.25">
      <c r="A4460" s="2">
        <v>44775</v>
      </c>
      <c r="B4460">
        <v>411.39</v>
      </c>
    </row>
    <row r="4461" spans="1:2" x14ac:dyDescent="0.25">
      <c r="A4461" s="2">
        <v>44776</v>
      </c>
      <c r="B4461">
        <v>419.06</v>
      </c>
    </row>
    <row r="4462" spans="1:2" x14ac:dyDescent="0.25">
      <c r="A4462" s="2">
        <v>44777</v>
      </c>
      <c r="B4462">
        <v>419.3</v>
      </c>
    </row>
    <row r="4463" spans="1:2" x14ac:dyDescent="0.25">
      <c r="A4463" s="2">
        <v>44778</v>
      </c>
      <c r="B4463">
        <v>416.53</v>
      </c>
    </row>
    <row r="4464" spans="1:2" x14ac:dyDescent="0.25">
      <c r="A4464" s="2">
        <v>44779</v>
      </c>
      <c r="B4464">
        <v>416.53</v>
      </c>
    </row>
    <row r="4465" spans="1:2" x14ac:dyDescent="0.25">
      <c r="A4465" s="2">
        <v>44780</v>
      </c>
      <c r="B4465">
        <v>416.53</v>
      </c>
    </row>
    <row r="4466" spans="1:2" x14ac:dyDescent="0.25">
      <c r="A4466" s="2">
        <v>44781</v>
      </c>
      <c r="B4466">
        <v>417.41</v>
      </c>
    </row>
    <row r="4467" spans="1:2" x14ac:dyDescent="0.25">
      <c r="A4467" s="2">
        <v>44782</v>
      </c>
      <c r="B4467">
        <v>414.24</v>
      </c>
    </row>
    <row r="4468" spans="1:2" x14ac:dyDescent="0.25">
      <c r="A4468" s="2">
        <v>44783</v>
      </c>
      <c r="B4468">
        <v>422.33</v>
      </c>
    </row>
    <row r="4469" spans="1:2" x14ac:dyDescent="0.25">
      <c r="A4469" s="2">
        <v>44784</v>
      </c>
      <c r="B4469">
        <v>418.62</v>
      </c>
    </row>
    <row r="4470" spans="1:2" x14ac:dyDescent="0.25">
      <c r="A4470" s="2">
        <v>44785</v>
      </c>
      <c r="B4470">
        <v>428.11</v>
      </c>
    </row>
    <row r="4471" spans="1:2" x14ac:dyDescent="0.25">
      <c r="A4471" s="2">
        <v>44786</v>
      </c>
      <c r="B4471">
        <v>428.11</v>
      </c>
    </row>
    <row r="4472" spans="1:2" x14ac:dyDescent="0.25">
      <c r="A4472" s="2">
        <v>44787</v>
      </c>
      <c r="B4472">
        <v>428.11</v>
      </c>
    </row>
    <row r="4473" spans="1:2" x14ac:dyDescent="0.25">
      <c r="A4473" s="2">
        <v>44788</v>
      </c>
      <c r="B4473">
        <v>433.61</v>
      </c>
    </row>
    <row r="4474" spans="1:2" x14ac:dyDescent="0.25">
      <c r="A4474" s="2">
        <v>44789</v>
      </c>
      <c r="B4474">
        <v>437.19</v>
      </c>
    </row>
    <row r="4475" spans="1:2" x14ac:dyDescent="0.25">
      <c r="A4475" s="2">
        <v>44790</v>
      </c>
      <c r="B4475">
        <v>432.68</v>
      </c>
    </row>
    <row r="4476" spans="1:2" x14ac:dyDescent="0.25">
      <c r="A4476" s="2">
        <v>44791</v>
      </c>
      <c r="B4476">
        <v>433.12</v>
      </c>
    </row>
    <row r="4477" spans="1:2" x14ac:dyDescent="0.25">
      <c r="A4477" s="2">
        <v>44792</v>
      </c>
      <c r="B4477">
        <v>432.82</v>
      </c>
    </row>
    <row r="4478" spans="1:2" x14ac:dyDescent="0.25">
      <c r="A4478" s="2">
        <v>44793</v>
      </c>
      <c r="B4478">
        <v>432.82</v>
      </c>
    </row>
    <row r="4479" spans="1:2" x14ac:dyDescent="0.25">
      <c r="A4479" s="2">
        <v>44794</v>
      </c>
      <c r="B4479">
        <v>432.82</v>
      </c>
    </row>
    <row r="4480" spans="1:2" x14ac:dyDescent="0.25">
      <c r="A4480" s="2">
        <v>44795</v>
      </c>
      <c r="B4480">
        <v>425.84</v>
      </c>
    </row>
    <row r="4481" spans="1:2" x14ac:dyDescent="0.25">
      <c r="A4481" s="2">
        <v>44796</v>
      </c>
      <c r="B4481">
        <v>428.05</v>
      </c>
    </row>
    <row r="4482" spans="1:2" x14ac:dyDescent="0.25">
      <c r="A4482" s="2">
        <v>44797</v>
      </c>
      <c r="B4482">
        <v>429.01</v>
      </c>
    </row>
    <row r="4483" spans="1:2" x14ac:dyDescent="0.25">
      <c r="A4483" s="2">
        <v>44798</v>
      </c>
      <c r="B4483">
        <v>433.49</v>
      </c>
    </row>
    <row r="4484" spans="1:2" x14ac:dyDescent="0.25">
      <c r="A4484" s="2">
        <v>44799</v>
      </c>
      <c r="B4484">
        <v>417.35</v>
      </c>
    </row>
    <row r="4485" spans="1:2" x14ac:dyDescent="0.25">
      <c r="A4485" s="2">
        <v>44800</v>
      </c>
      <c r="B4485">
        <v>417.35</v>
      </c>
    </row>
    <row r="4486" spans="1:2" x14ac:dyDescent="0.25">
      <c r="A4486" s="2">
        <v>44801</v>
      </c>
      <c r="B4486">
        <v>417.35</v>
      </c>
    </row>
    <row r="4487" spans="1:2" x14ac:dyDescent="0.25">
      <c r="A4487" s="2">
        <v>44802</v>
      </c>
      <c r="B4487">
        <v>414.81</v>
      </c>
    </row>
    <row r="4488" spans="1:2" x14ac:dyDescent="0.25">
      <c r="A4488" s="2">
        <v>44803</v>
      </c>
      <c r="B4488">
        <v>408.93</v>
      </c>
    </row>
    <row r="4489" spans="1:2" x14ac:dyDescent="0.25">
      <c r="A4489" s="2">
        <v>44804</v>
      </c>
      <c r="B4489">
        <v>407.18</v>
      </c>
    </row>
    <row r="4490" spans="1:2" x14ac:dyDescent="0.25">
      <c r="A4490" s="2">
        <v>44805</v>
      </c>
      <c r="B4490">
        <v>408.3</v>
      </c>
    </row>
    <row r="4491" spans="1:2" x14ac:dyDescent="0.25">
      <c r="A4491" s="2">
        <v>44806</v>
      </c>
      <c r="B4491">
        <v>404.38</v>
      </c>
    </row>
    <row r="4492" spans="1:2" x14ac:dyDescent="0.25">
      <c r="A4492" s="2">
        <v>44807</v>
      </c>
      <c r="B4492">
        <v>404.38</v>
      </c>
    </row>
    <row r="4493" spans="1:2" x14ac:dyDescent="0.25">
      <c r="A4493" s="2">
        <v>44808</v>
      </c>
      <c r="B4493">
        <v>404.38</v>
      </c>
    </row>
    <row r="4494" spans="1:2" x14ac:dyDescent="0.25">
      <c r="A4494" s="2">
        <v>44809</v>
      </c>
      <c r="B4494">
        <v>408.27</v>
      </c>
    </row>
    <row r="4495" spans="1:2" x14ac:dyDescent="0.25">
      <c r="A4495" s="2">
        <v>44810</v>
      </c>
      <c r="B4495">
        <v>405.38</v>
      </c>
    </row>
    <row r="4496" spans="1:2" x14ac:dyDescent="0.25">
      <c r="A4496" s="2">
        <v>44811</v>
      </c>
      <c r="B4496">
        <v>414.62</v>
      </c>
    </row>
    <row r="4497" spans="1:2" x14ac:dyDescent="0.25">
      <c r="A4497" s="2">
        <v>44812</v>
      </c>
      <c r="B4497">
        <v>412.24</v>
      </c>
    </row>
    <row r="4498" spans="1:2" x14ac:dyDescent="0.25">
      <c r="A4498" s="2">
        <v>44813</v>
      </c>
      <c r="B4498">
        <v>416.9</v>
      </c>
    </row>
    <row r="4499" spans="1:2" x14ac:dyDescent="0.25">
      <c r="A4499" s="2">
        <v>44814</v>
      </c>
      <c r="B4499">
        <v>416.9</v>
      </c>
    </row>
    <row r="4500" spans="1:2" x14ac:dyDescent="0.25">
      <c r="A4500" s="2">
        <v>44815</v>
      </c>
      <c r="B4500">
        <v>416.9</v>
      </c>
    </row>
    <row r="4501" spans="1:2" x14ac:dyDescent="0.25">
      <c r="A4501" s="2">
        <v>44816</v>
      </c>
      <c r="B4501">
        <v>416.91</v>
      </c>
    </row>
    <row r="4502" spans="1:2" x14ac:dyDescent="0.25">
      <c r="A4502" s="2">
        <v>44817</v>
      </c>
      <c r="B4502">
        <v>398.1</v>
      </c>
    </row>
    <row r="4503" spans="1:2" x14ac:dyDescent="0.25">
      <c r="A4503" s="2">
        <v>44818</v>
      </c>
      <c r="B4503">
        <v>406.85</v>
      </c>
    </row>
    <row r="4504" spans="1:2" x14ac:dyDescent="0.25">
      <c r="A4504" s="2">
        <v>44819</v>
      </c>
      <c r="B4504">
        <v>402.29</v>
      </c>
    </row>
    <row r="4505" spans="1:2" x14ac:dyDescent="0.25">
      <c r="A4505" s="2">
        <v>44820</v>
      </c>
      <c r="B4505">
        <v>400.93</v>
      </c>
    </row>
    <row r="4506" spans="1:2" x14ac:dyDescent="0.25">
      <c r="A4506" s="2">
        <v>44821</v>
      </c>
      <c r="B4506">
        <v>400.93</v>
      </c>
    </row>
    <row r="4507" spans="1:2" x14ac:dyDescent="0.25">
      <c r="A4507" s="2">
        <v>44822</v>
      </c>
      <c r="B4507">
        <v>400.93</v>
      </c>
    </row>
    <row r="4508" spans="1:2" x14ac:dyDescent="0.25">
      <c r="A4508" s="2">
        <v>44823</v>
      </c>
      <c r="B4508">
        <v>398.16</v>
      </c>
    </row>
    <row r="4509" spans="1:2" x14ac:dyDescent="0.25">
      <c r="A4509" s="2">
        <v>44824</v>
      </c>
      <c r="B4509">
        <v>397.86</v>
      </c>
    </row>
    <row r="4510" spans="1:2" x14ac:dyDescent="0.25">
      <c r="A4510" s="2">
        <v>44825</v>
      </c>
      <c r="B4510">
        <v>394.23</v>
      </c>
    </row>
    <row r="4511" spans="1:2" x14ac:dyDescent="0.25">
      <c r="A4511" s="2">
        <v>44826</v>
      </c>
      <c r="B4511">
        <v>391.79</v>
      </c>
    </row>
    <row r="4512" spans="1:2" x14ac:dyDescent="0.25">
      <c r="A4512" s="2">
        <v>44827</v>
      </c>
      <c r="B4512">
        <v>390.18</v>
      </c>
    </row>
    <row r="4513" spans="1:2" x14ac:dyDescent="0.25">
      <c r="A4513" s="2">
        <v>44828</v>
      </c>
      <c r="B4513">
        <v>390.18</v>
      </c>
    </row>
    <row r="4514" spans="1:2" x14ac:dyDescent="0.25">
      <c r="A4514" s="2">
        <v>44829</v>
      </c>
      <c r="B4514">
        <v>390.18</v>
      </c>
    </row>
    <row r="4515" spans="1:2" x14ac:dyDescent="0.25">
      <c r="A4515" s="2">
        <v>44830</v>
      </c>
      <c r="B4515">
        <v>390.47</v>
      </c>
    </row>
    <row r="4516" spans="1:2" x14ac:dyDescent="0.25">
      <c r="A4516" s="2">
        <v>44831</v>
      </c>
      <c r="B4516">
        <v>389.74</v>
      </c>
    </row>
    <row r="4517" spans="1:2" x14ac:dyDescent="0.25">
      <c r="A4517" s="2">
        <v>44832</v>
      </c>
      <c r="B4517">
        <v>400.71</v>
      </c>
    </row>
    <row r="4518" spans="1:2" x14ac:dyDescent="0.25">
      <c r="A4518" s="2">
        <v>44833</v>
      </c>
      <c r="B4518">
        <v>386.6</v>
      </c>
    </row>
    <row r="4519" spans="1:2" x14ac:dyDescent="0.25">
      <c r="A4519" s="2">
        <v>44834</v>
      </c>
      <c r="B4519">
        <v>379.14</v>
      </c>
    </row>
    <row r="4520" spans="1:2" x14ac:dyDescent="0.25">
      <c r="A4520" s="2">
        <v>44835</v>
      </c>
      <c r="B4520">
        <v>379.14</v>
      </c>
    </row>
    <row r="4521" spans="1:2" x14ac:dyDescent="0.25">
      <c r="A4521" s="2">
        <v>44836</v>
      </c>
      <c r="B4521">
        <v>379.14</v>
      </c>
    </row>
    <row r="4522" spans="1:2" x14ac:dyDescent="0.25">
      <c r="A4522" s="2">
        <v>44837</v>
      </c>
      <c r="B4522">
        <v>388.32</v>
      </c>
    </row>
    <row r="4523" spans="1:2" x14ac:dyDescent="0.25">
      <c r="A4523" s="2">
        <v>44838</v>
      </c>
      <c r="B4523">
        <v>395.09</v>
      </c>
    </row>
    <row r="4524" spans="1:2" x14ac:dyDescent="0.25">
      <c r="A4524" s="2">
        <v>44839</v>
      </c>
      <c r="B4524">
        <v>393.36</v>
      </c>
    </row>
    <row r="4525" spans="1:2" x14ac:dyDescent="0.25">
      <c r="A4525" s="2">
        <v>44840</v>
      </c>
      <c r="B4525">
        <v>391.62</v>
      </c>
    </row>
    <row r="4526" spans="1:2" x14ac:dyDescent="0.25">
      <c r="A4526" s="2">
        <v>44841</v>
      </c>
      <c r="B4526">
        <v>383.11</v>
      </c>
    </row>
    <row r="4527" spans="1:2" x14ac:dyDescent="0.25">
      <c r="A4527" s="2">
        <v>44842</v>
      </c>
      <c r="B4527">
        <v>383.11</v>
      </c>
    </row>
    <row r="4528" spans="1:2" x14ac:dyDescent="0.25">
      <c r="A4528" s="2">
        <v>44843</v>
      </c>
      <c r="B4528">
        <v>383.11</v>
      </c>
    </row>
    <row r="4529" spans="1:2" x14ac:dyDescent="0.25">
      <c r="A4529" s="2">
        <v>44844</v>
      </c>
      <c r="B4529">
        <v>384.16</v>
      </c>
    </row>
    <row r="4530" spans="1:2" x14ac:dyDescent="0.25">
      <c r="A4530" s="2">
        <v>44845</v>
      </c>
      <c r="B4530">
        <v>380.64</v>
      </c>
    </row>
    <row r="4531" spans="1:2" x14ac:dyDescent="0.25">
      <c r="A4531" s="2">
        <v>44846</v>
      </c>
      <c r="B4531">
        <v>380.06</v>
      </c>
    </row>
    <row r="4532" spans="1:2" x14ac:dyDescent="0.25">
      <c r="A4532" s="2">
        <v>44847</v>
      </c>
      <c r="B4532">
        <v>388.65</v>
      </c>
    </row>
    <row r="4533" spans="1:2" x14ac:dyDescent="0.25">
      <c r="A4533" s="2">
        <v>44848</v>
      </c>
      <c r="B4533">
        <v>380.32</v>
      </c>
    </row>
    <row r="4534" spans="1:2" x14ac:dyDescent="0.25">
      <c r="A4534" s="2">
        <v>44849</v>
      </c>
      <c r="B4534">
        <v>380.32</v>
      </c>
    </row>
    <row r="4535" spans="1:2" x14ac:dyDescent="0.25">
      <c r="A4535" s="2">
        <v>44850</v>
      </c>
      <c r="B4535">
        <v>380.32</v>
      </c>
    </row>
    <row r="4536" spans="1:2" x14ac:dyDescent="0.25">
      <c r="A4536" s="2">
        <v>44851</v>
      </c>
      <c r="B4536">
        <v>389.52</v>
      </c>
    </row>
    <row r="4537" spans="1:2" x14ac:dyDescent="0.25">
      <c r="A4537" s="2">
        <v>44852</v>
      </c>
      <c r="B4537">
        <v>390.13</v>
      </c>
    </row>
    <row r="4538" spans="1:2" x14ac:dyDescent="0.25">
      <c r="A4538" s="2">
        <v>44853</v>
      </c>
      <c r="B4538">
        <v>389.78</v>
      </c>
    </row>
    <row r="4539" spans="1:2" x14ac:dyDescent="0.25">
      <c r="A4539" s="2">
        <v>44854</v>
      </c>
      <c r="B4539">
        <v>385.41</v>
      </c>
    </row>
    <row r="4540" spans="1:2" x14ac:dyDescent="0.25">
      <c r="A4540" s="2">
        <v>44855</v>
      </c>
      <c r="B4540">
        <v>397.85</v>
      </c>
    </row>
    <row r="4541" spans="1:2" x14ac:dyDescent="0.25">
      <c r="A4541" s="2">
        <v>44856</v>
      </c>
      <c r="B4541">
        <v>397.85</v>
      </c>
    </row>
    <row r="4542" spans="1:2" x14ac:dyDescent="0.25">
      <c r="A4542" s="2">
        <v>44857</v>
      </c>
      <c r="B4542">
        <v>397.85</v>
      </c>
    </row>
    <row r="4543" spans="1:2" x14ac:dyDescent="0.25">
      <c r="A4543" s="2">
        <v>44858</v>
      </c>
      <c r="B4543">
        <v>397.63</v>
      </c>
    </row>
    <row r="4544" spans="1:2" x14ac:dyDescent="0.25">
      <c r="A4544" s="2">
        <v>44859</v>
      </c>
      <c r="B4544">
        <v>403.69</v>
      </c>
    </row>
    <row r="4545" spans="1:2" x14ac:dyDescent="0.25">
      <c r="A4545" s="2">
        <v>44860</v>
      </c>
      <c r="B4545">
        <v>394.23</v>
      </c>
    </row>
    <row r="4546" spans="1:2" x14ac:dyDescent="0.25">
      <c r="A4546" s="2">
        <v>44861</v>
      </c>
      <c r="B4546">
        <v>391.3</v>
      </c>
    </row>
    <row r="4547" spans="1:2" x14ac:dyDescent="0.25">
      <c r="A4547" s="2">
        <v>44862</v>
      </c>
      <c r="B4547">
        <v>404.43</v>
      </c>
    </row>
    <row r="4548" spans="1:2" x14ac:dyDescent="0.25">
      <c r="A4548" s="2">
        <v>44863</v>
      </c>
      <c r="B4548">
        <v>404.43</v>
      </c>
    </row>
    <row r="4549" spans="1:2" x14ac:dyDescent="0.25">
      <c r="A4549" s="2">
        <v>44864</v>
      </c>
      <c r="B4549">
        <v>404.43</v>
      </c>
    </row>
    <row r="4550" spans="1:2" x14ac:dyDescent="0.25">
      <c r="A4550" s="2">
        <v>44865</v>
      </c>
      <c r="B4550">
        <v>402.94</v>
      </c>
    </row>
    <row r="4551" spans="1:2" x14ac:dyDescent="0.25">
      <c r="A4551" s="2">
        <v>44866</v>
      </c>
      <c r="B4551">
        <v>399.95</v>
      </c>
    </row>
    <row r="4552" spans="1:2" x14ac:dyDescent="0.25">
      <c r="A4552" s="2">
        <v>44867</v>
      </c>
      <c r="B4552">
        <v>391.48</v>
      </c>
    </row>
    <row r="4553" spans="1:2" x14ac:dyDescent="0.25">
      <c r="A4553" s="2">
        <v>44868</v>
      </c>
      <c r="B4553">
        <v>393.54</v>
      </c>
    </row>
    <row r="4554" spans="1:2" x14ac:dyDescent="0.25">
      <c r="A4554" s="2">
        <v>44869</v>
      </c>
      <c r="B4554">
        <v>394.17</v>
      </c>
    </row>
    <row r="4555" spans="1:2" x14ac:dyDescent="0.25">
      <c r="A4555" s="2">
        <v>44870</v>
      </c>
      <c r="B4555">
        <v>394.17</v>
      </c>
    </row>
    <row r="4556" spans="1:2" x14ac:dyDescent="0.25">
      <c r="A4556" s="2">
        <v>44871</v>
      </c>
      <c r="B4556">
        <v>394.17</v>
      </c>
    </row>
    <row r="4557" spans="1:2" x14ac:dyDescent="0.25">
      <c r="A4557" s="2">
        <v>44872</v>
      </c>
      <c r="B4557">
        <v>393.14</v>
      </c>
    </row>
    <row r="4558" spans="1:2" x14ac:dyDescent="0.25">
      <c r="A4558" s="2">
        <v>44873</v>
      </c>
      <c r="B4558">
        <v>395.22</v>
      </c>
    </row>
    <row r="4559" spans="1:2" x14ac:dyDescent="0.25">
      <c r="A4559" s="2">
        <v>44874</v>
      </c>
      <c r="B4559">
        <v>385.43</v>
      </c>
    </row>
    <row r="4560" spans="1:2" x14ac:dyDescent="0.25">
      <c r="A4560" s="2">
        <v>44875</v>
      </c>
      <c r="B4560">
        <v>410.29</v>
      </c>
    </row>
    <row r="4561" spans="1:2" x14ac:dyDescent="0.25">
      <c r="A4561" s="2">
        <v>44876</v>
      </c>
      <c r="B4561">
        <v>399.85</v>
      </c>
    </row>
    <row r="4562" spans="1:2" x14ac:dyDescent="0.25">
      <c r="A4562" s="2">
        <v>44877</v>
      </c>
      <c r="B4562">
        <v>399.85</v>
      </c>
    </row>
    <row r="4563" spans="1:2" x14ac:dyDescent="0.25">
      <c r="A4563" s="2">
        <v>44878</v>
      </c>
      <c r="B4563">
        <v>399.85</v>
      </c>
    </row>
    <row r="4564" spans="1:2" x14ac:dyDescent="0.25">
      <c r="A4564" s="2">
        <v>44879</v>
      </c>
      <c r="B4564">
        <v>395.94</v>
      </c>
    </row>
    <row r="4565" spans="1:2" x14ac:dyDescent="0.25">
      <c r="A4565" s="2">
        <v>44880</v>
      </c>
      <c r="B4565">
        <v>396.15</v>
      </c>
    </row>
    <row r="4566" spans="1:2" x14ac:dyDescent="0.25">
      <c r="A4566" s="2">
        <v>44881</v>
      </c>
      <c r="B4566">
        <v>392.65</v>
      </c>
    </row>
    <row r="4567" spans="1:2" x14ac:dyDescent="0.25">
      <c r="A4567" s="2">
        <v>44882</v>
      </c>
      <c r="B4567">
        <v>395.04</v>
      </c>
    </row>
    <row r="4568" spans="1:2" x14ac:dyDescent="0.25">
      <c r="A4568" s="2">
        <v>44883</v>
      </c>
      <c r="B4568">
        <v>395.13</v>
      </c>
    </row>
    <row r="4569" spans="1:2" x14ac:dyDescent="0.25">
      <c r="A4569" s="2">
        <v>44884</v>
      </c>
      <c r="B4569">
        <v>395.13</v>
      </c>
    </row>
    <row r="4570" spans="1:2" x14ac:dyDescent="0.25">
      <c r="A4570" s="2">
        <v>44885</v>
      </c>
      <c r="B4570">
        <v>395.13</v>
      </c>
    </row>
    <row r="4571" spans="1:2" x14ac:dyDescent="0.25">
      <c r="A4571" s="2">
        <v>44886</v>
      </c>
      <c r="B4571">
        <v>398.23</v>
      </c>
    </row>
    <row r="4572" spans="1:2" x14ac:dyDescent="0.25">
      <c r="A4572" s="2">
        <v>44887</v>
      </c>
      <c r="B4572">
        <v>402.55</v>
      </c>
    </row>
    <row r="4573" spans="1:2" x14ac:dyDescent="0.25">
      <c r="A4573" s="2">
        <v>44888</v>
      </c>
      <c r="B4573">
        <v>402.95</v>
      </c>
    </row>
    <row r="4574" spans="1:2" x14ac:dyDescent="0.25">
      <c r="A4574" s="2">
        <v>44889</v>
      </c>
      <c r="B4574">
        <v>400.9</v>
      </c>
    </row>
    <row r="4575" spans="1:2" x14ac:dyDescent="0.25">
      <c r="A4575" s="2">
        <v>44890</v>
      </c>
      <c r="B4575">
        <v>400.91</v>
      </c>
    </row>
    <row r="4576" spans="1:2" x14ac:dyDescent="0.25">
      <c r="A4576" s="2">
        <v>44891</v>
      </c>
      <c r="B4576">
        <v>400.91</v>
      </c>
    </row>
    <row r="4577" spans="1:2" x14ac:dyDescent="0.25">
      <c r="A4577" s="2">
        <v>44892</v>
      </c>
      <c r="B4577">
        <v>400.91</v>
      </c>
    </row>
    <row r="4578" spans="1:2" x14ac:dyDescent="0.25">
      <c r="A4578" s="2">
        <v>44893</v>
      </c>
      <c r="B4578">
        <v>391.4</v>
      </c>
    </row>
    <row r="4579" spans="1:2" x14ac:dyDescent="0.25">
      <c r="A4579" s="2">
        <v>44894</v>
      </c>
      <c r="B4579">
        <v>394.45</v>
      </c>
    </row>
    <row r="4580" spans="1:2" x14ac:dyDescent="0.25">
      <c r="A4580" s="2">
        <v>44895</v>
      </c>
      <c r="B4580">
        <v>406.36</v>
      </c>
    </row>
    <row r="4581" spans="1:2" x14ac:dyDescent="0.25">
      <c r="A4581" s="2">
        <v>44896</v>
      </c>
      <c r="B4581">
        <v>403.04</v>
      </c>
    </row>
    <row r="4582" spans="1:2" x14ac:dyDescent="0.25">
      <c r="A4582" s="2">
        <v>44897</v>
      </c>
      <c r="B4582">
        <v>399.37</v>
      </c>
    </row>
    <row r="4583" spans="1:2" x14ac:dyDescent="0.25">
      <c r="A4583" s="2">
        <v>44898</v>
      </c>
      <c r="B4583">
        <v>399.37</v>
      </c>
    </row>
    <row r="4584" spans="1:2" x14ac:dyDescent="0.25">
      <c r="A4584" s="2">
        <v>44899</v>
      </c>
      <c r="B4584">
        <v>399.37</v>
      </c>
    </row>
    <row r="4585" spans="1:2" x14ac:dyDescent="0.25">
      <c r="A4585" s="2">
        <v>44900</v>
      </c>
      <c r="B4585">
        <v>390.41</v>
      </c>
    </row>
    <row r="4586" spans="1:2" x14ac:dyDescent="0.25">
      <c r="A4586" s="2">
        <v>44901</v>
      </c>
      <c r="B4586">
        <v>387.4</v>
      </c>
    </row>
    <row r="4587" spans="1:2" x14ac:dyDescent="0.25">
      <c r="A4587" s="2">
        <v>44902</v>
      </c>
      <c r="B4587">
        <v>386.21</v>
      </c>
    </row>
    <row r="4588" spans="1:2" x14ac:dyDescent="0.25">
      <c r="A4588" s="2">
        <v>44903</v>
      </c>
      <c r="B4588">
        <v>389.53</v>
      </c>
    </row>
    <row r="4589" spans="1:2" x14ac:dyDescent="0.25">
      <c r="A4589" s="2">
        <v>44904</v>
      </c>
      <c r="B4589">
        <v>385.22</v>
      </c>
    </row>
    <row r="4590" spans="1:2" x14ac:dyDescent="0.25">
      <c r="A4590" s="2">
        <v>44905</v>
      </c>
      <c r="B4590">
        <v>385.22</v>
      </c>
    </row>
    <row r="4591" spans="1:2" x14ac:dyDescent="0.25">
      <c r="A4591" s="2">
        <v>44906</v>
      </c>
      <c r="B4591">
        <v>385.22</v>
      </c>
    </row>
    <row r="4592" spans="1:2" x14ac:dyDescent="0.25">
      <c r="A4592" s="2">
        <v>44907</v>
      </c>
      <c r="B4592">
        <v>390.61</v>
      </c>
    </row>
    <row r="4593" spans="1:2" x14ac:dyDescent="0.25">
      <c r="A4593" s="2">
        <v>44908</v>
      </c>
      <c r="B4593">
        <v>394.1</v>
      </c>
    </row>
    <row r="4594" spans="1:2" x14ac:dyDescent="0.25">
      <c r="A4594" s="2">
        <v>44909</v>
      </c>
      <c r="B4594">
        <v>387.95</v>
      </c>
    </row>
    <row r="4595" spans="1:2" x14ac:dyDescent="0.25">
      <c r="A4595" s="2">
        <v>44910</v>
      </c>
      <c r="B4595">
        <v>379.31</v>
      </c>
    </row>
    <row r="4596" spans="1:2" x14ac:dyDescent="0.25">
      <c r="A4596" s="2">
        <v>44911</v>
      </c>
      <c r="B4596">
        <v>375.18</v>
      </c>
    </row>
    <row r="4597" spans="1:2" x14ac:dyDescent="0.25">
      <c r="A4597" s="2">
        <v>44912</v>
      </c>
      <c r="B4597">
        <v>375.18</v>
      </c>
    </row>
    <row r="4598" spans="1:2" x14ac:dyDescent="0.25">
      <c r="A4598" s="2">
        <v>44913</v>
      </c>
      <c r="B4598">
        <v>375.18</v>
      </c>
    </row>
    <row r="4599" spans="1:2" x14ac:dyDescent="0.25">
      <c r="A4599" s="2">
        <v>44914</v>
      </c>
      <c r="B4599">
        <v>372.55</v>
      </c>
    </row>
    <row r="4600" spans="1:2" x14ac:dyDescent="0.25">
      <c r="A4600" s="2">
        <v>44915</v>
      </c>
      <c r="B4600">
        <v>372.91</v>
      </c>
    </row>
    <row r="4601" spans="1:2" x14ac:dyDescent="0.25">
      <c r="A4601" s="2">
        <v>44916</v>
      </c>
      <c r="B4601">
        <v>377.18</v>
      </c>
    </row>
    <row r="4602" spans="1:2" x14ac:dyDescent="0.25">
      <c r="A4602" s="2">
        <v>44917</v>
      </c>
      <c r="B4602">
        <v>371.83</v>
      </c>
    </row>
    <row r="4603" spans="1:2" x14ac:dyDescent="0.25">
      <c r="A4603" s="2">
        <v>44918</v>
      </c>
      <c r="B4603">
        <v>374.41</v>
      </c>
    </row>
    <row r="4604" spans="1:2" x14ac:dyDescent="0.25">
      <c r="A4604" s="2">
        <v>44919</v>
      </c>
      <c r="B4604">
        <v>374.41</v>
      </c>
    </row>
    <row r="4605" spans="1:2" x14ac:dyDescent="0.25">
      <c r="A4605" s="2">
        <v>44920</v>
      </c>
      <c r="B4605">
        <v>374.41</v>
      </c>
    </row>
    <row r="4606" spans="1:2" x14ac:dyDescent="0.25">
      <c r="A4606" s="2">
        <v>44921</v>
      </c>
      <c r="B4606">
        <v>372.65</v>
      </c>
    </row>
    <row r="4607" spans="1:2" x14ac:dyDescent="0.25">
      <c r="A4607" s="2">
        <v>44922</v>
      </c>
      <c r="B4607">
        <v>372.9</v>
      </c>
    </row>
    <row r="4608" spans="1:2" x14ac:dyDescent="0.25">
      <c r="A4608" s="2">
        <v>44923</v>
      </c>
      <c r="B4608">
        <v>367.82</v>
      </c>
    </row>
    <row r="4609" spans="1:2" x14ac:dyDescent="0.25">
      <c r="A4609" s="2">
        <v>44924</v>
      </c>
      <c r="B4609">
        <v>373.97</v>
      </c>
    </row>
    <row r="4610" spans="1:2" x14ac:dyDescent="0.25">
      <c r="A4610" s="2">
        <v>44925</v>
      </c>
      <c r="B4610">
        <v>372.44</v>
      </c>
    </row>
    <row r="4611" spans="1:2" x14ac:dyDescent="0.25">
      <c r="A4611" s="2">
        <v>44926</v>
      </c>
      <c r="B4611">
        <v>372.44</v>
      </c>
    </row>
    <row r="4612" spans="1:2" x14ac:dyDescent="0.25">
      <c r="A4612" s="2">
        <v>44927</v>
      </c>
      <c r="B4612">
        <v>372.44</v>
      </c>
    </row>
    <row r="4613" spans="1:2" x14ac:dyDescent="0.25">
      <c r="A4613" s="2">
        <v>44928</v>
      </c>
      <c r="B4613">
        <v>379.39</v>
      </c>
    </row>
    <row r="4614" spans="1:2" x14ac:dyDescent="0.25">
      <c r="A4614" s="2">
        <v>44929</v>
      </c>
      <c r="B4614">
        <v>375.21</v>
      </c>
    </row>
    <row r="4615" spans="1:2" x14ac:dyDescent="0.25">
      <c r="A4615" s="2">
        <v>44930</v>
      </c>
      <c r="B4615">
        <v>376.13</v>
      </c>
    </row>
    <row r="4616" spans="1:2" x14ac:dyDescent="0.25">
      <c r="A4616" s="2">
        <v>44931</v>
      </c>
      <c r="B4616">
        <v>371.73</v>
      </c>
    </row>
    <row r="4617" spans="1:2" x14ac:dyDescent="0.25">
      <c r="A4617" s="2">
        <v>44932</v>
      </c>
      <c r="B4617">
        <v>383.89</v>
      </c>
    </row>
    <row r="4618" spans="1:2" x14ac:dyDescent="0.25">
      <c r="A4618" s="2">
        <v>44933</v>
      </c>
      <c r="B4618">
        <v>383.89</v>
      </c>
    </row>
    <row r="4619" spans="1:2" x14ac:dyDescent="0.25">
      <c r="A4619" s="2">
        <v>44934</v>
      </c>
      <c r="B4619">
        <v>383.89</v>
      </c>
    </row>
    <row r="4620" spans="1:2" x14ac:dyDescent="0.25">
      <c r="A4620" s="2">
        <v>44935</v>
      </c>
      <c r="B4620">
        <v>376.62</v>
      </c>
    </row>
    <row r="4621" spans="1:2" x14ac:dyDescent="0.25">
      <c r="A4621" s="2">
        <v>44936</v>
      </c>
      <c r="B4621">
        <v>378.29</v>
      </c>
    </row>
    <row r="4622" spans="1:2" x14ac:dyDescent="0.25">
      <c r="A4622" s="2">
        <v>44937</v>
      </c>
      <c r="B4622">
        <v>382.3</v>
      </c>
    </row>
    <row r="4623" spans="1:2" x14ac:dyDescent="0.25">
      <c r="A4623" s="2">
        <v>44938</v>
      </c>
      <c r="B4623">
        <v>382.76</v>
      </c>
    </row>
    <row r="4624" spans="1:2" x14ac:dyDescent="0.25">
      <c r="A4624" s="2">
        <v>44939</v>
      </c>
      <c r="B4624">
        <v>382.81</v>
      </c>
    </row>
    <row r="4625" spans="1:2" x14ac:dyDescent="0.25">
      <c r="A4625" s="2">
        <v>44940</v>
      </c>
      <c r="B4625">
        <v>382.81</v>
      </c>
    </row>
    <row r="4626" spans="1:2" x14ac:dyDescent="0.25">
      <c r="A4626" s="2">
        <v>44941</v>
      </c>
      <c r="B4626">
        <v>382.81</v>
      </c>
    </row>
    <row r="4627" spans="1:2" x14ac:dyDescent="0.25">
      <c r="A4627" s="2">
        <v>44942</v>
      </c>
      <c r="B4627">
        <v>382.4</v>
      </c>
    </row>
    <row r="4628" spans="1:2" x14ac:dyDescent="0.25">
      <c r="A4628" s="2">
        <v>44943</v>
      </c>
      <c r="B4628">
        <v>381.01</v>
      </c>
    </row>
    <row r="4629" spans="1:2" x14ac:dyDescent="0.25">
      <c r="A4629" s="2">
        <v>44944</v>
      </c>
      <c r="B4629">
        <v>375.22</v>
      </c>
    </row>
    <row r="4630" spans="1:2" x14ac:dyDescent="0.25">
      <c r="A4630" s="2">
        <v>44945</v>
      </c>
      <c r="B4630">
        <v>373.21</v>
      </c>
    </row>
    <row r="4631" spans="1:2" x14ac:dyDescent="0.25">
      <c r="A4631" s="2">
        <v>44946</v>
      </c>
      <c r="B4631">
        <v>379.9</v>
      </c>
    </row>
    <row r="4632" spans="1:2" x14ac:dyDescent="0.25">
      <c r="A4632" s="2">
        <v>44947</v>
      </c>
      <c r="B4632">
        <v>379.9</v>
      </c>
    </row>
    <row r="4633" spans="1:2" x14ac:dyDescent="0.25">
      <c r="A4633" s="2">
        <v>44948</v>
      </c>
      <c r="B4633">
        <v>379.9</v>
      </c>
    </row>
    <row r="4634" spans="1:2" x14ac:dyDescent="0.25">
      <c r="A4634" s="2">
        <v>44949</v>
      </c>
      <c r="B4634">
        <v>382.82</v>
      </c>
    </row>
    <row r="4635" spans="1:2" x14ac:dyDescent="0.25">
      <c r="A4635" s="2">
        <v>44950</v>
      </c>
      <c r="B4635">
        <v>383.01</v>
      </c>
    </row>
    <row r="4636" spans="1:2" x14ac:dyDescent="0.25">
      <c r="A4636" s="2">
        <v>44951</v>
      </c>
      <c r="B4636">
        <v>382.24</v>
      </c>
    </row>
    <row r="4637" spans="1:2" x14ac:dyDescent="0.25">
      <c r="A4637" s="2">
        <v>44952</v>
      </c>
      <c r="B4637">
        <v>385.87</v>
      </c>
    </row>
    <row r="4638" spans="1:2" x14ac:dyDescent="0.25">
      <c r="A4638" s="2">
        <v>44953</v>
      </c>
      <c r="B4638">
        <v>387.91</v>
      </c>
    </row>
    <row r="4639" spans="1:2" x14ac:dyDescent="0.25">
      <c r="A4639" s="2">
        <v>44954</v>
      </c>
      <c r="B4639">
        <v>387.91</v>
      </c>
    </row>
    <row r="4640" spans="1:2" x14ac:dyDescent="0.25">
      <c r="A4640" s="2">
        <v>44955</v>
      </c>
      <c r="B4640">
        <v>387.91</v>
      </c>
    </row>
    <row r="4641" spans="1:2" x14ac:dyDescent="0.25">
      <c r="A4641" s="2">
        <v>44956</v>
      </c>
      <c r="B4641">
        <v>381.56</v>
      </c>
    </row>
    <row r="4642" spans="1:2" x14ac:dyDescent="0.25">
      <c r="A4642" s="2">
        <v>44957</v>
      </c>
      <c r="B4642">
        <v>389.66</v>
      </c>
    </row>
    <row r="4643" spans="1:2" x14ac:dyDescent="0.25">
      <c r="A4643" s="2">
        <v>44958</v>
      </c>
      <c r="B4643">
        <v>391.53</v>
      </c>
    </row>
    <row r="4644" spans="1:2" x14ac:dyDescent="0.25">
      <c r="A4644" s="2">
        <v>44959</v>
      </c>
      <c r="B4644">
        <v>393.9</v>
      </c>
    </row>
    <row r="4645" spans="1:2" x14ac:dyDescent="0.25">
      <c r="A4645" s="2">
        <v>44960</v>
      </c>
      <c r="B4645">
        <v>391.66</v>
      </c>
    </row>
    <row r="4646" spans="1:2" x14ac:dyDescent="0.25">
      <c r="A4646" s="2">
        <v>44961</v>
      </c>
      <c r="B4646">
        <v>391.66</v>
      </c>
    </row>
    <row r="4647" spans="1:2" x14ac:dyDescent="0.25">
      <c r="A4647" s="2">
        <v>44962</v>
      </c>
      <c r="B4647">
        <v>391.66</v>
      </c>
    </row>
    <row r="4648" spans="1:2" x14ac:dyDescent="0.25">
      <c r="A4648" s="2">
        <v>44963</v>
      </c>
      <c r="B4648">
        <v>395.09</v>
      </c>
    </row>
    <row r="4649" spans="1:2" x14ac:dyDescent="0.25">
      <c r="A4649" s="2">
        <v>44964</v>
      </c>
      <c r="B4649">
        <v>403.02</v>
      </c>
    </row>
    <row r="4650" spans="1:2" x14ac:dyDescent="0.25">
      <c r="A4650" s="2">
        <v>44965</v>
      </c>
      <c r="B4650">
        <v>397.27</v>
      </c>
    </row>
    <row r="4651" spans="1:2" x14ac:dyDescent="0.25">
      <c r="A4651" s="2">
        <v>44966</v>
      </c>
      <c r="B4651">
        <v>392.49</v>
      </c>
    </row>
    <row r="4652" spans="1:2" x14ac:dyDescent="0.25">
      <c r="A4652" s="2">
        <v>44967</v>
      </c>
      <c r="B4652">
        <v>396.4</v>
      </c>
    </row>
    <row r="4653" spans="1:2" x14ac:dyDescent="0.25">
      <c r="A4653" s="2">
        <v>44968</v>
      </c>
      <c r="B4653">
        <v>396.4</v>
      </c>
    </row>
    <row r="4654" spans="1:2" x14ac:dyDescent="0.25">
      <c r="A4654" s="2">
        <v>44969</v>
      </c>
      <c r="B4654">
        <v>396.4</v>
      </c>
    </row>
    <row r="4655" spans="1:2" x14ac:dyDescent="0.25">
      <c r="A4655" s="2">
        <v>44970</v>
      </c>
      <c r="B4655">
        <v>401.14</v>
      </c>
    </row>
    <row r="4656" spans="1:2" x14ac:dyDescent="0.25">
      <c r="A4656" s="2">
        <v>44971</v>
      </c>
      <c r="B4656">
        <v>398.35</v>
      </c>
    </row>
    <row r="4657" spans="1:2" x14ac:dyDescent="0.25">
      <c r="A4657" s="2">
        <v>44972</v>
      </c>
      <c r="B4657">
        <v>401.74</v>
      </c>
    </row>
    <row r="4658" spans="1:2" x14ac:dyDescent="0.25">
      <c r="A4658" s="2">
        <v>44973</v>
      </c>
      <c r="B4658">
        <v>396.23</v>
      </c>
    </row>
    <row r="4659" spans="1:2" x14ac:dyDescent="0.25">
      <c r="A4659" s="2">
        <v>44974</v>
      </c>
      <c r="B4659">
        <v>397.99</v>
      </c>
    </row>
    <row r="4660" spans="1:2" x14ac:dyDescent="0.25">
      <c r="A4660" s="2">
        <v>44975</v>
      </c>
      <c r="B4660">
        <v>397.99</v>
      </c>
    </row>
    <row r="4661" spans="1:2" x14ac:dyDescent="0.25">
      <c r="A4661" s="2">
        <v>44976</v>
      </c>
      <c r="B4661">
        <v>397.99</v>
      </c>
    </row>
    <row r="4662" spans="1:2" x14ac:dyDescent="0.25">
      <c r="A4662" s="2">
        <v>44977</v>
      </c>
      <c r="B4662">
        <v>394.81</v>
      </c>
    </row>
    <row r="4663" spans="1:2" x14ac:dyDescent="0.25">
      <c r="A4663" s="2">
        <v>44978</v>
      </c>
      <c r="B4663">
        <v>388.59</v>
      </c>
    </row>
    <row r="4664" spans="1:2" x14ac:dyDescent="0.25">
      <c r="A4664" s="2">
        <v>44979</v>
      </c>
      <c r="B4664">
        <v>388.71</v>
      </c>
    </row>
    <row r="4665" spans="1:2" x14ac:dyDescent="0.25">
      <c r="A4665" s="2">
        <v>44980</v>
      </c>
      <c r="B4665">
        <v>391.83</v>
      </c>
    </row>
    <row r="4666" spans="1:2" x14ac:dyDescent="0.25">
      <c r="A4666" s="2">
        <v>44981</v>
      </c>
      <c r="B4666">
        <v>389.4</v>
      </c>
    </row>
    <row r="4667" spans="1:2" x14ac:dyDescent="0.25">
      <c r="A4667" s="2">
        <v>44982</v>
      </c>
      <c r="B4667">
        <v>389.4</v>
      </c>
    </row>
    <row r="4668" spans="1:2" x14ac:dyDescent="0.25">
      <c r="A4668" s="2">
        <v>44983</v>
      </c>
      <c r="B4668">
        <v>389.4</v>
      </c>
    </row>
    <row r="4669" spans="1:2" x14ac:dyDescent="0.25">
      <c r="A4669" s="2">
        <v>44984</v>
      </c>
      <c r="B4669">
        <v>391.24</v>
      </c>
    </row>
    <row r="4670" spans="1:2" x14ac:dyDescent="0.25">
      <c r="A4670" s="2">
        <v>44985</v>
      </c>
      <c r="B4670">
        <v>387.69</v>
      </c>
    </row>
    <row r="4671" spans="1:2" x14ac:dyDescent="0.25">
      <c r="A4671" s="2">
        <v>44986</v>
      </c>
      <c r="B4671">
        <v>383.53</v>
      </c>
    </row>
    <row r="4672" spans="1:2" x14ac:dyDescent="0.25">
      <c r="A4672" s="2">
        <v>44987</v>
      </c>
      <c r="B4672">
        <v>389.37</v>
      </c>
    </row>
    <row r="4673" spans="1:2" x14ac:dyDescent="0.25">
      <c r="A4673" s="2">
        <v>44988</v>
      </c>
      <c r="B4673">
        <v>395.31</v>
      </c>
    </row>
    <row r="4674" spans="1:2" x14ac:dyDescent="0.25">
      <c r="A4674" s="2">
        <v>44989</v>
      </c>
      <c r="B4674">
        <v>395.31</v>
      </c>
    </row>
    <row r="4675" spans="1:2" x14ac:dyDescent="0.25">
      <c r="A4675" s="2">
        <v>44990</v>
      </c>
      <c r="B4675">
        <v>395.31</v>
      </c>
    </row>
    <row r="4676" spans="1:2" x14ac:dyDescent="0.25">
      <c r="A4676" s="2">
        <v>44991</v>
      </c>
      <c r="B4676">
        <v>394.44</v>
      </c>
    </row>
    <row r="4677" spans="1:2" x14ac:dyDescent="0.25">
      <c r="A4677" s="2">
        <v>44992</v>
      </c>
      <c r="B4677">
        <v>387.72</v>
      </c>
    </row>
    <row r="4678" spans="1:2" x14ac:dyDescent="0.25">
      <c r="A4678" s="2">
        <v>44993</v>
      </c>
      <c r="B4678">
        <v>392.71</v>
      </c>
    </row>
    <row r="4679" spans="1:2" x14ac:dyDescent="0.25">
      <c r="A4679" s="2">
        <v>44994</v>
      </c>
      <c r="B4679">
        <v>385.18</v>
      </c>
    </row>
    <row r="4680" spans="1:2" x14ac:dyDescent="0.25">
      <c r="A4680" s="2">
        <v>44995</v>
      </c>
      <c r="B4680">
        <v>378.41</v>
      </c>
    </row>
    <row r="4681" spans="1:2" x14ac:dyDescent="0.25">
      <c r="A4681" s="2">
        <v>44996</v>
      </c>
      <c r="B4681">
        <v>378.41</v>
      </c>
    </row>
    <row r="4682" spans="1:2" x14ac:dyDescent="0.25">
      <c r="A4682" s="2">
        <v>44997</v>
      </c>
      <c r="B4682">
        <v>378.41</v>
      </c>
    </row>
    <row r="4683" spans="1:2" x14ac:dyDescent="0.25">
      <c r="A4683" s="2">
        <v>44998</v>
      </c>
      <c r="B4683">
        <v>373.56</v>
      </c>
    </row>
    <row r="4684" spans="1:2" x14ac:dyDescent="0.25">
      <c r="A4684" s="2">
        <v>44999</v>
      </c>
      <c r="B4684">
        <v>378.82</v>
      </c>
    </row>
    <row r="4685" spans="1:2" x14ac:dyDescent="0.25">
      <c r="A4685" s="2">
        <v>45000</v>
      </c>
      <c r="B4685">
        <v>382.89</v>
      </c>
    </row>
    <row r="4686" spans="1:2" x14ac:dyDescent="0.25">
      <c r="A4686" s="2">
        <v>45001</v>
      </c>
      <c r="B4686">
        <v>387.97</v>
      </c>
    </row>
    <row r="4687" spans="1:2" x14ac:dyDescent="0.25">
      <c r="A4687" s="2">
        <v>45002</v>
      </c>
      <c r="B4687">
        <v>382.69</v>
      </c>
    </row>
    <row r="4688" spans="1:2" x14ac:dyDescent="0.25">
      <c r="A4688" s="2">
        <v>45003</v>
      </c>
      <c r="B4688">
        <v>382.69</v>
      </c>
    </row>
    <row r="4689" spans="1:2" x14ac:dyDescent="0.25">
      <c r="A4689" s="2">
        <v>45004</v>
      </c>
      <c r="B4689">
        <v>382.69</v>
      </c>
    </row>
    <row r="4690" spans="1:2" x14ac:dyDescent="0.25">
      <c r="A4690" s="2">
        <v>45005</v>
      </c>
      <c r="B4690">
        <v>382.72</v>
      </c>
    </row>
    <row r="4691" spans="1:2" x14ac:dyDescent="0.25">
      <c r="A4691" s="2">
        <v>45006</v>
      </c>
      <c r="B4691">
        <v>385.59</v>
      </c>
    </row>
    <row r="4692" spans="1:2" x14ac:dyDescent="0.25">
      <c r="A4692" s="2">
        <v>45007</v>
      </c>
      <c r="B4692">
        <v>378.94</v>
      </c>
    </row>
    <row r="4693" spans="1:2" x14ac:dyDescent="0.25">
      <c r="A4693" s="2">
        <v>45008</v>
      </c>
      <c r="B4693">
        <v>376.82</v>
      </c>
    </row>
    <row r="4694" spans="1:2" x14ac:dyDescent="0.25">
      <c r="A4694" s="2">
        <v>45009</v>
      </c>
      <c r="B4694">
        <v>383.68</v>
      </c>
    </row>
    <row r="4695" spans="1:2" x14ac:dyDescent="0.25">
      <c r="A4695" s="2">
        <v>45010</v>
      </c>
      <c r="B4695">
        <v>383.68</v>
      </c>
    </row>
    <row r="4696" spans="1:2" x14ac:dyDescent="0.25">
      <c r="A4696" s="2">
        <v>45011</v>
      </c>
      <c r="B4696">
        <v>383.68</v>
      </c>
    </row>
    <row r="4697" spans="1:2" x14ac:dyDescent="0.25">
      <c r="A4697" s="2">
        <v>45012</v>
      </c>
      <c r="B4697">
        <v>383.3</v>
      </c>
    </row>
    <row r="4698" spans="1:2" x14ac:dyDescent="0.25">
      <c r="A4698" s="2">
        <v>45013</v>
      </c>
      <c r="B4698">
        <v>380.31</v>
      </c>
    </row>
    <row r="4699" spans="1:2" x14ac:dyDescent="0.25">
      <c r="A4699" s="2">
        <v>45014</v>
      </c>
      <c r="B4699">
        <v>385.51</v>
      </c>
    </row>
    <row r="4700" spans="1:2" x14ac:dyDescent="0.25">
      <c r="A4700" s="2">
        <v>45015</v>
      </c>
      <c r="B4700">
        <v>386.37</v>
      </c>
    </row>
    <row r="4701" spans="1:2" x14ac:dyDescent="0.25">
      <c r="A4701" s="2">
        <v>45016</v>
      </c>
      <c r="B4701">
        <v>392.35</v>
      </c>
    </row>
    <row r="4702" spans="1:2" x14ac:dyDescent="0.25">
      <c r="A4702" s="2">
        <v>45017</v>
      </c>
      <c r="B4702">
        <v>392.35</v>
      </c>
    </row>
    <row r="4703" spans="1:2" x14ac:dyDescent="0.25">
      <c r="A4703" s="2">
        <v>45018</v>
      </c>
      <c r="B4703">
        <v>392.35</v>
      </c>
    </row>
    <row r="4704" spans="1:2" x14ac:dyDescent="0.25">
      <c r="A4704" s="2">
        <v>45019</v>
      </c>
      <c r="B4704">
        <v>393.98</v>
      </c>
    </row>
    <row r="4705" spans="1:2" x14ac:dyDescent="0.25">
      <c r="A4705" s="2">
        <v>45020</v>
      </c>
      <c r="B4705">
        <v>390.62</v>
      </c>
    </row>
    <row r="4706" spans="1:2" x14ac:dyDescent="0.25">
      <c r="A4706" s="2">
        <v>45021</v>
      </c>
      <c r="B4706">
        <v>388.3</v>
      </c>
    </row>
    <row r="4707" spans="1:2" x14ac:dyDescent="0.25">
      <c r="A4707" s="2">
        <v>45022</v>
      </c>
      <c r="B4707">
        <v>390.66</v>
      </c>
    </row>
    <row r="4708" spans="1:2" x14ac:dyDescent="0.25">
      <c r="A4708" s="2">
        <v>45023</v>
      </c>
      <c r="B4708">
        <v>390.66</v>
      </c>
    </row>
    <row r="4709" spans="1:2" x14ac:dyDescent="0.25">
      <c r="A4709" s="2">
        <v>45024</v>
      </c>
      <c r="B4709">
        <v>390.66</v>
      </c>
    </row>
    <row r="4710" spans="1:2" x14ac:dyDescent="0.25">
      <c r="A4710" s="2">
        <v>45025</v>
      </c>
      <c r="B4710">
        <v>390.66</v>
      </c>
    </row>
    <row r="4711" spans="1:2" x14ac:dyDescent="0.25">
      <c r="A4711" s="2">
        <v>45026</v>
      </c>
      <c r="B4711">
        <v>390.66</v>
      </c>
    </row>
    <row r="4712" spans="1:2" x14ac:dyDescent="0.25">
      <c r="A4712" s="2">
        <v>45027</v>
      </c>
      <c r="B4712">
        <v>391.39</v>
      </c>
    </row>
    <row r="4713" spans="1:2" x14ac:dyDescent="0.25">
      <c r="A4713" s="2">
        <v>45028</v>
      </c>
      <c r="B4713">
        <v>389.17</v>
      </c>
    </row>
    <row r="4714" spans="1:2" x14ac:dyDescent="0.25">
      <c r="A4714" s="2">
        <v>45029</v>
      </c>
      <c r="B4714">
        <v>391.06</v>
      </c>
    </row>
    <row r="4715" spans="1:2" x14ac:dyDescent="0.25">
      <c r="A4715" s="2">
        <v>45030</v>
      </c>
      <c r="B4715">
        <v>388.77</v>
      </c>
    </row>
    <row r="4716" spans="1:2" x14ac:dyDescent="0.25">
      <c r="A4716" s="2">
        <v>45031</v>
      </c>
      <c r="B4716">
        <v>388.77</v>
      </c>
    </row>
    <row r="4717" spans="1:2" x14ac:dyDescent="0.25">
      <c r="A4717" s="2">
        <v>45032</v>
      </c>
      <c r="B4717">
        <v>388.77</v>
      </c>
    </row>
    <row r="4718" spans="1:2" x14ac:dyDescent="0.25">
      <c r="A4718" s="2">
        <v>45033</v>
      </c>
      <c r="B4718">
        <v>392.76</v>
      </c>
    </row>
    <row r="4719" spans="1:2" x14ac:dyDescent="0.25">
      <c r="A4719" s="2">
        <v>45034</v>
      </c>
      <c r="B4719">
        <v>393.41</v>
      </c>
    </row>
    <row r="4720" spans="1:2" x14ac:dyDescent="0.25">
      <c r="A4720" s="2">
        <v>45035</v>
      </c>
      <c r="B4720">
        <v>394.79</v>
      </c>
    </row>
    <row r="4721" spans="1:2" x14ac:dyDescent="0.25">
      <c r="A4721" s="2">
        <v>45036</v>
      </c>
      <c r="B4721">
        <v>392.08</v>
      </c>
    </row>
    <row r="4722" spans="1:2" x14ac:dyDescent="0.25">
      <c r="A4722" s="2">
        <v>45037</v>
      </c>
      <c r="B4722">
        <v>391.22</v>
      </c>
    </row>
    <row r="4723" spans="1:2" x14ac:dyDescent="0.25">
      <c r="A4723" s="2">
        <v>45038</v>
      </c>
      <c r="B4723">
        <v>391.22</v>
      </c>
    </row>
    <row r="4724" spans="1:2" x14ac:dyDescent="0.25">
      <c r="A4724" s="2">
        <v>45039</v>
      </c>
      <c r="B4724">
        <v>391.22</v>
      </c>
    </row>
    <row r="4725" spans="1:2" x14ac:dyDescent="0.25">
      <c r="A4725" s="2">
        <v>45040</v>
      </c>
      <c r="B4725">
        <v>390.69</v>
      </c>
    </row>
    <row r="4726" spans="1:2" x14ac:dyDescent="0.25">
      <c r="A4726" s="2">
        <v>45041</v>
      </c>
      <c r="B4726">
        <v>383.83</v>
      </c>
    </row>
    <row r="4727" spans="1:2" x14ac:dyDescent="0.25">
      <c r="A4727" s="2">
        <v>45042</v>
      </c>
      <c r="B4727">
        <v>381.77</v>
      </c>
    </row>
    <row r="4728" spans="1:2" x14ac:dyDescent="0.25">
      <c r="A4728" s="2">
        <v>45043</v>
      </c>
      <c r="B4728">
        <v>389.14</v>
      </c>
    </row>
    <row r="4729" spans="1:2" x14ac:dyDescent="0.25">
      <c r="A4729" s="2">
        <v>45044</v>
      </c>
      <c r="B4729">
        <v>394.57</v>
      </c>
    </row>
    <row r="4730" spans="1:2" x14ac:dyDescent="0.25">
      <c r="A4730" s="2">
        <v>45045</v>
      </c>
      <c r="B4730">
        <v>394.57</v>
      </c>
    </row>
    <row r="4731" spans="1:2" x14ac:dyDescent="0.25">
      <c r="A4731" s="2">
        <v>45046</v>
      </c>
      <c r="B4731">
        <v>394.57</v>
      </c>
    </row>
    <row r="4732" spans="1:2" x14ac:dyDescent="0.25">
      <c r="A4732" s="2">
        <v>45047</v>
      </c>
      <c r="B4732">
        <v>394.57</v>
      </c>
    </row>
    <row r="4733" spans="1:2" x14ac:dyDescent="0.25">
      <c r="A4733" s="2">
        <v>45048</v>
      </c>
      <c r="B4733">
        <v>390.41</v>
      </c>
    </row>
    <row r="4734" spans="1:2" x14ac:dyDescent="0.25">
      <c r="A4734" s="2">
        <v>45049</v>
      </c>
      <c r="B4734">
        <v>384.95</v>
      </c>
    </row>
    <row r="4735" spans="1:2" x14ac:dyDescent="0.25">
      <c r="A4735" s="2">
        <v>45050</v>
      </c>
      <c r="B4735">
        <v>381.14</v>
      </c>
    </row>
    <row r="4736" spans="1:2" x14ac:dyDescent="0.25">
      <c r="A4736" s="2">
        <v>45051</v>
      </c>
      <c r="B4736">
        <v>390.31</v>
      </c>
    </row>
    <row r="4737" spans="1:2" x14ac:dyDescent="0.25">
      <c r="A4737" s="2">
        <v>45052</v>
      </c>
      <c r="B4737">
        <v>390.31</v>
      </c>
    </row>
    <row r="4738" spans="1:2" x14ac:dyDescent="0.25">
      <c r="A4738" s="2">
        <v>45053</v>
      </c>
      <c r="B4738">
        <v>390.31</v>
      </c>
    </row>
    <row r="4739" spans="1:2" x14ac:dyDescent="0.25">
      <c r="A4739" s="2">
        <v>45054</v>
      </c>
      <c r="B4739">
        <v>389.72</v>
      </c>
    </row>
    <row r="4740" spans="1:2" x14ac:dyDescent="0.25">
      <c r="A4740" s="2">
        <v>45055</v>
      </c>
      <c r="B4740">
        <v>390.67</v>
      </c>
    </row>
    <row r="4741" spans="1:2" x14ac:dyDescent="0.25">
      <c r="A4741" s="2">
        <v>45056</v>
      </c>
      <c r="B4741">
        <v>392.76</v>
      </c>
    </row>
    <row r="4742" spans="1:2" x14ac:dyDescent="0.25">
      <c r="A4742" s="2">
        <v>45057</v>
      </c>
      <c r="B4742">
        <v>392.88</v>
      </c>
    </row>
    <row r="4743" spans="1:2" x14ac:dyDescent="0.25">
      <c r="A4743" s="2">
        <v>45058</v>
      </c>
      <c r="B4743">
        <v>393.7</v>
      </c>
    </row>
    <row r="4744" spans="1:2" x14ac:dyDescent="0.25">
      <c r="A4744" s="2">
        <v>45059</v>
      </c>
      <c r="B4744">
        <v>393.7</v>
      </c>
    </row>
    <row r="4745" spans="1:2" x14ac:dyDescent="0.25">
      <c r="A4745" s="2">
        <v>45060</v>
      </c>
      <c r="B4745">
        <v>393.7</v>
      </c>
    </row>
    <row r="4746" spans="1:2" x14ac:dyDescent="0.25">
      <c r="A4746" s="2">
        <v>45061</v>
      </c>
      <c r="B4746">
        <v>395.49</v>
      </c>
    </row>
    <row r="4747" spans="1:2" x14ac:dyDescent="0.25">
      <c r="A4747" s="2">
        <v>45062</v>
      </c>
      <c r="B4747">
        <v>392.8</v>
      </c>
    </row>
    <row r="4748" spans="1:2" x14ac:dyDescent="0.25">
      <c r="A4748" s="2">
        <v>45063</v>
      </c>
      <c r="B4748">
        <v>399.45</v>
      </c>
    </row>
    <row r="4749" spans="1:2" x14ac:dyDescent="0.25">
      <c r="A4749" s="2">
        <v>45064</v>
      </c>
      <c r="B4749">
        <v>403.87</v>
      </c>
    </row>
    <row r="4750" spans="1:2" x14ac:dyDescent="0.25">
      <c r="A4750" s="2">
        <v>45065</v>
      </c>
      <c r="B4750">
        <v>403.49</v>
      </c>
    </row>
    <row r="4751" spans="1:2" x14ac:dyDescent="0.25">
      <c r="A4751" s="2">
        <v>45066</v>
      </c>
      <c r="B4751">
        <v>403.49</v>
      </c>
    </row>
    <row r="4752" spans="1:2" x14ac:dyDescent="0.25">
      <c r="A4752" s="2">
        <v>45067</v>
      </c>
      <c r="B4752">
        <v>403.49</v>
      </c>
    </row>
    <row r="4753" spans="1:2" x14ac:dyDescent="0.25">
      <c r="A4753" s="2">
        <v>45068</v>
      </c>
      <c r="B4753">
        <v>403.07</v>
      </c>
    </row>
    <row r="4754" spans="1:2" x14ac:dyDescent="0.25">
      <c r="A4754" s="2">
        <v>45069</v>
      </c>
      <c r="B4754">
        <v>400.14</v>
      </c>
    </row>
    <row r="4755" spans="1:2" x14ac:dyDescent="0.25">
      <c r="A4755" s="2">
        <v>45070</v>
      </c>
      <c r="B4755">
        <v>397</v>
      </c>
    </row>
    <row r="4756" spans="1:2" x14ac:dyDescent="0.25">
      <c r="A4756" s="2">
        <v>45071</v>
      </c>
      <c r="B4756">
        <v>402.35</v>
      </c>
    </row>
    <row r="4757" spans="1:2" x14ac:dyDescent="0.25">
      <c r="A4757" s="2">
        <v>45072</v>
      </c>
      <c r="B4757">
        <v>407.01</v>
      </c>
    </row>
    <row r="4758" spans="1:2" x14ac:dyDescent="0.25">
      <c r="A4758" s="2">
        <v>45073</v>
      </c>
      <c r="B4758">
        <v>407.01</v>
      </c>
    </row>
    <row r="4759" spans="1:2" x14ac:dyDescent="0.25">
      <c r="A4759" s="2">
        <v>45074</v>
      </c>
      <c r="B4759">
        <v>407.01</v>
      </c>
    </row>
    <row r="4760" spans="1:2" x14ac:dyDescent="0.25">
      <c r="A4760" s="2">
        <v>45075</v>
      </c>
      <c r="B4760">
        <v>409.92</v>
      </c>
    </row>
    <row r="4761" spans="1:2" x14ac:dyDescent="0.25">
      <c r="A4761" s="2">
        <v>45076</v>
      </c>
      <c r="B4761">
        <v>407.31</v>
      </c>
    </row>
    <row r="4762" spans="1:2" x14ac:dyDescent="0.25">
      <c r="A4762" s="2">
        <v>45077</v>
      </c>
      <c r="B4762">
        <v>407.2</v>
      </c>
    </row>
    <row r="4763" spans="1:2" x14ac:dyDescent="0.25">
      <c r="A4763" s="2">
        <v>45078</v>
      </c>
      <c r="B4763">
        <v>410.74</v>
      </c>
    </row>
    <row r="4764" spans="1:2" x14ac:dyDescent="0.25">
      <c r="A4764" s="2">
        <v>45079</v>
      </c>
      <c r="B4764">
        <v>414.18</v>
      </c>
    </row>
    <row r="4765" spans="1:2" x14ac:dyDescent="0.25">
      <c r="A4765" s="2">
        <v>45080</v>
      </c>
      <c r="B4765">
        <v>414.18</v>
      </c>
    </row>
    <row r="4766" spans="1:2" x14ac:dyDescent="0.25">
      <c r="A4766" s="2">
        <v>45081</v>
      </c>
      <c r="B4766">
        <v>414.18</v>
      </c>
    </row>
    <row r="4767" spans="1:2" x14ac:dyDescent="0.25">
      <c r="A4767" s="2">
        <v>45082</v>
      </c>
      <c r="B4767">
        <v>416.17</v>
      </c>
    </row>
    <row r="4768" spans="1:2" x14ac:dyDescent="0.25">
      <c r="A4768" s="2">
        <v>45083</v>
      </c>
      <c r="B4768">
        <v>417.43</v>
      </c>
    </row>
    <row r="4769" spans="1:2" x14ac:dyDescent="0.25">
      <c r="A4769" s="2">
        <v>45084</v>
      </c>
      <c r="B4769">
        <v>414.53</v>
      </c>
    </row>
    <row r="4770" spans="1:2" x14ac:dyDescent="0.25">
      <c r="A4770" s="2">
        <v>45085</v>
      </c>
      <c r="B4770">
        <v>416.36</v>
      </c>
    </row>
    <row r="4771" spans="1:2" x14ac:dyDescent="0.25">
      <c r="A4771" s="2">
        <v>45086</v>
      </c>
      <c r="B4771">
        <v>415.19</v>
      </c>
    </row>
    <row r="4772" spans="1:2" x14ac:dyDescent="0.25">
      <c r="A4772" s="2">
        <v>45087</v>
      </c>
      <c r="B4772">
        <v>415.19</v>
      </c>
    </row>
    <row r="4773" spans="1:2" x14ac:dyDescent="0.25">
      <c r="A4773" s="2">
        <v>45088</v>
      </c>
      <c r="B4773">
        <v>415.19</v>
      </c>
    </row>
    <row r="4774" spans="1:2" x14ac:dyDescent="0.25">
      <c r="A4774" s="2">
        <v>45089</v>
      </c>
      <c r="B4774">
        <v>419.64</v>
      </c>
    </row>
    <row r="4775" spans="1:2" x14ac:dyDescent="0.25">
      <c r="A4775" s="2">
        <v>45090</v>
      </c>
      <c r="B4775">
        <v>421.47</v>
      </c>
    </row>
    <row r="4776" spans="1:2" x14ac:dyDescent="0.25">
      <c r="A4776" s="2">
        <v>45091</v>
      </c>
      <c r="B4776">
        <v>421.27</v>
      </c>
    </row>
    <row r="4777" spans="1:2" x14ac:dyDescent="0.25">
      <c r="A4777" s="2">
        <v>45092</v>
      </c>
      <c r="B4777">
        <v>426.07</v>
      </c>
    </row>
    <row r="4778" spans="1:2" x14ac:dyDescent="0.25">
      <c r="A4778" s="2">
        <v>45093</v>
      </c>
      <c r="B4778">
        <v>418.82</v>
      </c>
    </row>
    <row r="4779" spans="1:2" x14ac:dyDescent="0.25">
      <c r="A4779" s="2">
        <v>45094</v>
      </c>
      <c r="B4779">
        <v>418.82</v>
      </c>
    </row>
    <row r="4780" spans="1:2" x14ac:dyDescent="0.25">
      <c r="A4780" s="2">
        <v>45095</v>
      </c>
      <c r="B4780">
        <v>418.82</v>
      </c>
    </row>
    <row r="4781" spans="1:2" x14ac:dyDescent="0.25">
      <c r="A4781" s="2">
        <v>45096</v>
      </c>
      <c r="B4781">
        <v>419.48</v>
      </c>
    </row>
    <row r="4782" spans="1:2" x14ac:dyDescent="0.25">
      <c r="A4782" s="2">
        <v>45097</v>
      </c>
      <c r="B4782">
        <v>418.09</v>
      </c>
    </row>
    <row r="4783" spans="1:2" x14ac:dyDescent="0.25">
      <c r="A4783" s="2">
        <v>45098</v>
      </c>
      <c r="B4783">
        <v>416.31</v>
      </c>
    </row>
    <row r="4784" spans="1:2" x14ac:dyDescent="0.25">
      <c r="A4784" s="2">
        <v>45099</v>
      </c>
      <c r="B4784">
        <v>415.52</v>
      </c>
    </row>
    <row r="4785" spans="1:2" x14ac:dyDescent="0.25">
      <c r="A4785" s="2">
        <v>45100</v>
      </c>
      <c r="B4785">
        <v>416.17</v>
      </c>
    </row>
    <row r="4786" spans="1:2" x14ac:dyDescent="0.25">
      <c r="A4786" s="2">
        <v>45101</v>
      </c>
      <c r="B4786">
        <v>416.17</v>
      </c>
    </row>
    <row r="4787" spans="1:2" x14ac:dyDescent="0.25">
      <c r="A4787" s="2">
        <v>45102</v>
      </c>
      <c r="B4787">
        <v>416.17</v>
      </c>
    </row>
    <row r="4788" spans="1:2" x14ac:dyDescent="0.25">
      <c r="A4788" s="2">
        <v>45103</v>
      </c>
      <c r="B4788">
        <v>413.02</v>
      </c>
    </row>
    <row r="4789" spans="1:2" x14ac:dyDescent="0.25">
      <c r="A4789" s="2">
        <v>45104</v>
      </c>
      <c r="B4789">
        <v>416.48</v>
      </c>
    </row>
    <row r="4790" spans="1:2" x14ac:dyDescent="0.25">
      <c r="A4790" s="2">
        <v>45105</v>
      </c>
      <c r="B4790">
        <v>416.83</v>
      </c>
    </row>
    <row r="4791" spans="1:2" x14ac:dyDescent="0.25">
      <c r="A4791" s="2">
        <v>45106</v>
      </c>
      <c r="B4791">
        <v>418.74</v>
      </c>
    </row>
    <row r="4792" spans="1:2" x14ac:dyDescent="0.25">
      <c r="A4792" s="2">
        <v>45107</v>
      </c>
      <c r="B4792">
        <v>426.7</v>
      </c>
    </row>
    <row r="4793" spans="1:2" x14ac:dyDescent="0.25">
      <c r="A4793" s="2">
        <v>45108</v>
      </c>
      <c r="B4793">
        <v>426.7</v>
      </c>
    </row>
    <row r="4794" spans="1:2" x14ac:dyDescent="0.25">
      <c r="A4794" s="2">
        <v>45109</v>
      </c>
      <c r="B4794">
        <v>426.7</v>
      </c>
    </row>
    <row r="4795" spans="1:2" x14ac:dyDescent="0.25">
      <c r="A4795" s="2">
        <v>45110</v>
      </c>
      <c r="B4795">
        <v>425.92</v>
      </c>
    </row>
    <row r="4796" spans="1:2" x14ac:dyDescent="0.25">
      <c r="A4796" s="2">
        <v>45111</v>
      </c>
      <c r="B4796">
        <v>425.72</v>
      </c>
    </row>
    <row r="4797" spans="1:2" x14ac:dyDescent="0.25">
      <c r="A4797" s="2">
        <v>45112</v>
      </c>
      <c r="B4797">
        <v>425.9</v>
      </c>
    </row>
    <row r="4798" spans="1:2" x14ac:dyDescent="0.25">
      <c r="A4798" s="2">
        <v>45113</v>
      </c>
      <c r="B4798">
        <v>421.78</v>
      </c>
    </row>
    <row r="4799" spans="1:2" x14ac:dyDescent="0.25">
      <c r="A4799" s="2">
        <v>45114</v>
      </c>
      <c r="B4799">
        <v>421.05</v>
      </c>
    </row>
    <row r="4800" spans="1:2" x14ac:dyDescent="0.25">
      <c r="A4800" s="2">
        <v>45115</v>
      </c>
      <c r="B4800">
        <v>421.05</v>
      </c>
    </row>
    <row r="4801" spans="1:2" x14ac:dyDescent="0.25">
      <c r="A4801" s="2">
        <v>45116</v>
      </c>
      <c r="B4801">
        <v>421.05</v>
      </c>
    </row>
    <row r="4802" spans="1:2" x14ac:dyDescent="0.25">
      <c r="A4802" s="2">
        <v>45117</v>
      </c>
      <c r="B4802">
        <v>419.44</v>
      </c>
    </row>
    <row r="4803" spans="1:2" x14ac:dyDescent="0.25">
      <c r="A4803" s="2">
        <v>45118</v>
      </c>
      <c r="B4803">
        <v>421</v>
      </c>
    </row>
    <row r="4804" spans="1:2" x14ac:dyDescent="0.25">
      <c r="A4804" s="2">
        <v>45119</v>
      </c>
      <c r="B4804">
        <v>422.86</v>
      </c>
    </row>
    <row r="4805" spans="1:2" x14ac:dyDescent="0.25">
      <c r="A4805" s="2">
        <v>45120</v>
      </c>
      <c r="B4805">
        <v>420.38</v>
      </c>
    </row>
    <row r="4806" spans="1:2" x14ac:dyDescent="0.25">
      <c r="A4806" s="2">
        <v>45121</v>
      </c>
      <c r="B4806">
        <v>418.5</v>
      </c>
    </row>
    <row r="4807" spans="1:2" x14ac:dyDescent="0.25">
      <c r="A4807" s="2">
        <v>45122</v>
      </c>
      <c r="B4807">
        <v>418.5</v>
      </c>
    </row>
    <row r="4808" spans="1:2" x14ac:dyDescent="0.25">
      <c r="A4808" s="2">
        <v>45123</v>
      </c>
      <c r="B4808">
        <v>418.5</v>
      </c>
    </row>
    <row r="4809" spans="1:2" x14ac:dyDescent="0.25">
      <c r="A4809" s="2">
        <v>45124</v>
      </c>
      <c r="B4809">
        <v>419.78</v>
      </c>
    </row>
    <row r="4810" spans="1:2" x14ac:dyDescent="0.25">
      <c r="A4810" s="2">
        <v>45125</v>
      </c>
      <c r="B4810">
        <v>421.83</v>
      </c>
    </row>
    <row r="4811" spans="1:2" x14ac:dyDescent="0.25">
      <c r="A4811" s="2">
        <v>45126</v>
      </c>
      <c r="B4811">
        <v>424.07</v>
      </c>
    </row>
    <row r="4812" spans="1:2" x14ac:dyDescent="0.25">
      <c r="A4812" s="2">
        <v>45127</v>
      </c>
      <c r="B4812">
        <v>422.18</v>
      </c>
    </row>
    <row r="4813" spans="1:2" x14ac:dyDescent="0.25">
      <c r="A4813" s="2">
        <v>45128</v>
      </c>
      <c r="B4813">
        <v>425.13</v>
      </c>
    </row>
    <row r="4814" spans="1:2" x14ac:dyDescent="0.25">
      <c r="A4814" s="2">
        <v>45129</v>
      </c>
      <c r="B4814">
        <v>425.13</v>
      </c>
    </row>
    <row r="4815" spans="1:2" x14ac:dyDescent="0.25">
      <c r="A4815" s="2">
        <v>45130</v>
      </c>
      <c r="B4815">
        <v>425.13</v>
      </c>
    </row>
    <row r="4816" spans="1:2" x14ac:dyDescent="0.25">
      <c r="A4816" s="2">
        <v>45131</v>
      </c>
      <c r="B4816">
        <v>427.88</v>
      </c>
    </row>
    <row r="4817" spans="1:2" x14ac:dyDescent="0.25">
      <c r="A4817" s="2">
        <v>45132</v>
      </c>
      <c r="B4817">
        <v>430.84</v>
      </c>
    </row>
    <row r="4818" spans="1:2" x14ac:dyDescent="0.25">
      <c r="A4818" s="2">
        <v>45133</v>
      </c>
      <c r="B4818">
        <v>430.46</v>
      </c>
    </row>
    <row r="4819" spans="1:2" x14ac:dyDescent="0.25">
      <c r="A4819" s="2">
        <v>45134</v>
      </c>
      <c r="B4819">
        <v>425.19</v>
      </c>
    </row>
    <row r="4820" spans="1:2" x14ac:dyDescent="0.25">
      <c r="A4820" s="2">
        <v>45135</v>
      </c>
      <c r="B4820">
        <v>433.91</v>
      </c>
    </row>
    <row r="4821" spans="1:2" x14ac:dyDescent="0.25">
      <c r="A4821" s="2">
        <v>45136</v>
      </c>
      <c r="B4821">
        <v>433.91</v>
      </c>
    </row>
    <row r="4822" spans="1:2" x14ac:dyDescent="0.25">
      <c r="A4822" s="2">
        <v>45137</v>
      </c>
      <c r="B4822">
        <v>433.91</v>
      </c>
    </row>
    <row r="4823" spans="1:2" x14ac:dyDescent="0.25">
      <c r="A4823" s="2">
        <v>45138</v>
      </c>
      <c r="B4823">
        <v>434.04</v>
      </c>
    </row>
    <row r="4824" spans="1:2" x14ac:dyDescent="0.25">
      <c r="A4824" s="2">
        <v>45139</v>
      </c>
      <c r="B4824">
        <v>434.99</v>
      </c>
    </row>
    <row r="4825" spans="1:2" x14ac:dyDescent="0.25">
      <c r="A4825" s="2">
        <v>45140</v>
      </c>
      <c r="B4825">
        <v>428.38</v>
      </c>
    </row>
    <row r="4826" spans="1:2" x14ac:dyDescent="0.25">
      <c r="A4826" s="2">
        <v>45141</v>
      </c>
      <c r="B4826">
        <v>429.37</v>
      </c>
    </row>
    <row r="4827" spans="1:2" x14ac:dyDescent="0.25">
      <c r="A4827" s="2">
        <v>45142</v>
      </c>
      <c r="B4827">
        <v>426.59</v>
      </c>
    </row>
    <row r="4828" spans="1:2" x14ac:dyDescent="0.25">
      <c r="A4828" s="2">
        <v>45143</v>
      </c>
      <c r="B4828">
        <v>426.59</v>
      </c>
    </row>
    <row r="4829" spans="1:2" x14ac:dyDescent="0.25">
      <c r="A4829" s="2">
        <v>45144</v>
      </c>
      <c r="B4829">
        <v>426.59</v>
      </c>
    </row>
    <row r="4830" spans="1:2" x14ac:dyDescent="0.25">
      <c r="A4830" s="2">
        <v>45145</v>
      </c>
      <c r="B4830">
        <v>428.95</v>
      </c>
    </row>
    <row r="4831" spans="1:2" x14ac:dyDescent="0.25">
      <c r="A4831" s="2">
        <v>45146</v>
      </c>
      <c r="B4831">
        <v>428.7</v>
      </c>
    </row>
    <row r="4832" spans="1:2" x14ac:dyDescent="0.25">
      <c r="A4832" s="2">
        <v>45147</v>
      </c>
      <c r="B4832">
        <v>424.78</v>
      </c>
    </row>
    <row r="4833" spans="1:2" x14ac:dyDescent="0.25">
      <c r="A4833" s="2">
        <v>45148</v>
      </c>
      <c r="B4833">
        <v>422.97</v>
      </c>
    </row>
    <row r="4834" spans="1:2" x14ac:dyDescent="0.25">
      <c r="A4834" s="2">
        <v>45149</v>
      </c>
      <c r="B4834">
        <v>423.15</v>
      </c>
    </row>
    <row r="4835" spans="1:2" x14ac:dyDescent="0.25">
      <c r="A4835" s="2">
        <v>45150</v>
      </c>
      <c r="B4835">
        <v>423.15</v>
      </c>
    </row>
    <row r="4836" spans="1:2" x14ac:dyDescent="0.25">
      <c r="A4836" s="2">
        <v>45151</v>
      </c>
      <c r="B4836">
        <v>423.15</v>
      </c>
    </row>
    <row r="4837" spans="1:2" x14ac:dyDescent="0.25">
      <c r="A4837" s="2">
        <v>45152</v>
      </c>
      <c r="B4837">
        <v>428.48</v>
      </c>
    </row>
    <row r="4838" spans="1:2" x14ac:dyDescent="0.25">
      <c r="A4838" s="2">
        <v>45153</v>
      </c>
      <c r="B4838">
        <v>423.74</v>
      </c>
    </row>
    <row r="4839" spans="1:2" x14ac:dyDescent="0.25">
      <c r="A4839" s="2">
        <v>45154</v>
      </c>
      <c r="B4839">
        <v>420.98</v>
      </c>
    </row>
    <row r="4840" spans="1:2" x14ac:dyDescent="0.25">
      <c r="A4840" s="2">
        <v>45155</v>
      </c>
      <c r="B4840">
        <v>418.41</v>
      </c>
    </row>
    <row r="4841" spans="1:2" x14ac:dyDescent="0.25">
      <c r="A4841" s="2">
        <v>45156</v>
      </c>
      <c r="B4841">
        <v>419.65</v>
      </c>
    </row>
    <row r="4842" spans="1:2" x14ac:dyDescent="0.25">
      <c r="A4842" s="2">
        <v>45157</v>
      </c>
      <c r="B4842">
        <v>419.65</v>
      </c>
    </row>
    <row r="4843" spans="1:2" x14ac:dyDescent="0.25">
      <c r="A4843" s="2">
        <v>45158</v>
      </c>
      <c r="B4843">
        <v>419.65</v>
      </c>
    </row>
    <row r="4844" spans="1:2" x14ac:dyDescent="0.25">
      <c r="A4844" s="2">
        <v>45159</v>
      </c>
      <c r="B4844">
        <v>420.95</v>
      </c>
    </row>
    <row r="4845" spans="1:2" x14ac:dyDescent="0.25">
      <c r="A4845" s="2">
        <v>45160</v>
      </c>
      <c r="B4845">
        <v>420.59</v>
      </c>
    </row>
    <row r="4846" spans="1:2" x14ac:dyDescent="0.25">
      <c r="A4846" s="2">
        <v>45161</v>
      </c>
      <c r="B4846">
        <v>428.47</v>
      </c>
    </row>
    <row r="4847" spans="1:2" x14ac:dyDescent="0.25">
      <c r="A4847" s="2">
        <v>45162</v>
      </c>
      <c r="B4847">
        <v>421.39</v>
      </c>
    </row>
    <row r="4848" spans="1:2" x14ac:dyDescent="0.25">
      <c r="A4848" s="2">
        <v>45163</v>
      </c>
      <c r="B4848">
        <v>425.53</v>
      </c>
    </row>
    <row r="4849" spans="1:2" x14ac:dyDescent="0.25">
      <c r="A4849" s="2">
        <v>45164</v>
      </c>
      <c r="B4849">
        <v>425.53</v>
      </c>
    </row>
    <row r="4850" spans="1:2" x14ac:dyDescent="0.25">
      <c r="A4850" s="2">
        <v>45165</v>
      </c>
      <c r="B4850">
        <v>425.53</v>
      </c>
    </row>
    <row r="4851" spans="1:2" x14ac:dyDescent="0.25">
      <c r="A4851" s="2">
        <v>45166</v>
      </c>
      <c r="B4851">
        <v>427.03</v>
      </c>
    </row>
    <row r="4852" spans="1:2" x14ac:dyDescent="0.25">
      <c r="A4852" s="2">
        <v>45167</v>
      </c>
      <c r="B4852">
        <v>434.61</v>
      </c>
    </row>
    <row r="4853" spans="1:2" x14ac:dyDescent="0.25">
      <c r="A4853" s="2">
        <v>45168</v>
      </c>
      <c r="B4853">
        <v>433.01</v>
      </c>
    </row>
    <row r="4854" spans="1:2" x14ac:dyDescent="0.25">
      <c r="A4854" s="2">
        <v>45169</v>
      </c>
      <c r="B4854">
        <v>433.12</v>
      </c>
    </row>
    <row r="4855" spans="1:2" x14ac:dyDescent="0.25">
      <c r="A4855" s="2">
        <v>45170</v>
      </c>
      <c r="B4855">
        <v>434.89</v>
      </c>
    </row>
    <row r="4856" spans="1:2" x14ac:dyDescent="0.25">
      <c r="A4856" s="2">
        <v>45171</v>
      </c>
      <c r="B4856">
        <v>434.89</v>
      </c>
    </row>
    <row r="4857" spans="1:2" x14ac:dyDescent="0.25">
      <c r="A4857" s="2">
        <v>45172</v>
      </c>
      <c r="B4857">
        <v>434.89</v>
      </c>
    </row>
    <row r="4858" spans="1:2" x14ac:dyDescent="0.25">
      <c r="A4858" s="2">
        <v>45173</v>
      </c>
      <c r="B4858">
        <v>436.63</v>
      </c>
    </row>
    <row r="4859" spans="1:2" x14ac:dyDescent="0.25">
      <c r="A4859" s="2">
        <v>45174</v>
      </c>
      <c r="B4859">
        <v>437.63</v>
      </c>
    </row>
    <row r="4860" spans="1:2" x14ac:dyDescent="0.25">
      <c r="A4860" s="2">
        <v>45175</v>
      </c>
      <c r="B4860">
        <v>434.03</v>
      </c>
    </row>
    <row r="4861" spans="1:2" x14ac:dyDescent="0.25">
      <c r="A4861" s="2">
        <v>45176</v>
      </c>
      <c r="B4861">
        <v>434.1</v>
      </c>
    </row>
    <row r="4862" spans="1:2" x14ac:dyDescent="0.25">
      <c r="A4862" s="2">
        <v>45177</v>
      </c>
      <c r="B4862">
        <v>434.99</v>
      </c>
    </row>
    <row r="4863" spans="1:2" x14ac:dyDescent="0.25">
      <c r="A4863" s="2">
        <v>45178</v>
      </c>
      <c r="B4863">
        <v>434.99</v>
      </c>
    </row>
    <row r="4864" spans="1:2" x14ac:dyDescent="0.25">
      <c r="A4864" s="2">
        <v>45179</v>
      </c>
      <c r="B4864">
        <v>434.99</v>
      </c>
    </row>
    <row r="4865" spans="1:2" x14ac:dyDescent="0.25">
      <c r="A4865" s="2">
        <v>45180</v>
      </c>
      <c r="B4865">
        <v>437.09</v>
      </c>
    </row>
    <row r="4866" spans="1:2" x14ac:dyDescent="0.25">
      <c r="A4866" s="2">
        <v>45181</v>
      </c>
      <c r="B4866">
        <v>435.06</v>
      </c>
    </row>
    <row r="4867" spans="1:2" x14ac:dyDescent="0.25">
      <c r="A4867" s="2">
        <v>45182</v>
      </c>
      <c r="B4867">
        <v>434.79</v>
      </c>
    </row>
    <row r="4868" spans="1:2" x14ac:dyDescent="0.25">
      <c r="A4868" s="2">
        <v>45183</v>
      </c>
      <c r="B4868">
        <v>438.69</v>
      </c>
    </row>
    <row r="4869" spans="1:2" x14ac:dyDescent="0.25">
      <c r="A4869" s="2">
        <v>45184</v>
      </c>
      <c r="B4869">
        <v>436.29</v>
      </c>
    </row>
    <row r="4870" spans="1:2" x14ac:dyDescent="0.25">
      <c r="A4870" s="2">
        <v>45185</v>
      </c>
      <c r="B4870">
        <v>436.29</v>
      </c>
    </row>
    <row r="4871" spans="1:2" x14ac:dyDescent="0.25">
      <c r="A4871" s="2">
        <v>45186</v>
      </c>
      <c r="B4871">
        <v>436.29</v>
      </c>
    </row>
    <row r="4872" spans="1:2" x14ac:dyDescent="0.25">
      <c r="A4872" s="2">
        <v>45187</v>
      </c>
      <c r="B4872">
        <v>436.41</v>
      </c>
    </row>
    <row r="4873" spans="1:2" x14ac:dyDescent="0.25">
      <c r="A4873" s="2">
        <v>45188</v>
      </c>
      <c r="B4873">
        <v>433.43</v>
      </c>
    </row>
    <row r="4874" spans="1:2" x14ac:dyDescent="0.25">
      <c r="A4874" s="2">
        <v>45189</v>
      </c>
      <c r="B4874">
        <v>429.83</v>
      </c>
    </row>
    <row r="4875" spans="1:2" x14ac:dyDescent="0.25">
      <c r="A4875" s="2">
        <v>45190</v>
      </c>
      <c r="B4875">
        <v>425.45</v>
      </c>
    </row>
    <row r="4876" spans="1:2" x14ac:dyDescent="0.25">
      <c r="A4876" s="2">
        <v>45191</v>
      </c>
      <c r="B4876">
        <v>424</v>
      </c>
    </row>
    <row r="4877" spans="1:2" x14ac:dyDescent="0.25">
      <c r="A4877" s="2">
        <v>45192</v>
      </c>
      <c r="B4877">
        <v>424</v>
      </c>
    </row>
    <row r="4878" spans="1:2" x14ac:dyDescent="0.25">
      <c r="A4878" s="2">
        <v>45193</v>
      </c>
      <c r="B4878">
        <v>424</v>
      </c>
    </row>
    <row r="4879" spans="1:2" x14ac:dyDescent="0.25">
      <c r="A4879" s="2">
        <v>45194</v>
      </c>
      <c r="B4879">
        <v>426.27</v>
      </c>
    </row>
    <row r="4880" spans="1:2" x14ac:dyDescent="0.25">
      <c r="A4880" s="2">
        <v>45195</v>
      </c>
      <c r="B4880">
        <v>421.12</v>
      </c>
    </row>
    <row r="4881" spans="1:2" x14ac:dyDescent="0.25">
      <c r="A4881" s="2">
        <v>45196</v>
      </c>
      <c r="B4881">
        <v>423.98</v>
      </c>
    </row>
    <row r="4882" spans="1:2" x14ac:dyDescent="0.25">
      <c r="A4882" s="2">
        <v>45197</v>
      </c>
      <c r="B4882">
        <v>426.41</v>
      </c>
    </row>
    <row r="4883" spans="1:2" x14ac:dyDescent="0.25">
      <c r="A4883" s="2">
        <v>45198</v>
      </c>
      <c r="B4883">
        <v>423.05</v>
      </c>
    </row>
    <row r="4884" spans="1:2" x14ac:dyDescent="0.25">
      <c r="A4884" s="2">
        <v>45199</v>
      </c>
      <c r="B4884">
        <v>423.05</v>
      </c>
    </row>
    <row r="4885" spans="1:2" x14ac:dyDescent="0.25">
      <c r="A4885" s="2">
        <v>45200</v>
      </c>
      <c r="B4885">
        <v>423.05</v>
      </c>
    </row>
    <row r="4886" spans="1:2" x14ac:dyDescent="0.25">
      <c r="A4886" s="2">
        <v>45201</v>
      </c>
      <c r="B4886">
        <v>425.66</v>
      </c>
    </row>
    <row r="4887" spans="1:2" x14ac:dyDescent="0.25">
      <c r="A4887" s="2">
        <v>45202</v>
      </c>
      <c r="B4887">
        <v>422.28</v>
      </c>
    </row>
    <row r="4888" spans="1:2" x14ac:dyDescent="0.25">
      <c r="A4888" s="2">
        <v>45203</v>
      </c>
      <c r="B4888">
        <v>424.57</v>
      </c>
    </row>
    <row r="4889" spans="1:2" x14ac:dyDescent="0.25">
      <c r="A4889" s="2">
        <v>45204</v>
      </c>
      <c r="B4889">
        <v>422.91</v>
      </c>
    </row>
    <row r="4890" spans="1:2" x14ac:dyDescent="0.25">
      <c r="A4890" s="2">
        <v>45205</v>
      </c>
      <c r="B4890">
        <v>426.47</v>
      </c>
    </row>
    <row r="4891" spans="1:2" x14ac:dyDescent="0.25">
      <c r="A4891" s="2">
        <v>45206</v>
      </c>
      <c r="B4891">
        <v>426.47</v>
      </c>
    </row>
    <row r="4892" spans="1:2" x14ac:dyDescent="0.25">
      <c r="A4892" s="2">
        <v>45207</v>
      </c>
      <c r="B4892">
        <v>426.47</v>
      </c>
    </row>
    <row r="4893" spans="1:2" x14ac:dyDescent="0.25">
      <c r="A4893" s="2">
        <v>45208</v>
      </c>
      <c r="B4893">
        <v>430.45</v>
      </c>
    </row>
    <row r="4894" spans="1:2" x14ac:dyDescent="0.25">
      <c r="A4894" s="2">
        <v>45209</v>
      </c>
      <c r="B4894">
        <v>430.62</v>
      </c>
    </row>
    <row r="4895" spans="1:2" x14ac:dyDescent="0.25">
      <c r="A4895" s="2">
        <v>45210</v>
      </c>
      <c r="B4895">
        <v>431.59</v>
      </c>
    </row>
    <row r="4896" spans="1:2" x14ac:dyDescent="0.25">
      <c r="A4896" s="2">
        <v>45211</v>
      </c>
      <c r="B4896">
        <v>428.33</v>
      </c>
    </row>
    <row r="4897" spans="1:2" x14ac:dyDescent="0.25">
      <c r="A4897" s="2">
        <v>45212</v>
      </c>
      <c r="B4897">
        <v>430.04</v>
      </c>
    </row>
    <row r="4898" spans="1:2" x14ac:dyDescent="0.25">
      <c r="A4898" s="2">
        <v>45213</v>
      </c>
      <c r="B4898">
        <v>430.04</v>
      </c>
    </row>
    <row r="4899" spans="1:2" x14ac:dyDescent="0.25">
      <c r="A4899" s="2">
        <v>45214</v>
      </c>
      <c r="B4899">
        <v>430.04</v>
      </c>
    </row>
    <row r="4900" spans="1:2" x14ac:dyDescent="0.25">
      <c r="A4900" s="2">
        <v>45215</v>
      </c>
      <c r="B4900">
        <v>434.02</v>
      </c>
    </row>
    <row r="4901" spans="1:2" x14ac:dyDescent="0.25">
      <c r="A4901" s="2">
        <v>45216</v>
      </c>
      <c r="B4901">
        <v>432.71</v>
      </c>
    </row>
    <row r="4902" spans="1:2" x14ac:dyDescent="0.25">
      <c r="A4902" s="2">
        <v>45217</v>
      </c>
      <c r="B4902">
        <v>427.07</v>
      </c>
    </row>
    <row r="4903" spans="1:2" x14ac:dyDescent="0.25">
      <c r="A4903" s="2">
        <v>45218</v>
      </c>
      <c r="B4903">
        <v>423.75</v>
      </c>
    </row>
    <row r="4904" spans="1:2" x14ac:dyDescent="0.25">
      <c r="A4904" s="2">
        <v>45219</v>
      </c>
      <c r="B4904">
        <v>417.13</v>
      </c>
    </row>
    <row r="4905" spans="1:2" x14ac:dyDescent="0.25">
      <c r="A4905" s="2">
        <v>45220</v>
      </c>
      <c r="B4905">
        <v>417.13</v>
      </c>
    </row>
    <row r="4906" spans="1:2" x14ac:dyDescent="0.25">
      <c r="A4906" s="2">
        <v>45221</v>
      </c>
      <c r="B4906">
        <v>417.13</v>
      </c>
    </row>
    <row r="4907" spans="1:2" x14ac:dyDescent="0.25">
      <c r="A4907" s="2">
        <v>45222</v>
      </c>
      <c r="B4907">
        <v>416.19</v>
      </c>
    </row>
    <row r="4908" spans="1:2" x14ac:dyDescent="0.25">
      <c r="A4908" s="2">
        <v>45223</v>
      </c>
      <c r="B4908">
        <v>417.84</v>
      </c>
    </row>
    <row r="4909" spans="1:2" x14ac:dyDescent="0.25">
      <c r="A4909" s="2">
        <v>45224</v>
      </c>
      <c r="B4909">
        <v>414.03</v>
      </c>
    </row>
    <row r="4910" spans="1:2" x14ac:dyDescent="0.25">
      <c r="A4910" s="2">
        <v>45225</v>
      </c>
      <c r="B4910">
        <v>410.53</v>
      </c>
    </row>
    <row r="4911" spans="1:2" x14ac:dyDescent="0.25">
      <c r="A4911" s="2">
        <v>45226</v>
      </c>
      <c r="B4911">
        <v>408.53</v>
      </c>
    </row>
    <row r="4912" spans="1:2" x14ac:dyDescent="0.25">
      <c r="A4912" s="2">
        <v>45227</v>
      </c>
      <c r="B4912">
        <v>408.53</v>
      </c>
    </row>
    <row r="4913" spans="1:2" x14ac:dyDescent="0.25">
      <c r="A4913" s="2">
        <v>45228</v>
      </c>
      <c r="B4913">
        <v>408.53</v>
      </c>
    </row>
    <row r="4914" spans="1:2" x14ac:dyDescent="0.25">
      <c r="A4914" s="2">
        <v>45229</v>
      </c>
      <c r="B4914">
        <v>410.97</v>
      </c>
    </row>
    <row r="4915" spans="1:2" x14ac:dyDescent="0.25">
      <c r="A4915" s="2">
        <v>45230</v>
      </c>
      <c r="B4915">
        <v>413.11</v>
      </c>
    </row>
    <row r="4916" spans="1:2" x14ac:dyDescent="0.25">
      <c r="A4916" s="2">
        <v>45231</v>
      </c>
      <c r="B4916">
        <v>420.7</v>
      </c>
    </row>
    <row r="4917" spans="1:2" x14ac:dyDescent="0.25">
      <c r="A4917" s="2">
        <v>45232</v>
      </c>
      <c r="B4917">
        <v>423.67</v>
      </c>
    </row>
    <row r="4918" spans="1:2" x14ac:dyDescent="0.25">
      <c r="A4918" s="2">
        <v>45233</v>
      </c>
      <c r="B4918">
        <v>426.02</v>
      </c>
    </row>
    <row r="4919" spans="1:2" x14ac:dyDescent="0.25">
      <c r="A4919" s="2">
        <v>45234</v>
      </c>
      <c r="B4919">
        <v>426.02</v>
      </c>
    </row>
    <row r="4920" spans="1:2" x14ac:dyDescent="0.25">
      <c r="A4920" s="2">
        <v>45235</v>
      </c>
      <c r="B4920">
        <v>426.02</v>
      </c>
    </row>
    <row r="4921" spans="1:2" x14ac:dyDescent="0.25">
      <c r="A4921" s="2">
        <v>45236</v>
      </c>
      <c r="B4921">
        <v>425.23</v>
      </c>
    </row>
    <row r="4922" spans="1:2" x14ac:dyDescent="0.25">
      <c r="A4922" s="2">
        <v>45237</v>
      </c>
      <c r="B4922">
        <v>428.64</v>
      </c>
    </row>
    <row r="4923" spans="1:2" x14ac:dyDescent="0.25">
      <c r="A4923" s="2">
        <v>45238</v>
      </c>
      <c r="B4923">
        <v>429.69</v>
      </c>
    </row>
    <row r="4924" spans="1:2" x14ac:dyDescent="0.25">
      <c r="A4924" s="2">
        <v>45239</v>
      </c>
      <c r="B4924">
        <v>425.49</v>
      </c>
    </row>
    <row r="4925" spans="1:2" x14ac:dyDescent="0.25">
      <c r="A4925" s="2">
        <v>45240</v>
      </c>
      <c r="B4925">
        <v>432.51</v>
      </c>
    </row>
    <row r="4926" spans="1:2" x14ac:dyDescent="0.25">
      <c r="A4926" s="2">
        <v>45241</v>
      </c>
      <c r="B4926">
        <v>432.51</v>
      </c>
    </row>
    <row r="4927" spans="1:2" x14ac:dyDescent="0.25">
      <c r="A4927" s="2">
        <v>45242</v>
      </c>
      <c r="B4927">
        <v>432.51</v>
      </c>
    </row>
    <row r="4928" spans="1:2" x14ac:dyDescent="0.25">
      <c r="A4928" s="2">
        <v>45243</v>
      </c>
      <c r="B4928">
        <v>432.7</v>
      </c>
    </row>
    <row r="4929" spans="1:2" x14ac:dyDescent="0.25">
      <c r="A4929" s="2">
        <v>45244</v>
      </c>
      <c r="B4929">
        <v>438.81</v>
      </c>
    </row>
    <row r="4930" spans="1:2" x14ac:dyDescent="0.25">
      <c r="A4930" s="2">
        <v>45245</v>
      </c>
      <c r="B4930">
        <v>433.75</v>
      </c>
    </row>
    <row r="4931" spans="1:2" x14ac:dyDescent="0.25">
      <c r="A4931" s="2">
        <v>45246</v>
      </c>
      <c r="B4931">
        <v>435.12</v>
      </c>
    </row>
    <row r="4932" spans="1:2" x14ac:dyDescent="0.25">
      <c r="A4932" s="2">
        <v>45247</v>
      </c>
      <c r="B4932">
        <v>434.76</v>
      </c>
    </row>
    <row r="4933" spans="1:2" x14ac:dyDescent="0.25">
      <c r="A4933" s="2">
        <v>45248</v>
      </c>
      <c r="B4933">
        <v>434.76</v>
      </c>
    </row>
    <row r="4934" spans="1:2" x14ac:dyDescent="0.25">
      <c r="A4934" s="2">
        <v>45249</v>
      </c>
      <c r="B4934">
        <v>434.76</v>
      </c>
    </row>
    <row r="4935" spans="1:2" x14ac:dyDescent="0.25">
      <c r="A4935" s="2">
        <v>45250</v>
      </c>
      <c r="B4935">
        <v>435.76</v>
      </c>
    </row>
    <row r="4936" spans="1:2" x14ac:dyDescent="0.25">
      <c r="A4936" s="2">
        <v>45251</v>
      </c>
      <c r="B4936">
        <v>433.82</v>
      </c>
    </row>
    <row r="4937" spans="1:2" x14ac:dyDescent="0.25">
      <c r="A4937" s="2">
        <v>45252</v>
      </c>
      <c r="B4937">
        <v>437.36</v>
      </c>
    </row>
    <row r="4938" spans="1:2" x14ac:dyDescent="0.25">
      <c r="A4938" s="2">
        <v>45253</v>
      </c>
      <c r="B4938">
        <v>438.07</v>
      </c>
    </row>
    <row r="4939" spans="1:2" x14ac:dyDescent="0.25">
      <c r="A4939" s="2">
        <v>45254</v>
      </c>
      <c r="B4939">
        <v>437.42</v>
      </c>
    </row>
    <row r="4940" spans="1:2" x14ac:dyDescent="0.25">
      <c r="A4940" s="2">
        <v>45255</v>
      </c>
      <c r="B4940">
        <v>437.42</v>
      </c>
    </row>
    <row r="4941" spans="1:2" x14ac:dyDescent="0.25">
      <c r="A4941" s="2">
        <v>45256</v>
      </c>
      <c r="B4941">
        <v>437.42</v>
      </c>
    </row>
    <row r="4942" spans="1:2" x14ac:dyDescent="0.25">
      <c r="A4942" s="2">
        <v>45257</v>
      </c>
      <c r="B4942">
        <v>435.17</v>
      </c>
    </row>
    <row r="4943" spans="1:2" x14ac:dyDescent="0.25">
      <c r="A4943" s="2">
        <v>45258</v>
      </c>
      <c r="B4943">
        <v>435.68</v>
      </c>
    </row>
    <row r="4944" spans="1:2" x14ac:dyDescent="0.25">
      <c r="A4944" s="2">
        <v>45259</v>
      </c>
      <c r="B4944">
        <v>433.91</v>
      </c>
    </row>
    <row r="4945" spans="1:2" x14ac:dyDescent="0.25">
      <c r="A4945" s="2">
        <v>45260</v>
      </c>
      <c r="B4945">
        <v>437.81</v>
      </c>
    </row>
    <row r="4946" spans="1:2" x14ac:dyDescent="0.25">
      <c r="A4946" s="2">
        <v>45261</v>
      </c>
      <c r="B4946">
        <v>442.69</v>
      </c>
    </row>
    <row r="4947" spans="1:2" x14ac:dyDescent="0.25">
      <c r="A4947" s="2">
        <v>45262</v>
      </c>
      <c r="B4947">
        <v>442.69</v>
      </c>
    </row>
    <row r="4948" spans="1:2" x14ac:dyDescent="0.25">
      <c r="A4948" s="2">
        <v>45263</v>
      </c>
      <c r="B4948">
        <v>442.69</v>
      </c>
    </row>
    <row r="4949" spans="1:2" x14ac:dyDescent="0.25">
      <c r="A4949" s="2">
        <v>45264</v>
      </c>
      <c r="B4949">
        <v>440.57</v>
      </c>
    </row>
    <row r="4950" spans="1:2" x14ac:dyDescent="0.25">
      <c r="A4950" s="2">
        <v>45265</v>
      </c>
      <c r="B4950">
        <v>442.41</v>
      </c>
    </row>
    <row r="4951" spans="1:2" x14ac:dyDescent="0.25">
      <c r="A4951" s="2">
        <v>45266</v>
      </c>
      <c r="B4951">
        <v>442.29</v>
      </c>
    </row>
    <row r="4952" spans="1:2" x14ac:dyDescent="0.25">
      <c r="A4952" s="2">
        <v>45267</v>
      </c>
      <c r="B4952">
        <v>446.16</v>
      </c>
    </row>
    <row r="4953" spans="1:2" x14ac:dyDescent="0.25">
      <c r="A4953" s="2">
        <v>45268</v>
      </c>
      <c r="B4953">
        <v>447.75</v>
      </c>
    </row>
    <row r="4954" spans="1:2" x14ac:dyDescent="0.25">
      <c r="A4954" s="2">
        <v>45269</v>
      </c>
      <c r="B4954">
        <v>447.75</v>
      </c>
    </row>
    <row r="4955" spans="1:2" x14ac:dyDescent="0.25">
      <c r="A4955" s="2">
        <v>45270</v>
      </c>
      <c r="B4955">
        <v>447.75</v>
      </c>
    </row>
    <row r="4956" spans="1:2" x14ac:dyDescent="0.25">
      <c r="A4956" s="2">
        <v>45271</v>
      </c>
      <c r="B4956">
        <v>450.34</v>
      </c>
    </row>
    <row r="4957" spans="1:2" x14ac:dyDescent="0.25">
      <c r="A4957" s="2">
        <v>45272</v>
      </c>
      <c r="B4957">
        <v>450.45</v>
      </c>
    </row>
    <row r="4958" spans="1:2" x14ac:dyDescent="0.25">
      <c r="A4958" s="2">
        <v>45273</v>
      </c>
      <c r="B4958">
        <v>457.34</v>
      </c>
    </row>
    <row r="4959" spans="1:2" x14ac:dyDescent="0.25">
      <c r="A4959" s="2">
        <v>45274</v>
      </c>
      <c r="B4959">
        <v>453.09</v>
      </c>
    </row>
    <row r="4960" spans="1:2" x14ac:dyDescent="0.25">
      <c r="A4960" s="2">
        <v>45275</v>
      </c>
      <c r="B4960">
        <v>451.96</v>
      </c>
    </row>
    <row r="4961" spans="1:2" x14ac:dyDescent="0.25">
      <c r="A4961" s="2">
        <v>45276</v>
      </c>
      <c r="B4961">
        <v>451.96</v>
      </c>
    </row>
    <row r="4962" spans="1:2" x14ac:dyDescent="0.25">
      <c r="A4962" s="2">
        <v>45277</v>
      </c>
      <c r="B4962">
        <v>451.96</v>
      </c>
    </row>
    <row r="4963" spans="1:2" x14ac:dyDescent="0.25">
      <c r="A4963" s="2">
        <v>45278</v>
      </c>
      <c r="B4963">
        <v>455.17</v>
      </c>
    </row>
    <row r="4964" spans="1:2" x14ac:dyDescent="0.25">
      <c r="A4964" s="2">
        <v>45279</v>
      </c>
      <c r="B4964">
        <v>456.04</v>
      </c>
    </row>
    <row r="4965" spans="1:2" x14ac:dyDescent="0.25">
      <c r="A4965" s="2">
        <v>45280</v>
      </c>
      <c r="B4965">
        <v>450.12</v>
      </c>
    </row>
    <row r="4966" spans="1:2" x14ac:dyDescent="0.25">
      <c r="A4966" s="2">
        <v>45281</v>
      </c>
      <c r="B4966">
        <v>453.15</v>
      </c>
    </row>
    <row r="4967" spans="1:2" x14ac:dyDescent="0.25">
      <c r="A4967" s="2">
        <v>45282</v>
      </c>
      <c r="B4967">
        <v>452.25</v>
      </c>
    </row>
    <row r="4968" spans="1:2" x14ac:dyDescent="0.25">
      <c r="A4968" s="2">
        <v>45283</v>
      </c>
      <c r="B4968">
        <v>452.25</v>
      </c>
    </row>
    <row r="4969" spans="1:2" x14ac:dyDescent="0.25">
      <c r="A4969" s="2">
        <v>45284</v>
      </c>
      <c r="B4969">
        <v>452.25</v>
      </c>
    </row>
    <row r="4970" spans="1:2" x14ac:dyDescent="0.25">
      <c r="A4970" s="2">
        <v>45285</v>
      </c>
      <c r="B4970">
        <v>452.25</v>
      </c>
    </row>
    <row r="4971" spans="1:2" x14ac:dyDescent="0.25">
      <c r="A4971" s="2">
        <v>45286</v>
      </c>
      <c r="B4971">
        <v>452.25</v>
      </c>
    </row>
    <row r="4972" spans="1:2" x14ac:dyDescent="0.25">
      <c r="A4972" s="2">
        <v>45287</v>
      </c>
      <c r="B4972">
        <v>453.1</v>
      </c>
    </row>
    <row r="4973" spans="1:2" x14ac:dyDescent="0.25">
      <c r="A4973" s="2">
        <v>45288</v>
      </c>
      <c r="B4973">
        <v>451.31</v>
      </c>
    </row>
    <row r="4974" spans="1:2" x14ac:dyDescent="0.25">
      <c r="A4974" s="2">
        <v>45289</v>
      </c>
      <c r="B4974">
        <v>452.66</v>
      </c>
    </row>
    <row r="4975" spans="1:2" x14ac:dyDescent="0.25">
      <c r="A4975" s="2">
        <v>45290</v>
      </c>
      <c r="B4975">
        <v>452.66</v>
      </c>
    </row>
    <row r="4976" spans="1:2" x14ac:dyDescent="0.25">
      <c r="A4976" s="2">
        <v>45291</v>
      </c>
      <c r="B4976">
        <v>452.66</v>
      </c>
    </row>
    <row r="4977" spans="1:2" x14ac:dyDescent="0.25">
      <c r="A4977" s="2">
        <v>45292</v>
      </c>
      <c r="B4977">
        <v>452.66</v>
      </c>
    </row>
    <row r="4978" spans="1:2" x14ac:dyDescent="0.25">
      <c r="A4978" s="2">
        <v>45293</v>
      </c>
      <c r="B4978">
        <v>453.97</v>
      </c>
    </row>
    <row r="4979" spans="1:2" x14ac:dyDescent="0.25">
      <c r="A4979" s="2">
        <v>45294</v>
      </c>
      <c r="B4979">
        <v>451.87</v>
      </c>
    </row>
    <row r="4980" spans="1:2" x14ac:dyDescent="0.25">
      <c r="A4980" s="2">
        <v>45295</v>
      </c>
      <c r="B4980">
        <v>448.97</v>
      </c>
    </row>
    <row r="4981" spans="1:2" x14ac:dyDescent="0.25">
      <c r="A4981" s="2">
        <v>45296</v>
      </c>
      <c r="B4981">
        <v>451.11</v>
      </c>
    </row>
    <row r="4982" spans="1:2" x14ac:dyDescent="0.25">
      <c r="A4982" s="2">
        <v>45297</v>
      </c>
      <c r="B4982">
        <v>451.11</v>
      </c>
    </row>
    <row r="4983" spans="1:2" x14ac:dyDescent="0.25">
      <c r="A4983" s="2">
        <v>45298</v>
      </c>
      <c r="B4983">
        <v>451.11</v>
      </c>
    </row>
    <row r="4984" spans="1:2" x14ac:dyDescent="0.25">
      <c r="A4984" s="2">
        <v>45299</v>
      </c>
      <c r="B4984">
        <v>456.44</v>
      </c>
    </row>
    <row r="4985" spans="1:2" x14ac:dyDescent="0.25">
      <c r="A4985" s="2">
        <v>45300</v>
      </c>
      <c r="B4985">
        <v>456.07</v>
      </c>
    </row>
    <row r="4986" spans="1:2" x14ac:dyDescent="0.25">
      <c r="A4986" s="2">
        <v>45301</v>
      </c>
      <c r="B4986">
        <v>458.4</v>
      </c>
    </row>
    <row r="4987" spans="1:2" x14ac:dyDescent="0.25">
      <c r="A4987" s="2">
        <v>45302</v>
      </c>
      <c r="B4987">
        <v>456.4</v>
      </c>
    </row>
    <row r="4988" spans="1:2" x14ac:dyDescent="0.25">
      <c r="A4988" s="2">
        <v>45303</v>
      </c>
      <c r="B4988">
        <v>458.65</v>
      </c>
    </row>
    <row r="4989" spans="1:2" x14ac:dyDescent="0.25">
      <c r="A4989" s="2">
        <v>45304</v>
      </c>
      <c r="B4989">
        <v>458.65</v>
      </c>
    </row>
    <row r="4990" spans="1:2" x14ac:dyDescent="0.25">
      <c r="A4990" s="2">
        <v>45305</v>
      </c>
      <c r="B4990">
        <v>458.65</v>
      </c>
    </row>
    <row r="4991" spans="1:2" x14ac:dyDescent="0.25">
      <c r="A4991" s="2">
        <v>45306</v>
      </c>
      <c r="B4991">
        <v>457.86</v>
      </c>
    </row>
    <row r="4992" spans="1:2" x14ac:dyDescent="0.25">
      <c r="A4992" s="2">
        <v>45307</v>
      </c>
      <c r="B4992">
        <v>459.47</v>
      </c>
    </row>
    <row r="4993" spans="1:2" x14ac:dyDescent="0.25">
      <c r="A4993" s="2">
        <v>45308</v>
      </c>
      <c r="B4993">
        <v>457.1</v>
      </c>
    </row>
    <row r="4994" spans="1:2" x14ac:dyDescent="0.25">
      <c r="A4994" s="2">
        <v>45309</v>
      </c>
      <c r="B4994">
        <v>461.24</v>
      </c>
    </row>
    <row r="4995" spans="1:2" x14ac:dyDescent="0.25">
      <c r="A4995" s="2">
        <v>45310</v>
      </c>
      <c r="B4995">
        <v>466.43</v>
      </c>
    </row>
    <row r="4996" spans="1:2" x14ac:dyDescent="0.25">
      <c r="A4996" s="2">
        <v>45311</v>
      </c>
      <c r="B4996">
        <v>466.43</v>
      </c>
    </row>
    <row r="4997" spans="1:2" x14ac:dyDescent="0.25">
      <c r="A4997" s="2">
        <v>45312</v>
      </c>
      <c r="B4997">
        <v>466.43</v>
      </c>
    </row>
    <row r="4998" spans="1:2" x14ac:dyDescent="0.25">
      <c r="A4998" s="2">
        <v>45313</v>
      </c>
      <c r="B4998">
        <v>467.32</v>
      </c>
    </row>
    <row r="4999" spans="1:2" x14ac:dyDescent="0.25">
      <c r="A4999" s="2">
        <v>45314</v>
      </c>
      <c r="B4999">
        <v>469.47</v>
      </c>
    </row>
    <row r="5000" spans="1:2" x14ac:dyDescent="0.25">
      <c r="A5000" s="2">
        <v>45315</v>
      </c>
      <c r="B5000">
        <v>468.44</v>
      </c>
    </row>
    <row r="5001" spans="1:2" x14ac:dyDescent="0.25">
      <c r="A5001" s="2">
        <v>45316</v>
      </c>
      <c r="B5001">
        <v>471.44</v>
      </c>
    </row>
    <row r="5002" spans="1:2" x14ac:dyDescent="0.25">
      <c r="A5002" s="2">
        <v>45317</v>
      </c>
      <c r="B5002">
        <v>472.08</v>
      </c>
    </row>
    <row r="5003" spans="1:2" x14ac:dyDescent="0.25">
      <c r="A5003" s="2">
        <v>45318</v>
      </c>
      <c r="B5003">
        <v>472.08</v>
      </c>
    </row>
    <row r="5004" spans="1:2" x14ac:dyDescent="0.25">
      <c r="A5004" s="2">
        <v>45319</v>
      </c>
      <c r="B5004">
        <v>472.08</v>
      </c>
    </row>
    <row r="5005" spans="1:2" x14ac:dyDescent="0.25">
      <c r="A5005" s="2">
        <v>45320</v>
      </c>
      <c r="B5005">
        <v>477.77</v>
      </c>
    </row>
    <row r="5006" spans="1:2" x14ac:dyDescent="0.25">
      <c r="A5006" s="2">
        <v>45321</v>
      </c>
      <c r="B5006">
        <v>476.5</v>
      </c>
    </row>
    <row r="5007" spans="1:2" x14ac:dyDescent="0.25">
      <c r="A5007" s="2">
        <v>45322</v>
      </c>
      <c r="B5007">
        <v>469.23</v>
      </c>
    </row>
    <row r="5008" spans="1:2" x14ac:dyDescent="0.25">
      <c r="A5008" s="2">
        <v>45323</v>
      </c>
      <c r="B5008">
        <v>476.11</v>
      </c>
    </row>
    <row r="5009" spans="1:2" x14ac:dyDescent="0.25">
      <c r="A5009" s="2">
        <v>45324</v>
      </c>
      <c r="B5009">
        <v>478.17</v>
      </c>
    </row>
    <row r="5010" spans="1:2" x14ac:dyDescent="0.25">
      <c r="A5010" s="2">
        <v>45325</v>
      </c>
      <c r="B5010">
        <v>478.17</v>
      </c>
    </row>
    <row r="5011" spans="1:2" x14ac:dyDescent="0.25">
      <c r="A5011" s="2">
        <v>45326</v>
      </c>
      <c r="B5011">
        <v>478.17</v>
      </c>
    </row>
    <row r="5012" spans="1:2" x14ac:dyDescent="0.25">
      <c r="A5012" s="2">
        <v>45327</v>
      </c>
      <c r="B5012">
        <v>482.73</v>
      </c>
    </row>
    <row r="5013" spans="1:2" x14ac:dyDescent="0.25">
      <c r="A5013" s="2">
        <v>45328</v>
      </c>
      <c r="B5013">
        <v>483.99</v>
      </c>
    </row>
    <row r="5014" spans="1:2" x14ac:dyDescent="0.25">
      <c r="A5014" s="2">
        <v>45329</v>
      </c>
      <c r="B5014">
        <v>486.49</v>
      </c>
    </row>
    <row r="5015" spans="1:2" x14ac:dyDescent="0.25">
      <c r="A5015" s="2">
        <v>45330</v>
      </c>
      <c r="B5015">
        <v>487.63</v>
      </c>
    </row>
    <row r="5016" spans="1:2" x14ac:dyDescent="0.25">
      <c r="A5016" s="2">
        <v>45331</v>
      </c>
      <c r="B5016">
        <v>489.83</v>
      </c>
    </row>
    <row r="5017" spans="1:2" x14ac:dyDescent="0.25">
      <c r="A5017" s="2">
        <v>45332</v>
      </c>
      <c r="B5017">
        <v>489.83</v>
      </c>
    </row>
    <row r="5018" spans="1:2" x14ac:dyDescent="0.25">
      <c r="A5018" s="2">
        <v>45333</v>
      </c>
      <c r="B5018">
        <v>489.83</v>
      </c>
    </row>
    <row r="5019" spans="1:2" x14ac:dyDescent="0.25">
      <c r="A5019" s="2">
        <v>45334</v>
      </c>
      <c r="B5019">
        <v>489.33</v>
      </c>
    </row>
    <row r="5020" spans="1:2" x14ac:dyDescent="0.25">
      <c r="A5020" s="2">
        <v>45335</v>
      </c>
      <c r="B5020">
        <v>481.78</v>
      </c>
    </row>
    <row r="5021" spans="1:2" x14ac:dyDescent="0.25">
      <c r="A5021" s="2">
        <v>45336</v>
      </c>
      <c r="B5021">
        <v>490.11</v>
      </c>
    </row>
    <row r="5022" spans="1:2" x14ac:dyDescent="0.25">
      <c r="A5022" s="2">
        <v>45337</v>
      </c>
      <c r="B5022">
        <v>491.68</v>
      </c>
    </row>
    <row r="5023" spans="1:2" x14ac:dyDescent="0.25">
      <c r="A5023" s="2">
        <v>45338</v>
      </c>
      <c r="B5023">
        <v>488.25</v>
      </c>
    </row>
    <row r="5024" spans="1:2" x14ac:dyDescent="0.25">
      <c r="A5024" s="2">
        <v>45339</v>
      </c>
      <c r="B5024">
        <v>488.25</v>
      </c>
    </row>
    <row r="5025" spans="1:2" x14ac:dyDescent="0.25">
      <c r="A5025" s="2">
        <v>45340</v>
      </c>
      <c r="B5025">
        <v>488.25</v>
      </c>
    </row>
    <row r="5026" spans="1:2" x14ac:dyDescent="0.25">
      <c r="A5026" s="2">
        <v>45341</v>
      </c>
      <c r="B5026">
        <v>488.58</v>
      </c>
    </row>
    <row r="5027" spans="1:2" x14ac:dyDescent="0.25">
      <c r="A5027" s="2">
        <v>45342</v>
      </c>
      <c r="B5027">
        <v>483.8</v>
      </c>
    </row>
    <row r="5028" spans="1:2" x14ac:dyDescent="0.25">
      <c r="A5028" s="2">
        <v>45343</v>
      </c>
      <c r="B5028">
        <v>484.12</v>
      </c>
    </row>
    <row r="5029" spans="1:2" x14ac:dyDescent="0.25">
      <c r="A5029" s="2">
        <v>45344</v>
      </c>
      <c r="B5029">
        <v>492.77</v>
      </c>
    </row>
    <row r="5030" spans="1:2" x14ac:dyDescent="0.25">
      <c r="A5030" s="2">
        <v>45345</v>
      </c>
      <c r="B5030">
        <v>493.4</v>
      </c>
    </row>
    <row r="5031" spans="1:2" x14ac:dyDescent="0.25">
      <c r="A5031" s="2">
        <v>45346</v>
      </c>
      <c r="B5031">
        <v>493.4</v>
      </c>
    </row>
    <row r="5032" spans="1:2" x14ac:dyDescent="0.25">
      <c r="A5032" s="2">
        <v>45347</v>
      </c>
      <c r="B5032">
        <v>493.4</v>
      </c>
    </row>
    <row r="5033" spans="1:2" x14ac:dyDescent="0.25">
      <c r="A5033" s="2">
        <v>45348</v>
      </c>
      <c r="B5033">
        <v>490.73</v>
      </c>
    </row>
    <row r="5034" spans="1:2" x14ac:dyDescent="0.25">
      <c r="A5034" s="2">
        <v>45349</v>
      </c>
      <c r="B5034">
        <v>491.4</v>
      </c>
    </row>
    <row r="5035" spans="1:2" x14ac:dyDescent="0.25">
      <c r="A5035" s="2">
        <v>45350</v>
      </c>
      <c r="B5035">
        <v>492.79</v>
      </c>
    </row>
    <row r="5036" spans="1:2" x14ac:dyDescent="0.25">
      <c r="A5036" s="2">
        <v>45351</v>
      </c>
      <c r="B5036">
        <v>494.63</v>
      </c>
    </row>
    <row r="5037" spans="1:2" x14ac:dyDescent="0.25">
      <c r="A5037" s="2">
        <v>45352</v>
      </c>
      <c r="B5037">
        <v>499.22</v>
      </c>
    </row>
    <row r="5038" spans="1:2" x14ac:dyDescent="0.25">
      <c r="A5038" s="2">
        <v>45353</v>
      </c>
      <c r="B5038">
        <v>499.22</v>
      </c>
    </row>
    <row r="5039" spans="1:2" x14ac:dyDescent="0.25">
      <c r="A5039" s="2">
        <v>45354</v>
      </c>
      <c r="B5039">
        <v>499.22</v>
      </c>
    </row>
    <row r="5040" spans="1:2" x14ac:dyDescent="0.25">
      <c r="A5040" s="2">
        <v>45355</v>
      </c>
      <c r="B5040">
        <v>497.12</v>
      </c>
    </row>
    <row r="5041" spans="1:2" x14ac:dyDescent="0.25">
      <c r="A5041" s="2">
        <v>45356</v>
      </c>
      <c r="B5041">
        <v>491.93</v>
      </c>
    </row>
    <row r="5042" spans="1:2" x14ac:dyDescent="0.25">
      <c r="A5042" s="2">
        <v>45357</v>
      </c>
      <c r="B5042">
        <v>493.35</v>
      </c>
    </row>
    <row r="5043" spans="1:2" x14ac:dyDescent="0.25">
      <c r="A5043" s="2">
        <v>45358</v>
      </c>
      <c r="B5043">
        <v>497.53</v>
      </c>
    </row>
    <row r="5044" spans="1:2" x14ac:dyDescent="0.25">
      <c r="A5044" s="2">
        <v>45359</v>
      </c>
      <c r="B5044">
        <v>492.64</v>
      </c>
    </row>
    <row r="5045" spans="1:2" x14ac:dyDescent="0.25">
      <c r="A5045" s="2">
        <v>45360</v>
      </c>
      <c r="B5045">
        <v>492.64</v>
      </c>
    </row>
    <row r="5046" spans="1:2" x14ac:dyDescent="0.25">
      <c r="A5046" s="2">
        <v>45361</v>
      </c>
      <c r="B5046">
        <v>492.64</v>
      </c>
    </row>
    <row r="5047" spans="1:2" x14ac:dyDescent="0.25">
      <c r="A5047" s="2">
        <v>45362</v>
      </c>
      <c r="B5047">
        <v>492.36</v>
      </c>
    </row>
    <row r="5048" spans="1:2" x14ac:dyDescent="0.25">
      <c r="A5048" s="2">
        <v>45363</v>
      </c>
      <c r="B5048">
        <v>498.33</v>
      </c>
    </row>
    <row r="5049" spans="1:2" x14ac:dyDescent="0.25">
      <c r="A5049" s="2">
        <v>45364</v>
      </c>
      <c r="B5049">
        <v>496.35</v>
      </c>
    </row>
    <row r="5050" spans="1:2" x14ac:dyDescent="0.25">
      <c r="A5050" s="2">
        <v>45365</v>
      </c>
      <c r="B5050">
        <v>495.66</v>
      </c>
    </row>
    <row r="5051" spans="1:2" x14ac:dyDescent="0.25">
      <c r="A5051" s="2">
        <v>45366</v>
      </c>
      <c r="B5051">
        <v>493.95</v>
      </c>
    </row>
    <row r="5052" spans="1:2" x14ac:dyDescent="0.25">
      <c r="A5052" s="2">
        <v>45367</v>
      </c>
      <c r="B5052">
        <v>493.95</v>
      </c>
    </row>
    <row r="5053" spans="1:2" x14ac:dyDescent="0.25">
      <c r="A5053" s="2">
        <v>45368</v>
      </c>
      <c r="B5053">
        <v>493.95</v>
      </c>
    </row>
    <row r="5054" spans="1:2" x14ac:dyDescent="0.25">
      <c r="A5054" s="2">
        <v>45369</v>
      </c>
      <c r="B5054">
        <v>497.08</v>
      </c>
    </row>
    <row r="5055" spans="1:2" x14ac:dyDescent="0.25">
      <c r="A5055" s="2">
        <v>45370</v>
      </c>
      <c r="B5055">
        <v>501.63</v>
      </c>
    </row>
    <row r="5056" spans="1:2" x14ac:dyDescent="0.25">
      <c r="A5056" s="2">
        <v>45371</v>
      </c>
      <c r="B5056">
        <v>506.62</v>
      </c>
    </row>
    <row r="5057" spans="1:2" x14ac:dyDescent="0.25">
      <c r="A5057" s="2">
        <v>45372</v>
      </c>
      <c r="B5057">
        <v>505.35</v>
      </c>
    </row>
    <row r="5058" spans="1:2" x14ac:dyDescent="0.25">
      <c r="A5058" s="2">
        <v>45373</v>
      </c>
      <c r="B5058">
        <v>508.57</v>
      </c>
    </row>
    <row r="5059" spans="1:2" x14ac:dyDescent="0.25">
      <c r="A5059" s="2">
        <v>45374</v>
      </c>
      <c r="B5059">
        <v>508.57</v>
      </c>
    </row>
    <row r="5060" spans="1:2" x14ac:dyDescent="0.25">
      <c r="A5060" s="2">
        <v>45375</v>
      </c>
      <c r="B5060">
        <v>508.57</v>
      </c>
    </row>
    <row r="5061" spans="1:2" x14ac:dyDescent="0.25">
      <c r="A5061" s="2">
        <v>45376</v>
      </c>
      <c r="B5061">
        <v>506.45</v>
      </c>
    </row>
    <row r="5062" spans="1:2" x14ac:dyDescent="0.25">
      <c r="A5062" s="2">
        <v>45377</v>
      </c>
      <c r="B5062">
        <v>504.11</v>
      </c>
    </row>
    <row r="5063" spans="1:2" x14ac:dyDescent="0.25">
      <c r="A5063" s="2">
        <v>45378</v>
      </c>
      <c r="B5063">
        <v>510.35</v>
      </c>
    </row>
    <row r="5064" spans="1:2" x14ac:dyDescent="0.25">
      <c r="A5064" s="2">
        <v>45379</v>
      </c>
      <c r="B5064">
        <v>511.16</v>
      </c>
    </row>
    <row r="5065" spans="1:2" x14ac:dyDescent="0.25">
      <c r="A5065" s="2">
        <v>45380</v>
      </c>
      <c r="B5065">
        <v>511.52</v>
      </c>
    </row>
    <row r="5066" spans="1:2" x14ac:dyDescent="0.25">
      <c r="A5066" s="2">
        <v>45381</v>
      </c>
      <c r="B5066">
        <v>511.52</v>
      </c>
    </row>
    <row r="5067" spans="1:2" x14ac:dyDescent="0.25">
      <c r="A5067" s="2">
        <v>45382</v>
      </c>
      <c r="B5067">
        <v>511.52</v>
      </c>
    </row>
    <row r="5068" spans="1:2" x14ac:dyDescent="0.25">
      <c r="A5068" s="2">
        <v>45383</v>
      </c>
      <c r="B5068">
        <v>511.52</v>
      </c>
    </row>
    <row r="5069" spans="1:2" x14ac:dyDescent="0.25">
      <c r="A5069" s="2">
        <v>45384</v>
      </c>
      <c r="B5069">
        <v>509.37</v>
      </c>
    </row>
    <row r="5070" spans="1:2" x14ac:dyDescent="0.25">
      <c r="A5070" s="2">
        <v>45385</v>
      </c>
      <c r="B5070">
        <v>508.34</v>
      </c>
    </row>
    <row r="5071" spans="1:2" x14ac:dyDescent="0.25">
      <c r="A5071" s="2">
        <v>45386</v>
      </c>
      <c r="B5071">
        <v>498.93</v>
      </c>
    </row>
    <row r="5072" spans="1:2" x14ac:dyDescent="0.25">
      <c r="A5072" s="2">
        <v>45387</v>
      </c>
      <c r="B5072">
        <v>504.98</v>
      </c>
    </row>
    <row r="5073" spans="1:2" x14ac:dyDescent="0.25">
      <c r="A5073" s="2">
        <v>45388</v>
      </c>
      <c r="B5073">
        <v>504.98</v>
      </c>
    </row>
    <row r="5074" spans="1:2" x14ac:dyDescent="0.25">
      <c r="A5074" s="2">
        <v>45389</v>
      </c>
      <c r="B5074">
        <v>504.98</v>
      </c>
    </row>
    <row r="5075" spans="1:2" x14ac:dyDescent="0.25">
      <c r="A5075" s="2">
        <v>45390</v>
      </c>
      <c r="B5075">
        <v>505.64</v>
      </c>
    </row>
    <row r="5076" spans="1:2" x14ac:dyDescent="0.25">
      <c r="A5076" s="2">
        <v>45391</v>
      </c>
      <c r="B5076">
        <v>504.37</v>
      </c>
    </row>
    <row r="5077" spans="1:2" x14ac:dyDescent="0.25">
      <c r="A5077" s="2">
        <v>45392</v>
      </c>
      <c r="B5077">
        <v>499.94</v>
      </c>
    </row>
    <row r="5078" spans="1:2" x14ac:dyDescent="0.25">
      <c r="A5078" s="2">
        <v>45393</v>
      </c>
      <c r="B5078">
        <v>506.5</v>
      </c>
    </row>
    <row r="5079" spans="1:2" x14ac:dyDescent="0.25">
      <c r="A5079" s="2">
        <v>45394</v>
      </c>
      <c r="B5079">
        <v>506.08</v>
      </c>
    </row>
    <row r="5080" spans="1:2" x14ac:dyDescent="0.25">
      <c r="A5080" s="2">
        <v>45395</v>
      </c>
      <c r="B5080">
        <v>506.08</v>
      </c>
    </row>
    <row r="5081" spans="1:2" x14ac:dyDescent="0.25">
      <c r="A5081" s="2">
        <v>45396</v>
      </c>
      <c r="B5081">
        <v>506.08</v>
      </c>
    </row>
    <row r="5082" spans="1:2" x14ac:dyDescent="0.25">
      <c r="A5082" s="2">
        <v>45397</v>
      </c>
      <c r="B5082">
        <v>499.81</v>
      </c>
    </row>
    <row r="5083" spans="1:2" x14ac:dyDescent="0.25">
      <c r="A5083" s="2">
        <v>45398</v>
      </c>
      <c r="B5083">
        <v>499.67</v>
      </c>
    </row>
    <row r="5084" spans="1:2" x14ac:dyDescent="0.25">
      <c r="A5084" s="2">
        <v>45399</v>
      </c>
      <c r="B5084">
        <v>496.74</v>
      </c>
    </row>
    <row r="5085" spans="1:2" x14ac:dyDescent="0.25">
      <c r="A5085" s="2">
        <v>45400</v>
      </c>
      <c r="B5085">
        <v>493.76</v>
      </c>
    </row>
    <row r="5086" spans="1:2" x14ac:dyDescent="0.25">
      <c r="A5086" s="2">
        <v>45401</v>
      </c>
      <c r="B5086">
        <v>490.65</v>
      </c>
    </row>
    <row r="5087" spans="1:2" x14ac:dyDescent="0.25">
      <c r="A5087" s="2">
        <v>45402</v>
      </c>
      <c r="B5087">
        <v>490.65</v>
      </c>
    </row>
    <row r="5088" spans="1:2" x14ac:dyDescent="0.25">
      <c r="A5088" s="2">
        <v>45403</v>
      </c>
      <c r="B5088">
        <v>490.65</v>
      </c>
    </row>
    <row r="5089" spans="1:2" x14ac:dyDescent="0.25">
      <c r="A5089" s="2">
        <v>45404</v>
      </c>
      <c r="B5089">
        <v>495.91</v>
      </c>
    </row>
    <row r="5090" spans="1:2" x14ac:dyDescent="0.25">
      <c r="A5090" s="2">
        <v>45405</v>
      </c>
      <c r="B5090">
        <v>499.88</v>
      </c>
    </row>
    <row r="5091" spans="1:2" x14ac:dyDescent="0.25">
      <c r="A5091" s="2">
        <v>45406</v>
      </c>
      <c r="B5091">
        <v>499.42</v>
      </c>
    </row>
    <row r="5092" spans="1:2" x14ac:dyDescent="0.25">
      <c r="A5092" s="2">
        <v>45407</v>
      </c>
      <c r="B5092">
        <v>495.57</v>
      </c>
    </row>
    <row r="5093" spans="1:2" x14ac:dyDescent="0.25">
      <c r="A5093" s="2">
        <v>45408</v>
      </c>
      <c r="B5093">
        <v>500.91</v>
      </c>
    </row>
    <row r="5094" spans="1:2" x14ac:dyDescent="0.25">
      <c r="A5094" s="2">
        <v>45409</v>
      </c>
      <c r="B5094">
        <v>500.91</v>
      </c>
    </row>
    <row r="5095" spans="1:2" x14ac:dyDescent="0.25">
      <c r="A5095" s="2">
        <v>45410</v>
      </c>
      <c r="B5095">
        <v>500.91</v>
      </c>
    </row>
    <row r="5096" spans="1:2" x14ac:dyDescent="0.25">
      <c r="A5096" s="2">
        <v>45411</v>
      </c>
      <c r="B5096">
        <v>502.24</v>
      </c>
    </row>
    <row r="5097" spans="1:2" x14ac:dyDescent="0.25">
      <c r="A5097" s="2">
        <v>45412</v>
      </c>
      <c r="B5097">
        <v>494.45</v>
      </c>
    </row>
    <row r="5098" spans="1:2" x14ac:dyDescent="0.25">
      <c r="A5098" s="2">
        <v>45413</v>
      </c>
      <c r="B5098">
        <v>492.75</v>
      </c>
    </row>
    <row r="5099" spans="1:2" x14ac:dyDescent="0.25">
      <c r="A5099" s="2">
        <v>45414</v>
      </c>
      <c r="B5099">
        <v>493.67</v>
      </c>
    </row>
    <row r="5100" spans="1:2" x14ac:dyDescent="0.25">
      <c r="A5100" s="2">
        <v>45415</v>
      </c>
      <c r="B5100">
        <v>502.3</v>
      </c>
    </row>
    <row r="5101" spans="1:2" x14ac:dyDescent="0.25">
      <c r="A5101" s="2">
        <v>45416</v>
      </c>
      <c r="B5101">
        <v>502.3</v>
      </c>
    </row>
    <row r="5102" spans="1:2" x14ac:dyDescent="0.25">
      <c r="A5102" s="2">
        <v>45417</v>
      </c>
      <c r="B5102">
        <v>502.3</v>
      </c>
    </row>
    <row r="5103" spans="1:2" x14ac:dyDescent="0.25">
      <c r="A5103" s="2">
        <v>45418</v>
      </c>
      <c r="B5103">
        <v>503.66</v>
      </c>
    </row>
    <row r="5104" spans="1:2" x14ac:dyDescent="0.25">
      <c r="A5104" s="2">
        <v>45419</v>
      </c>
      <c r="B5104">
        <v>507.16</v>
      </c>
    </row>
    <row r="5105" spans="1:2" x14ac:dyDescent="0.25">
      <c r="A5105" s="2">
        <v>45420</v>
      </c>
      <c r="B5105">
        <v>508.25</v>
      </c>
    </row>
    <row r="5106" spans="1:2" x14ac:dyDescent="0.25">
      <c r="A5106" s="2">
        <v>45421</v>
      </c>
      <c r="B5106">
        <v>511.44</v>
      </c>
    </row>
    <row r="5107" spans="1:2" x14ac:dyDescent="0.25">
      <c r="A5107" s="2">
        <v>45422</v>
      </c>
      <c r="B5107">
        <v>510.11</v>
      </c>
    </row>
    <row r="5108" spans="1:2" x14ac:dyDescent="0.25">
      <c r="A5108" s="2">
        <v>45423</v>
      </c>
      <c r="B5108">
        <v>510.11</v>
      </c>
    </row>
    <row r="5109" spans="1:2" x14ac:dyDescent="0.25">
      <c r="A5109" s="2">
        <v>45424</v>
      </c>
      <c r="B5109">
        <v>510.11</v>
      </c>
    </row>
    <row r="5110" spans="1:2" x14ac:dyDescent="0.25">
      <c r="A5110" s="2">
        <v>45425</v>
      </c>
      <c r="B5110">
        <v>509.25</v>
      </c>
    </row>
    <row r="5111" spans="1:2" x14ac:dyDescent="0.25">
      <c r="A5111" s="2">
        <v>45426</v>
      </c>
      <c r="B5111">
        <v>511.72</v>
      </c>
    </row>
    <row r="5112" spans="1:2" x14ac:dyDescent="0.25">
      <c r="A5112" s="2">
        <v>45427</v>
      </c>
      <c r="B5112">
        <v>516.07000000000005</v>
      </c>
    </row>
    <row r="5113" spans="1:2" x14ac:dyDescent="0.25">
      <c r="A5113" s="2">
        <v>45428</v>
      </c>
      <c r="B5113">
        <v>513.47</v>
      </c>
    </row>
    <row r="5114" spans="1:2" x14ac:dyDescent="0.25">
      <c r="A5114" s="2">
        <v>45429</v>
      </c>
      <c r="B5114">
        <v>515.13</v>
      </c>
    </row>
    <row r="5115" spans="1:2" x14ac:dyDescent="0.25">
      <c r="A5115" s="2">
        <v>45430</v>
      </c>
      <c r="B5115">
        <v>515.13</v>
      </c>
    </row>
    <row r="5116" spans="1:2" x14ac:dyDescent="0.25">
      <c r="A5116" s="2">
        <v>45431</v>
      </c>
      <c r="B5116">
        <v>515.13</v>
      </c>
    </row>
    <row r="5117" spans="1:2" x14ac:dyDescent="0.25">
      <c r="A5117" s="2">
        <v>45432</v>
      </c>
      <c r="B5117">
        <v>514.83000000000004</v>
      </c>
    </row>
    <row r="5118" spans="1:2" x14ac:dyDescent="0.25">
      <c r="A5118" s="2">
        <v>45433</v>
      </c>
      <c r="B5118">
        <v>515.99</v>
      </c>
    </row>
    <row r="5119" spans="1:2" x14ac:dyDescent="0.25">
      <c r="A5119" s="2">
        <v>45434</v>
      </c>
      <c r="B5119">
        <v>516.21</v>
      </c>
    </row>
    <row r="5120" spans="1:2" x14ac:dyDescent="0.25">
      <c r="A5120" s="2">
        <v>45435</v>
      </c>
      <c r="B5120">
        <v>511.29</v>
      </c>
    </row>
    <row r="5121" spans="1:2" x14ac:dyDescent="0.25">
      <c r="A5121" s="2">
        <v>45436</v>
      </c>
      <c r="B5121">
        <v>515.54</v>
      </c>
    </row>
    <row r="5122" spans="1:2" x14ac:dyDescent="0.25">
      <c r="A5122" s="2">
        <v>45437</v>
      </c>
      <c r="B5122">
        <v>515.54</v>
      </c>
    </row>
    <row r="5123" spans="1:2" x14ac:dyDescent="0.25">
      <c r="A5123" s="2">
        <v>45438</v>
      </c>
      <c r="B5123">
        <v>515.54</v>
      </c>
    </row>
    <row r="5124" spans="1:2" x14ac:dyDescent="0.25">
      <c r="A5124" s="2">
        <v>45439</v>
      </c>
      <c r="B5124">
        <v>515.36</v>
      </c>
    </row>
    <row r="5125" spans="1:2" x14ac:dyDescent="0.25">
      <c r="A5125" s="2">
        <v>45440</v>
      </c>
      <c r="B5125">
        <v>513.67999999999995</v>
      </c>
    </row>
    <row r="5126" spans="1:2" x14ac:dyDescent="0.25">
      <c r="A5126" s="2">
        <v>45441</v>
      </c>
      <c r="B5126">
        <v>511.07</v>
      </c>
    </row>
    <row r="5127" spans="1:2" x14ac:dyDescent="0.25">
      <c r="A5127" s="2">
        <v>45442</v>
      </c>
      <c r="B5127">
        <v>510.04</v>
      </c>
    </row>
    <row r="5128" spans="1:2" x14ac:dyDescent="0.25">
      <c r="A5128" s="2">
        <v>45443</v>
      </c>
      <c r="B5128">
        <v>512.41999999999996</v>
      </c>
    </row>
    <row r="5129" spans="1:2" x14ac:dyDescent="0.25">
      <c r="A5129" s="2">
        <v>45444</v>
      </c>
      <c r="B5129">
        <v>512.41999999999996</v>
      </c>
    </row>
    <row r="5130" spans="1:2" x14ac:dyDescent="0.25">
      <c r="A5130" s="2">
        <v>45445</v>
      </c>
      <c r="B5130">
        <v>512.41999999999996</v>
      </c>
    </row>
    <row r="5131" spans="1:2" x14ac:dyDescent="0.25">
      <c r="A5131" s="2">
        <v>45446</v>
      </c>
      <c r="B5131">
        <v>513.51</v>
      </c>
    </row>
    <row r="5132" spans="1:2" x14ac:dyDescent="0.25">
      <c r="A5132" s="2">
        <v>45447</v>
      </c>
      <c r="B5132">
        <v>513.22</v>
      </c>
    </row>
    <row r="5133" spans="1:2" x14ac:dyDescent="0.25">
      <c r="A5133" s="2">
        <v>45448</v>
      </c>
      <c r="B5133">
        <v>518.98</v>
      </c>
    </row>
    <row r="5134" spans="1:2" x14ac:dyDescent="0.25">
      <c r="A5134" s="2">
        <v>45449</v>
      </c>
      <c r="B5134">
        <v>519.21</v>
      </c>
    </row>
    <row r="5135" spans="1:2" x14ac:dyDescent="0.25">
      <c r="A5135" s="2">
        <v>45450</v>
      </c>
      <c r="B5135">
        <v>517.14</v>
      </c>
    </row>
    <row r="5136" spans="1:2" x14ac:dyDescent="0.25">
      <c r="A5136" s="2">
        <v>45451</v>
      </c>
      <c r="B5136">
        <v>517.14</v>
      </c>
    </row>
    <row r="5137" spans="1:2" x14ac:dyDescent="0.25">
      <c r="A5137" s="2">
        <v>45452</v>
      </c>
      <c r="B5137">
        <v>517.14</v>
      </c>
    </row>
    <row r="5138" spans="1:2" x14ac:dyDescent="0.25">
      <c r="A5138" s="2">
        <v>45453</v>
      </c>
      <c r="B5138">
        <v>525.35</v>
      </c>
    </row>
    <row r="5139" spans="1:2" x14ac:dyDescent="0.25">
      <c r="A5139" s="2">
        <v>45454</v>
      </c>
      <c r="B5139">
        <v>528.04999999999995</v>
      </c>
    </row>
    <row r="5140" spans="1:2" x14ac:dyDescent="0.25">
      <c r="A5140" s="2">
        <v>45455</v>
      </c>
      <c r="B5140">
        <v>530.82000000000005</v>
      </c>
    </row>
    <row r="5141" spans="1:2" x14ac:dyDescent="0.25">
      <c r="A5141" s="2">
        <v>45456</v>
      </c>
      <c r="B5141">
        <v>531.13</v>
      </c>
    </row>
    <row r="5142" spans="1:2" x14ac:dyDescent="0.25">
      <c r="A5142" s="2">
        <v>45457</v>
      </c>
      <c r="B5142">
        <v>535.91</v>
      </c>
    </row>
    <row r="5143" spans="1:2" x14ac:dyDescent="0.25">
      <c r="A5143" s="2">
        <v>45458</v>
      </c>
      <c r="B5143">
        <v>535.91</v>
      </c>
    </row>
    <row r="5144" spans="1:2" x14ac:dyDescent="0.25">
      <c r="A5144" s="2">
        <v>45459</v>
      </c>
      <c r="B5144">
        <v>535.91</v>
      </c>
    </row>
    <row r="5145" spans="1:2" x14ac:dyDescent="0.25">
      <c r="A5145" s="2">
        <v>45460</v>
      </c>
      <c r="B5145">
        <v>538.75</v>
      </c>
    </row>
    <row r="5146" spans="1:2" x14ac:dyDescent="0.25">
      <c r="A5146" s="2">
        <v>45461</v>
      </c>
      <c r="B5146">
        <v>539.97</v>
      </c>
    </row>
    <row r="5147" spans="1:2" x14ac:dyDescent="0.25">
      <c r="A5147" s="2">
        <v>45462</v>
      </c>
      <c r="B5147">
        <v>539.03</v>
      </c>
    </row>
    <row r="5148" spans="1:2" x14ac:dyDescent="0.25">
      <c r="A5148" s="2">
        <v>45463</v>
      </c>
      <c r="B5148">
        <v>538.41</v>
      </c>
    </row>
    <row r="5149" spans="1:2" x14ac:dyDescent="0.25">
      <c r="A5149" s="2">
        <v>45464</v>
      </c>
      <c r="B5149">
        <v>539.16</v>
      </c>
    </row>
    <row r="5150" spans="1:2" x14ac:dyDescent="0.25">
      <c r="A5150" s="2">
        <v>45465</v>
      </c>
      <c r="B5150">
        <v>539.16</v>
      </c>
    </row>
    <row r="5151" spans="1:2" x14ac:dyDescent="0.25">
      <c r="A5151" s="2">
        <v>45466</v>
      </c>
      <c r="B5151">
        <v>539.16</v>
      </c>
    </row>
    <row r="5152" spans="1:2" x14ac:dyDescent="0.25">
      <c r="A5152" s="2">
        <v>45467</v>
      </c>
      <c r="B5152">
        <v>535.41999999999996</v>
      </c>
    </row>
    <row r="5153" spans="1:2" x14ac:dyDescent="0.25">
      <c r="A5153" s="2">
        <v>45468</v>
      </c>
      <c r="B5153">
        <v>538.33000000000004</v>
      </c>
    </row>
    <row r="5154" spans="1:2" x14ac:dyDescent="0.25">
      <c r="A5154" s="2">
        <v>45469</v>
      </c>
      <c r="B5154">
        <v>540.42999999999995</v>
      </c>
    </row>
    <row r="5155" spans="1:2" x14ac:dyDescent="0.25">
      <c r="A5155" s="2">
        <v>45470</v>
      </c>
      <c r="B5155">
        <v>540.58000000000004</v>
      </c>
    </row>
    <row r="5156" spans="1:2" x14ac:dyDescent="0.25">
      <c r="A5156" s="2">
        <v>45471</v>
      </c>
      <c r="B5156">
        <v>537.97</v>
      </c>
    </row>
    <row r="5157" spans="1:2" x14ac:dyDescent="0.25">
      <c r="A5157" s="2">
        <v>45472</v>
      </c>
      <c r="B5157">
        <v>537.97</v>
      </c>
    </row>
    <row r="5158" spans="1:2" x14ac:dyDescent="0.25">
      <c r="A5158" s="2">
        <v>45473</v>
      </c>
      <c r="B5158">
        <v>537.97</v>
      </c>
    </row>
    <row r="5159" spans="1:2" x14ac:dyDescent="0.25">
      <c r="A5159" s="2">
        <v>45474</v>
      </c>
      <c r="B5159">
        <v>537.41</v>
      </c>
    </row>
    <row r="5160" spans="1:2" x14ac:dyDescent="0.25">
      <c r="A5160" s="2">
        <v>45475</v>
      </c>
      <c r="B5160">
        <v>541.54999999999995</v>
      </c>
    </row>
    <row r="5161" spans="1:2" x14ac:dyDescent="0.25">
      <c r="A5161" s="2">
        <v>45476</v>
      </c>
      <c r="B5161">
        <v>542.85</v>
      </c>
    </row>
    <row r="5162" spans="1:2" x14ac:dyDescent="0.25">
      <c r="A5162" s="2">
        <v>45477</v>
      </c>
      <c r="B5162">
        <v>539.96</v>
      </c>
    </row>
    <row r="5163" spans="1:2" x14ac:dyDescent="0.25">
      <c r="A5163" s="2">
        <v>45478</v>
      </c>
      <c r="B5163">
        <v>542.54999999999995</v>
      </c>
    </row>
    <row r="5164" spans="1:2" x14ac:dyDescent="0.25">
      <c r="A5164" s="2">
        <v>45479</v>
      </c>
      <c r="B5164">
        <v>542.54999999999995</v>
      </c>
    </row>
    <row r="5165" spans="1:2" x14ac:dyDescent="0.25">
      <c r="A5165" s="2">
        <v>45480</v>
      </c>
      <c r="B5165">
        <v>542.54999999999995</v>
      </c>
    </row>
    <row r="5166" spans="1:2" x14ac:dyDescent="0.25">
      <c r="A5166" s="2">
        <v>45481</v>
      </c>
      <c r="B5166">
        <v>542.57000000000005</v>
      </c>
    </row>
    <row r="5167" spans="1:2" x14ac:dyDescent="0.25">
      <c r="A5167" s="2">
        <v>45482</v>
      </c>
      <c r="B5167">
        <v>544.04</v>
      </c>
    </row>
    <row r="5168" spans="1:2" x14ac:dyDescent="0.25">
      <c r="A5168" s="2">
        <v>45483</v>
      </c>
      <c r="B5168">
        <v>549.09</v>
      </c>
    </row>
    <row r="5169" spans="1:2" x14ac:dyDescent="0.25">
      <c r="A5169" s="2">
        <v>45484</v>
      </c>
      <c r="B5169">
        <v>542.79</v>
      </c>
    </row>
    <row r="5170" spans="1:2" x14ac:dyDescent="0.25">
      <c r="A5170" s="2">
        <v>45485</v>
      </c>
      <c r="B5170">
        <v>544.03</v>
      </c>
    </row>
    <row r="5171" spans="1:2" x14ac:dyDescent="0.25">
      <c r="A5171" s="2">
        <v>45486</v>
      </c>
      <c r="B5171">
        <v>544.03</v>
      </c>
    </row>
    <row r="5172" spans="1:2" x14ac:dyDescent="0.25">
      <c r="A5172" s="2">
        <v>45487</v>
      </c>
      <c r="B5172">
        <v>544.03</v>
      </c>
    </row>
    <row r="5173" spans="1:2" x14ac:dyDescent="0.25">
      <c r="A5173" s="2">
        <v>45488</v>
      </c>
      <c r="B5173">
        <v>544.76</v>
      </c>
    </row>
    <row r="5174" spans="1:2" x14ac:dyDescent="0.25">
      <c r="A5174" s="2">
        <v>45489</v>
      </c>
      <c r="B5174">
        <v>548.5</v>
      </c>
    </row>
    <row r="5175" spans="1:2" x14ac:dyDescent="0.25">
      <c r="A5175" s="2">
        <v>45490</v>
      </c>
      <c r="B5175">
        <v>539.27</v>
      </c>
    </row>
    <row r="5176" spans="1:2" x14ac:dyDescent="0.25">
      <c r="A5176" s="2">
        <v>45491</v>
      </c>
      <c r="B5176">
        <v>535.25</v>
      </c>
    </row>
    <row r="5177" spans="1:2" x14ac:dyDescent="0.25">
      <c r="A5177" s="2">
        <v>45492</v>
      </c>
      <c r="B5177">
        <v>533.41</v>
      </c>
    </row>
    <row r="5178" spans="1:2" x14ac:dyDescent="0.25">
      <c r="A5178" s="2">
        <v>45493</v>
      </c>
      <c r="B5178">
        <v>533.41</v>
      </c>
    </row>
    <row r="5179" spans="1:2" x14ac:dyDescent="0.25">
      <c r="A5179" s="2">
        <v>45494</v>
      </c>
      <c r="B5179">
        <v>533.41</v>
      </c>
    </row>
    <row r="5180" spans="1:2" x14ac:dyDescent="0.25">
      <c r="A5180" s="2">
        <v>45495</v>
      </c>
      <c r="B5180">
        <v>539.28</v>
      </c>
    </row>
    <row r="5181" spans="1:2" x14ac:dyDescent="0.25">
      <c r="A5181" s="2">
        <v>45496</v>
      </c>
      <c r="B5181">
        <v>539.83000000000004</v>
      </c>
    </row>
    <row r="5182" spans="1:2" x14ac:dyDescent="0.25">
      <c r="A5182" s="2">
        <v>45497</v>
      </c>
      <c r="B5182">
        <v>527.91999999999996</v>
      </c>
    </row>
    <row r="5183" spans="1:2" x14ac:dyDescent="0.25">
      <c r="A5183" s="2">
        <v>45498</v>
      </c>
      <c r="B5183">
        <v>525.07000000000005</v>
      </c>
    </row>
    <row r="5184" spans="1:2" x14ac:dyDescent="0.25">
      <c r="A5184" s="2">
        <v>45499</v>
      </c>
      <c r="B5184">
        <v>530.48</v>
      </c>
    </row>
    <row r="5185" spans="1:2" x14ac:dyDescent="0.25">
      <c r="A5185" s="2">
        <v>45500</v>
      </c>
      <c r="B5185">
        <v>530.48</v>
      </c>
    </row>
    <row r="5186" spans="1:2" x14ac:dyDescent="0.25">
      <c r="A5186" s="2">
        <v>45501</v>
      </c>
      <c r="B5186">
        <v>530.48</v>
      </c>
    </row>
    <row r="5187" spans="1:2" x14ac:dyDescent="0.25">
      <c r="A5187" s="2">
        <v>45502</v>
      </c>
      <c r="B5187">
        <v>533.02</v>
      </c>
    </row>
    <row r="5188" spans="1:2" x14ac:dyDescent="0.25">
      <c r="A5188" s="2">
        <v>45503</v>
      </c>
      <c r="B5188">
        <v>530.04</v>
      </c>
    </row>
    <row r="5189" spans="1:2" x14ac:dyDescent="0.25">
      <c r="A5189" s="2">
        <v>45504</v>
      </c>
      <c r="B5189">
        <v>538.24</v>
      </c>
    </row>
    <row r="5190" spans="1:2" x14ac:dyDescent="0.25">
      <c r="A5190" s="2">
        <v>45505</v>
      </c>
      <c r="B5190">
        <v>532.80999999999995</v>
      </c>
    </row>
    <row r="5191" spans="1:2" x14ac:dyDescent="0.25">
      <c r="A5191" s="2">
        <v>45506</v>
      </c>
      <c r="B5191">
        <v>520.79</v>
      </c>
    </row>
    <row r="5192" spans="1:2" x14ac:dyDescent="0.25">
      <c r="A5192" s="2">
        <v>45507</v>
      </c>
      <c r="B5192">
        <v>520.79</v>
      </c>
    </row>
    <row r="5193" spans="1:2" x14ac:dyDescent="0.25">
      <c r="A5193" s="2">
        <v>45508</v>
      </c>
      <c r="B5193">
        <v>520.79</v>
      </c>
    </row>
    <row r="5194" spans="1:2" x14ac:dyDescent="0.25">
      <c r="A5194" s="2">
        <v>45509</v>
      </c>
      <c r="B5194">
        <v>499.17</v>
      </c>
    </row>
    <row r="5195" spans="1:2" x14ac:dyDescent="0.25">
      <c r="A5195" s="2">
        <v>45510</v>
      </c>
      <c r="B5195">
        <v>506.7</v>
      </c>
    </row>
    <row r="5196" spans="1:2" x14ac:dyDescent="0.25">
      <c r="A5196" s="2">
        <v>45511</v>
      </c>
      <c r="B5196">
        <v>502.47</v>
      </c>
    </row>
    <row r="5197" spans="1:2" x14ac:dyDescent="0.25">
      <c r="A5197" s="2">
        <v>45512</v>
      </c>
      <c r="B5197">
        <v>513.67999999999995</v>
      </c>
    </row>
    <row r="5198" spans="1:2" x14ac:dyDescent="0.25">
      <c r="A5198" s="2">
        <v>45513</v>
      </c>
      <c r="B5198">
        <v>516.74</v>
      </c>
    </row>
    <row r="5199" spans="1:2" x14ac:dyDescent="0.25">
      <c r="A5199" s="2">
        <v>45514</v>
      </c>
      <c r="B5199">
        <v>516.74</v>
      </c>
    </row>
    <row r="5200" spans="1:2" x14ac:dyDescent="0.25">
      <c r="A5200" s="2">
        <v>45515</v>
      </c>
      <c r="B5200">
        <v>516.74</v>
      </c>
    </row>
    <row r="5201" spans="1:2" x14ac:dyDescent="0.25">
      <c r="A5201" s="2">
        <v>45516</v>
      </c>
      <c r="B5201">
        <v>516.44000000000005</v>
      </c>
    </row>
    <row r="5202" spans="1:2" x14ac:dyDescent="0.25">
      <c r="A5202" s="2">
        <v>45517</v>
      </c>
      <c r="B5202">
        <v>524.86</v>
      </c>
    </row>
    <row r="5203" spans="1:2" x14ac:dyDescent="0.25">
      <c r="A5203" s="2">
        <v>45518</v>
      </c>
      <c r="B5203">
        <v>522.66999999999996</v>
      </c>
    </row>
    <row r="5204" spans="1:2" x14ac:dyDescent="0.25">
      <c r="A5204" s="2">
        <v>45519</v>
      </c>
      <c r="B5204">
        <v>531.62</v>
      </c>
    </row>
    <row r="5205" spans="1:2" x14ac:dyDescent="0.25">
      <c r="A5205" s="2">
        <v>45520</v>
      </c>
      <c r="B5205">
        <v>533.55999999999995</v>
      </c>
    </row>
    <row r="5206" spans="1:2" x14ac:dyDescent="0.25">
      <c r="A5206" s="2">
        <v>45521</v>
      </c>
      <c r="B5206">
        <v>533.55999999999995</v>
      </c>
    </row>
    <row r="5207" spans="1:2" x14ac:dyDescent="0.25">
      <c r="A5207" s="2">
        <v>45522</v>
      </c>
      <c r="B5207">
        <v>533.55999999999995</v>
      </c>
    </row>
    <row r="5208" spans="1:2" x14ac:dyDescent="0.25">
      <c r="A5208" s="2">
        <v>45523</v>
      </c>
      <c r="B5208">
        <v>536.5</v>
      </c>
    </row>
    <row r="5209" spans="1:2" x14ac:dyDescent="0.25">
      <c r="A5209" s="2">
        <v>45524</v>
      </c>
      <c r="B5209">
        <v>533.37</v>
      </c>
    </row>
    <row r="5210" spans="1:2" x14ac:dyDescent="0.25">
      <c r="A5210" s="2">
        <v>45525</v>
      </c>
      <c r="B5210">
        <v>534.11</v>
      </c>
    </row>
    <row r="5211" spans="1:2" x14ac:dyDescent="0.25">
      <c r="A5211" s="2">
        <v>45526</v>
      </c>
      <c r="B5211">
        <v>528.44000000000005</v>
      </c>
    </row>
    <row r="5212" spans="1:2" x14ac:dyDescent="0.25">
      <c r="A5212" s="2">
        <v>45527</v>
      </c>
      <c r="B5212">
        <v>535.19000000000005</v>
      </c>
    </row>
    <row r="5213" spans="1:2" x14ac:dyDescent="0.25">
      <c r="A5213" s="2">
        <v>45528</v>
      </c>
      <c r="B5213">
        <v>535.19000000000005</v>
      </c>
    </row>
    <row r="5214" spans="1:2" x14ac:dyDescent="0.25">
      <c r="A5214" s="2">
        <v>45529</v>
      </c>
      <c r="B5214">
        <v>535.19000000000005</v>
      </c>
    </row>
    <row r="5215" spans="1:2" x14ac:dyDescent="0.25">
      <c r="A5215" s="2">
        <v>45530</v>
      </c>
      <c r="B5215">
        <v>531.45000000000005</v>
      </c>
    </row>
    <row r="5216" spans="1:2" x14ac:dyDescent="0.25">
      <c r="A5216" s="2">
        <v>45531</v>
      </c>
      <c r="B5216">
        <v>532.42999999999995</v>
      </c>
    </row>
    <row r="5217" spans="1:2" x14ac:dyDescent="0.25">
      <c r="A5217" s="2">
        <v>45532</v>
      </c>
      <c r="B5217">
        <v>531.39</v>
      </c>
    </row>
    <row r="5218" spans="1:2" x14ac:dyDescent="0.25">
      <c r="A5218" s="2">
        <v>45533</v>
      </c>
      <c r="B5218">
        <v>532.78</v>
      </c>
    </row>
    <row r="5219" spans="1:2" x14ac:dyDescent="0.25">
      <c r="A5219" s="2">
        <v>45534</v>
      </c>
      <c r="B5219">
        <v>538.27</v>
      </c>
    </row>
    <row r="5220" spans="1:2" x14ac:dyDescent="0.25">
      <c r="A5220" s="2">
        <v>45535</v>
      </c>
      <c r="B5220">
        <v>538.27</v>
      </c>
    </row>
    <row r="5221" spans="1:2" x14ac:dyDescent="0.25">
      <c r="A5221" s="2">
        <v>45536</v>
      </c>
      <c r="B5221">
        <v>538.27</v>
      </c>
    </row>
    <row r="5222" spans="1:2" x14ac:dyDescent="0.25">
      <c r="A5222" s="2">
        <v>45537</v>
      </c>
      <c r="B5222">
        <v>539.54</v>
      </c>
    </row>
    <row r="5223" spans="1:2" x14ac:dyDescent="0.25">
      <c r="A5223" s="2">
        <v>45538</v>
      </c>
      <c r="B5223">
        <v>529.41999999999996</v>
      </c>
    </row>
    <row r="5224" spans="1:2" x14ac:dyDescent="0.25">
      <c r="A5224" s="2">
        <v>45539</v>
      </c>
      <c r="B5224">
        <v>527.86</v>
      </c>
    </row>
    <row r="5225" spans="1:2" x14ac:dyDescent="0.25">
      <c r="A5225" s="2">
        <v>45540</v>
      </c>
      <c r="B5225">
        <v>524.05999999999995</v>
      </c>
    </row>
    <row r="5226" spans="1:2" x14ac:dyDescent="0.25">
      <c r="A5226" s="2">
        <v>45541</v>
      </c>
      <c r="B5226">
        <v>514.79</v>
      </c>
    </row>
    <row r="5227" spans="1:2" x14ac:dyDescent="0.25">
      <c r="A5227" s="2">
        <v>45542</v>
      </c>
      <c r="B5227">
        <v>514.79</v>
      </c>
    </row>
    <row r="5228" spans="1:2" x14ac:dyDescent="0.25">
      <c r="A5228" s="2">
        <v>45543</v>
      </c>
      <c r="B5228">
        <v>514.79</v>
      </c>
    </row>
    <row r="5229" spans="1:2" x14ac:dyDescent="0.25">
      <c r="A5229" s="2">
        <v>45544</v>
      </c>
      <c r="B5229">
        <v>523.63</v>
      </c>
    </row>
    <row r="5230" spans="1:2" x14ac:dyDescent="0.25">
      <c r="A5230" s="2">
        <v>45545</v>
      </c>
      <c r="B5230">
        <v>526.54999999999995</v>
      </c>
    </row>
    <row r="5231" spans="1:2" x14ac:dyDescent="0.25">
      <c r="A5231" s="2">
        <v>45546</v>
      </c>
      <c r="B5231">
        <v>531.59</v>
      </c>
    </row>
    <row r="5232" spans="1:2" x14ac:dyDescent="0.25">
      <c r="A5232" s="2">
        <v>45547</v>
      </c>
      <c r="B5232">
        <v>536.89</v>
      </c>
    </row>
    <row r="5233" spans="1:2" x14ac:dyDescent="0.25">
      <c r="A5233" s="2">
        <v>45548</v>
      </c>
      <c r="B5233">
        <v>536.70000000000005</v>
      </c>
    </row>
    <row r="5234" spans="1:2" x14ac:dyDescent="0.25">
      <c r="A5234" s="2">
        <v>45549</v>
      </c>
      <c r="B5234">
        <v>536.70000000000005</v>
      </c>
    </row>
    <row r="5235" spans="1:2" x14ac:dyDescent="0.25">
      <c r="A5235" s="2">
        <v>45550</v>
      </c>
      <c r="B5235">
        <v>536.70000000000005</v>
      </c>
    </row>
    <row r="5236" spans="1:2" x14ac:dyDescent="0.25">
      <c r="A5236" s="2">
        <v>45551</v>
      </c>
      <c r="B5236">
        <v>535.29999999999995</v>
      </c>
    </row>
    <row r="5237" spans="1:2" x14ac:dyDescent="0.25">
      <c r="A5237" s="2">
        <v>45552</v>
      </c>
      <c r="B5237">
        <v>534.82000000000005</v>
      </c>
    </row>
    <row r="5238" spans="1:2" x14ac:dyDescent="0.25">
      <c r="A5238" s="2">
        <v>45553</v>
      </c>
      <c r="B5238">
        <v>534</v>
      </c>
    </row>
    <row r="5239" spans="1:2" x14ac:dyDescent="0.25">
      <c r="A5239" s="2">
        <v>45554</v>
      </c>
      <c r="B5239">
        <v>541.53</v>
      </c>
    </row>
    <row r="5240" spans="1:2" x14ac:dyDescent="0.25">
      <c r="A5240" s="2">
        <v>45555</v>
      </c>
      <c r="B5240">
        <v>540</v>
      </c>
    </row>
    <row r="5241" spans="1:2" x14ac:dyDescent="0.25">
      <c r="A5241" s="2">
        <v>45556</v>
      </c>
      <c r="B5241">
        <v>540</v>
      </c>
    </row>
    <row r="5242" spans="1:2" x14ac:dyDescent="0.25">
      <c r="A5242" s="2">
        <v>45557</v>
      </c>
      <c r="B5242">
        <v>540</v>
      </c>
    </row>
    <row r="5243" spans="1:2" x14ac:dyDescent="0.25">
      <c r="A5243" s="2">
        <v>45558</v>
      </c>
      <c r="B5243">
        <v>543.80999999999995</v>
      </c>
    </row>
    <row r="5244" spans="1:2" x14ac:dyDescent="0.25">
      <c r="A5244" s="2">
        <v>45559</v>
      </c>
      <c r="B5244">
        <v>544.49</v>
      </c>
    </row>
    <row r="5245" spans="1:2" x14ac:dyDescent="0.25">
      <c r="A5245" s="2">
        <v>45560</v>
      </c>
      <c r="B5245">
        <v>540.51</v>
      </c>
    </row>
    <row r="5246" spans="1:2" x14ac:dyDescent="0.25">
      <c r="A5246" s="2">
        <v>45561</v>
      </c>
      <c r="B5246">
        <v>544.63</v>
      </c>
    </row>
    <row r="5247" spans="1:2" x14ac:dyDescent="0.25">
      <c r="A5247" s="2">
        <v>45562</v>
      </c>
      <c r="B5247">
        <v>543.80999999999995</v>
      </c>
    </row>
    <row r="5248" spans="1:2" x14ac:dyDescent="0.25">
      <c r="A5248" s="2">
        <v>45563</v>
      </c>
      <c r="B5248">
        <v>543.80999999999995</v>
      </c>
    </row>
    <row r="5249" spans="1:2" x14ac:dyDescent="0.25">
      <c r="A5249" s="2">
        <v>45564</v>
      </c>
      <c r="B5249">
        <v>543.80999999999995</v>
      </c>
    </row>
    <row r="5250" spans="1:2" x14ac:dyDescent="0.25">
      <c r="A5250" s="2">
        <v>45565</v>
      </c>
      <c r="B5250">
        <v>544.29</v>
      </c>
    </row>
    <row r="5251" spans="1:2" x14ac:dyDescent="0.25">
      <c r="A5251" s="2">
        <v>45566</v>
      </c>
      <c r="B5251">
        <v>544.59</v>
      </c>
    </row>
    <row r="5252" spans="1:2" x14ac:dyDescent="0.25">
      <c r="A5252" s="2">
        <v>45567</v>
      </c>
      <c r="B5252">
        <v>545.41999999999996</v>
      </c>
    </row>
    <row r="5253" spans="1:2" x14ac:dyDescent="0.25">
      <c r="A5253" s="2">
        <v>45568</v>
      </c>
      <c r="B5253">
        <v>546.09</v>
      </c>
    </row>
    <row r="5254" spans="1:2" x14ac:dyDescent="0.25">
      <c r="A5254" s="2">
        <v>45569</v>
      </c>
      <c r="B5254">
        <v>551.58000000000004</v>
      </c>
    </row>
    <row r="5255" spans="1:2" x14ac:dyDescent="0.25">
      <c r="A5255" s="2">
        <v>45570</v>
      </c>
      <c r="B5255">
        <v>551.58000000000004</v>
      </c>
    </row>
    <row r="5256" spans="1:2" x14ac:dyDescent="0.25">
      <c r="A5256" s="2">
        <v>45571</v>
      </c>
      <c r="B5256">
        <v>551.58000000000004</v>
      </c>
    </row>
    <row r="5257" spans="1:2" x14ac:dyDescent="0.25">
      <c r="A5257" s="2">
        <v>45572</v>
      </c>
      <c r="B5257">
        <v>548.63</v>
      </c>
    </row>
    <row r="5258" spans="1:2" x14ac:dyDescent="0.25">
      <c r="A5258" s="2">
        <v>45573</v>
      </c>
      <c r="B5258">
        <v>553.95000000000005</v>
      </c>
    </row>
    <row r="5259" spans="1:2" x14ac:dyDescent="0.25">
      <c r="A5259" s="2">
        <v>45574</v>
      </c>
      <c r="B5259">
        <v>559.17999999999995</v>
      </c>
    </row>
    <row r="5260" spans="1:2" x14ac:dyDescent="0.25">
      <c r="A5260" s="2">
        <v>45575</v>
      </c>
      <c r="B5260">
        <v>559.37</v>
      </c>
    </row>
    <row r="5261" spans="1:2" x14ac:dyDescent="0.25">
      <c r="A5261" s="2">
        <v>45576</v>
      </c>
      <c r="B5261">
        <v>562.45000000000005</v>
      </c>
    </row>
    <row r="5262" spans="1:2" x14ac:dyDescent="0.25">
      <c r="A5262" s="2">
        <v>45577</v>
      </c>
      <c r="B5262">
        <v>562.45000000000005</v>
      </c>
    </row>
    <row r="5263" spans="1:2" x14ac:dyDescent="0.25">
      <c r="A5263" s="2">
        <v>45578</v>
      </c>
      <c r="B5263">
        <v>562.45000000000005</v>
      </c>
    </row>
    <row r="5264" spans="1:2" x14ac:dyDescent="0.25">
      <c r="A5264" s="2">
        <v>45579</v>
      </c>
      <c r="B5264">
        <v>567.98</v>
      </c>
    </row>
    <row r="5265" spans="1:2" x14ac:dyDescent="0.25">
      <c r="A5265" s="2">
        <v>45580</v>
      </c>
      <c r="B5265">
        <v>564.30999999999995</v>
      </c>
    </row>
    <row r="5266" spans="1:2" x14ac:dyDescent="0.25">
      <c r="A5266" s="2">
        <v>45581</v>
      </c>
      <c r="B5266">
        <v>567.28</v>
      </c>
    </row>
    <row r="5267" spans="1:2" x14ac:dyDescent="0.25">
      <c r="A5267" s="2">
        <v>45582</v>
      </c>
      <c r="B5267">
        <v>568.79999999999995</v>
      </c>
    </row>
    <row r="5268" spans="1:2" x14ac:dyDescent="0.25">
      <c r="A5268" s="2">
        <v>45583</v>
      </c>
      <c r="B5268">
        <v>572.08000000000004</v>
      </c>
    </row>
    <row r="5269" spans="1:2" x14ac:dyDescent="0.25">
      <c r="A5269" s="2">
        <v>45584</v>
      </c>
      <c r="B5269">
        <v>572.08000000000004</v>
      </c>
    </row>
    <row r="5270" spans="1:2" x14ac:dyDescent="0.25">
      <c r="A5270" s="2">
        <v>45585</v>
      </c>
      <c r="B5270">
        <v>572.08000000000004</v>
      </c>
    </row>
    <row r="5271" spans="1:2" x14ac:dyDescent="0.25">
      <c r="A5271" s="2">
        <v>45586</v>
      </c>
      <c r="B5271">
        <v>570.75</v>
      </c>
    </row>
    <row r="5272" spans="1:2" x14ac:dyDescent="0.25">
      <c r="A5272" s="2">
        <v>45587</v>
      </c>
      <c r="B5272">
        <v>572.16</v>
      </c>
    </row>
    <row r="5273" spans="1:2" x14ac:dyDescent="0.25">
      <c r="A5273" s="2">
        <v>45588</v>
      </c>
      <c r="B5273">
        <v>569.75</v>
      </c>
    </row>
    <row r="5274" spans="1:2" x14ac:dyDescent="0.25">
      <c r="A5274" s="2">
        <v>45589</v>
      </c>
      <c r="B5274">
        <v>569.16999999999996</v>
      </c>
    </row>
    <row r="5275" spans="1:2" x14ac:dyDescent="0.25">
      <c r="A5275" s="2">
        <v>45590</v>
      </c>
      <c r="B5275">
        <v>567.74</v>
      </c>
    </row>
    <row r="5276" spans="1:2" x14ac:dyDescent="0.25">
      <c r="A5276" s="2">
        <v>45591</v>
      </c>
      <c r="B5276">
        <v>567.74</v>
      </c>
    </row>
    <row r="5277" spans="1:2" x14ac:dyDescent="0.25">
      <c r="A5277" s="2">
        <v>45592</v>
      </c>
      <c r="B5277">
        <v>567.74</v>
      </c>
    </row>
    <row r="5278" spans="1:2" x14ac:dyDescent="0.25">
      <c r="A5278" s="2">
        <v>45593</v>
      </c>
      <c r="B5278">
        <v>569.62</v>
      </c>
    </row>
    <row r="5279" spans="1:2" x14ac:dyDescent="0.25">
      <c r="A5279" s="2">
        <v>45594</v>
      </c>
      <c r="B5279">
        <v>572.87</v>
      </c>
    </row>
    <row r="5280" spans="1:2" x14ac:dyDescent="0.25">
      <c r="A5280" s="2">
        <v>45595</v>
      </c>
      <c r="B5280">
        <v>568.80999999999995</v>
      </c>
    </row>
    <row r="5281" spans="1:2" x14ac:dyDescent="0.25">
      <c r="A5281" s="2">
        <v>45596</v>
      </c>
      <c r="B5281">
        <v>554.82000000000005</v>
      </c>
    </row>
    <row r="5282" spans="1:2" x14ac:dyDescent="0.25">
      <c r="A5282" s="2">
        <v>45597</v>
      </c>
      <c r="B5282">
        <v>556.97</v>
      </c>
    </row>
    <row r="5283" spans="1:2" x14ac:dyDescent="0.25">
      <c r="A5283" s="2">
        <v>45598</v>
      </c>
      <c r="B5283">
        <v>556.97</v>
      </c>
    </row>
    <row r="5284" spans="1:2" x14ac:dyDescent="0.25">
      <c r="A5284" s="2">
        <v>45599</v>
      </c>
      <c r="B5284">
        <v>556.97</v>
      </c>
    </row>
    <row r="5285" spans="1:2" x14ac:dyDescent="0.25">
      <c r="A5285" s="2">
        <v>45600</v>
      </c>
      <c r="B5285">
        <v>554.46</v>
      </c>
    </row>
    <row r="5286" spans="1:2" x14ac:dyDescent="0.25">
      <c r="A5286" s="2">
        <v>45601</v>
      </c>
      <c r="B5286">
        <v>561.62</v>
      </c>
    </row>
    <row r="5287" spans="1:2" x14ac:dyDescent="0.25">
      <c r="A5287" s="2">
        <v>45602</v>
      </c>
      <c r="B5287">
        <v>586.70000000000005</v>
      </c>
    </row>
    <row r="5288" spans="1:2" x14ac:dyDescent="0.25">
      <c r="A5288" s="2">
        <v>45603</v>
      </c>
      <c r="B5288">
        <v>586.15</v>
      </c>
    </row>
    <row r="5289" spans="1:2" x14ac:dyDescent="0.25">
      <c r="A5289" s="2">
        <v>45604</v>
      </c>
      <c r="B5289">
        <v>589.16999999999996</v>
      </c>
    </row>
    <row r="5290" spans="1:2" x14ac:dyDescent="0.25">
      <c r="A5290" s="2">
        <v>45605</v>
      </c>
      <c r="B5290">
        <v>589.16999999999996</v>
      </c>
    </row>
    <row r="5291" spans="1:2" x14ac:dyDescent="0.25">
      <c r="A5291" s="2">
        <v>45606</v>
      </c>
      <c r="B5291">
        <v>589.16999999999996</v>
      </c>
    </row>
    <row r="5292" spans="1:2" x14ac:dyDescent="0.25">
      <c r="A5292" s="2">
        <v>45607</v>
      </c>
      <c r="B5292">
        <v>596.42999999999995</v>
      </c>
    </row>
    <row r="5293" spans="1:2" x14ac:dyDescent="0.25">
      <c r="A5293" s="2">
        <v>45608</v>
      </c>
      <c r="B5293">
        <v>596.64</v>
      </c>
    </row>
    <row r="5294" spans="1:2" x14ac:dyDescent="0.25">
      <c r="A5294" s="2">
        <v>45609</v>
      </c>
      <c r="B5294">
        <v>596.12</v>
      </c>
    </row>
    <row r="5295" spans="1:2" x14ac:dyDescent="0.25">
      <c r="A5295" s="2">
        <v>45610</v>
      </c>
      <c r="B5295">
        <v>597.98</v>
      </c>
    </row>
    <row r="5296" spans="1:2" x14ac:dyDescent="0.25">
      <c r="A5296" s="2">
        <v>45611</v>
      </c>
      <c r="B5296">
        <v>591.05999999999995</v>
      </c>
    </row>
    <row r="5297" spans="1:1" ht="30" x14ac:dyDescent="0.25">
      <c r="A5297" s="1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BC450-5AB4-4ED8-9686-49BD16A0F9F0}">
  <sheetPr codeName="Sheet1"/>
  <dimension ref="A1:R36"/>
  <sheetViews>
    <sheetView tabSelected="1" workbookViewId="0">
      <selection activeCell="L23" sqref="L23"/>
    </sheetView>
  </sheetViews>
  <sheetFormatPr defaultRowHeight="15" x14ac:dyDescent="0.25"/>
  <cols>
    <col min="1" max="1" width="19.140625" style="3" customWidth="1"/>
    <col min="2" max="2" width="49" style="3" customWidth="1"/>
    <col min="3" max="3" width="18.85546875" style="3" customWidth="1"/>
    <col min="4" max="4" width="18" style="3" customWidth="1"/>
    <col min="5" max="7" width="18.140625" style="3" customWidth="1"/>
    <col min="8" max="8" width="18.5703125" style="3" customWidth="1"/>
    <col min="9" max="9" width="18.140625" style="3" customWidth="1"/>
    <col min="10" max="10" width="0.85546875" style="3" customWidth="1"/>
    <col min="11" max="13" width="9.140625" style="3"/>
    <col min="14" max="14" width="12.42578125" style="3" customWidth="1"/>
    <col min="15" max="15" width="18.28515625" style="3" customWidth="1"/>
    <col min="16" max="16" width="10.5703125" style="3" customWidth="1"/>
    <col min="17" max="16384" width="9.140625" style="3"/>
  </cols>
  <sheetData>
    <row r="1" spans="1:18" ht="23.25" x14ac:dyDescent="0.35">
      <c r="A1" s="32" t="s">
        <v>1709</v>
      </c>
      <c r="B1" s="33"/>
      <c r="C1" s="33"/>
      <c r="D1" s="33"/>
      <c r="E1" s="33"/>
      <c r="F1" s="33"/>
      <c r="G1" s="33"/>
      <c r="H1" s="33"/>
      <c r="I1" s="33"/>
      <c r="J1" s="16"/>
      <c r="K1" s="15"/>
      <c r="L1" s="4"/>
      <c r="M1" s="6"/>
      <c r="N1" s="23" t="s">
        <v>1716</v>
      </c>
      <c r="O1" s="24" t="s">
        <v>1717</v>
      </c>
      <c r="P1" s="5" t="s">
        <v>1729</v>
      </c>
    </row>
    <row r="2" spans="1:18" ht="15.75" thickBot="1" x14ac:dyDescent="0.3">
      <c r="A2" s="7" t="s">
        <v>1710</v>
      </c>
      <c r="B2" s="8" t="s">
        <v>1714</v>
      </c>
      <c r="C2" s="8" t="s">
        <v>1715</v>
      </c>
      <c r="D2" s="8" t="s">
        <v>1712</v>
      </c>
      <c r="E2" s="8" t="s">
        <v>1720</v>
      </c>
      <c r="F2" s="8" t="s">
        <v>1711</v>
      </c>
      <c r="G2" s="8" t="s">
        <v>1721</v>
      </c>
      <c r="H2" s="8" t="s">
        <v>1722</v>
      </c>
      <c r="I2" s="9" t="s">
        <v>1713</v>
      </c>
      <c r="J2" s="14"/>
      <c r="K2" s="5"/>
      <c r="L2" s="13"/>
      <c r="M2" s="17"/>
      <c r="N2" s="20">
        <v>40317</v>
      </c>
      <c r="O2" s="21">
        <v>45611</v>
      </c>
      <c r="P2" s="5">
        <f>DATEDIF(N2, O2, "Y")</f>
        <v>14</v>
      </c>
    </row>
    <row r="3" spans="1:18" x14ac:dyDescent="0.25">
      <c r="A3" s="5"/>
      <c r="B3" s="3" t="s">
        <v>590</v>
      </c>
      <c r="C3" s="3" t="s">
        <v>591</v>
      </c>
      <c r="D3" s="3">
        <f t="shared" ref="D3:D34" si="0">IF(E3&gt;0, E3/ $L$11*100, "")</f>
        <v>100</v>
      </c>
      <c r="E3" s="3">
        <v>600</v>
      </c>
      <c r="F3" s="3">
        <f t="shared" ref="F3:F34" ca="1" si="1">IFERROR(E3*(1+I3/100),"")</f>
        <v>4603.8686226145655</v>
      </c>
      <c r="G3" s="3">
        <f t="shared" ref="G3:G34" ca="1" si="2">IFERROR(INDEX(INDIRECT("'" &amp; C3 &amp; "'!B:B"), MATCH($N$2,INDIRECT("'" &amp; C3 &amp; "'!A:A"), 0)),"")</f>
        <v>77.03</v>
      </c>
      <c r="H3" s="3">
        <f t="shared" ref="H3:H34" ca="1" si="3">IFERROR(INDEX(INDIRECT("'" &amp; C3 &amp; "'!B:B"), MATCH($O$2,INDIRECT("'" &amp; C3 &amp; "'!A:A"), 0)),"")</f>
        <v>591.05999999999995</v>
      </c>
      <c r="I3" s="6">
        <f t="shared" ref="I3:I34" ca="1" si="4">IFERROR((H3-G3)/G3*100,"")</f>
        <v>667.31143710242759</v>
      </c>
      <c r="J3" s="14"/>
      <c r="K3" s="5"/>
      <c r="N3" s="8"/>
      <c r="O3" s="8"/>
    </row>
    <row r="4" spans="1:18" ht="15" customHeight="1" thickBot="1" x14ac:dyDescent="0.3">
      <c r="A4" s="5"/>
      <c r="D4" s="3" t="str">
        <f t="shared" si="0"/>
        <v/>
      </c>
      <c r="F4" s="3" t="str">
        <f t="shared" ca="1" si="1"/>
        <v/>
      </c>
      <c r="G4" s="3" t="str">
        <f t="shared" ca="1" si="2"/>
        <v/>
      </c>
      <c r="H4" s="3" t="str">
        <f ca="1">IFERROR(INDEX(INDIRECT("'" &amp; C4 &amp; "'!B:B"), MATCH($O$2,INDIRECT("'" &amp; C4 &amp; "'!A:A"), 0)),"")</f>
        <v/>
      </c>
      <c r="I4" s="6" t="str">
        <f t="shared" ca="1" si="4"/>
        <v/>
      </c>
      <c r="J4" s="14"/>
    </row>
    <row r="5" spans="1:18" ht="15" customHeight="1" x14ac:dyDescent="0.25">
      <c r="A5" s="5"/>
      <c r="D5" s="3" t="str">
        <f t="shared" si="0"/>
        <v/>
      </c>
      <c r="F5" s="3" t="str">
        <f t="shared" ca="1" si="1"/>
        <v/>
      </c>
      <c r="G5" s="3" t="str">
        <f t="shared" ca="1" si="2"/>
        <v/>
      </c>
      <c r="H5" s="3" t="str">
        <f t="shared" ca="1" si="3"/>
        <v/>
      </c>
      <c r="I5" s="6" t="str">
        <f t="shared" ca="1" si="4"/>
        <v/>
      </c>
      <c r="J5" s="14"/>
      <c r="N5" s="23" t="s">
        <v>1724</v>
      </c>
      <c r="O5" s="24" t="s">
        <v>1725</v>
      </c>
    </row>
    <row r="6" spans="1:18" ht="15" customHeight="1" thickBot="1" x14ac:dyDescent="0.3">
      <c r="A6" s="5"/>
      <c r="D6" s="3" t="str">
        <f t="shared" si="0"/>
        <v/>
      </c>
      <c r="F6" s="3" t="str">
        <f t="shared" ca="1" si="1"/>
        <v/>
      </c>
      <c r="G6" s="3" t="str">
        <f t="shared" ca="1" si="2"/>
        <v/>
      </c>
      <c r="H6" s="3" t="str">
        <f t="shared" ca="1" si="3"/>
        <v/>
      </c>
      <c r="I6" s="6" t="str">
        <f t="shared" ca="1" si="4"/>
        <v/>
      </c>
      <c r="J6" s="14"/>
      <c r="N6" s="18">
        <v>3</v>
      </c>
      <c r="O6" s="19">
        <v>26</v>
      </c>
    </row>
    <row r="7" spans="1:18" x14ac:dyDescent="0.25">
      <c r="A7" s="5"/>
      <c r="D7" s="3" t="str">
        <f t="shared" si="0"/>
        <v/>
      </c>
      <c r="F7" s="3" t="str">
        <f t="shared" ca="1" si="1"/>
        <v/>
      </c>
      <c r="G7" s="3" t="str">
        <f t="shared" ca="1" si="2"/>
        <v/>
      </c>
      <c r="H7" s="3" t="str">
        <f t="shared" ca="1" si="3"/>
        <v/>
      </c>
      <c r="I7" s="6" t="str">
        <f t="shared" ca="1" si="4"/>
        <v/>
      </c>
      <c r="J7" s="14"/>
      <c r="L7" s="11"/>
      <c r="M7" s="11"/>
      <c r="N7" s="11"/>
      <c r="O7" s="11"/>
      <c r="P7" s="11"/>
      <c r="Q7" s="11"/>
    </row>
    <row r="8" spans="1:18" x14ac:dyDescent="0.25">
      <c r="A8" s="5"/>
      <c r="D8" s="3" t="str">
        <f t="shared" si="0"/>
        <v/>
      </c>
      <c r="F8" s="3" t="str">
        <f t="shared" ca="1" si="1"/>
        <v/>
      </c>
      <c r="G8" s="3" t="str">
        <f t="shared" ca="1" si="2"/>
        <v/>
      </c>
      <c r="H8" s="3" t="str">
        <f t="shared" ca="1" si="3"/>
        <v/>
      </c>
      <c r="I8" s="6" t="str">
        <f t="shared" ca="1" si="4"/>
        <v/>
      </c>
      <c r="J8" s="14"/>
      <c r="K8" s="6"/>
      <c r="L8" s="34" t="s">
        <v>1719</v>
      </c>
      <c r="M8" s="34"/>
      <c r="N8" s="34"/>
      <c r="O8" s="34"/>
      <c r="P8" s="34"/>
      <c r="Q8" s="34"/>
      <c r="R8" s="5"/>
    </row>
    <row r="9" spans="1:18" ht="15" customHeight="1" x14ac:dyDescent="0.25">
      <c r="A9" s="5"/>
      <c r="D9" s="3" t="str">
        <f t="shared" si="0"/>
        <v/>
      </c>
      <c r="F9" s="3" t="str">
        <f t="shared" ca="1" si="1"/>
        <v/>
      </c>
      <c r="G9" s="3" t="str">
        <f t="shared" ca="1" si="2"/>
        <v/>
      </c>
      <c r="H9" s="3" t="str">
        <f t="shared" ca="1" si="3"/>
        <v/>
      </c>
      <c r="I9" s="6" t="str">
        <f t="shared" ca="1" si="4"/>
        <v/>
      </c>
      <c r="J9" s="14"/>
      <c r="K9" s="6"/>
      <c r="L9" s="34"/>
      <c r="M9" s="34"/>
      <c r="N9" s="34"/>
      <c r="O9" s="34"/>
      <c r="P9" s="34"/>
      <c r="Q9" s="34"/>
      <c r="R9" s="5"/>
    </row>
    <row r="10" spans="1:18" ht="15" customHeight="1" x14ac:dyDescent="0.25">
      <c r="A10" s="5"/>
      <c r="D10" s="3" t="str">
        <f t="shared" si="0"/>
        <v/>
      </c>
      <c r="F10" s="3" t="str">
        <f t="shared" ca="1" si="1"/>
        <v/>
      </c>
      <c r="G10" s="3" t="str">
        <f t="shared" ca="1" si="2"/>
        <v/>
      </c>
      <c r="H10" s="3" t="str">
        <f t="shared" ca="1" si="3"/>
        <v/>
      </c>
      <c r="I10" s="6" t="str">
        <f t="shared" ca="1" si="4"/>
        <v/>
      </c>
      <c r="J10" s="14"/>
      <c r="K10" s="6"/>
      <c r="L10" s="26" t="s">
        <v>1718</v>
      </c>
      <c r="M10" s="26"/>
      <c r="N10" s="26" t="s">
        <v>1726</v>
      </c>
      <c r="O10" s="26"/>
      <c r="P10" s="25" t="s">
        <v>1727</v>
      </c>
      <c r="Q10" s="26"/>
      <c r="R10" s="5"/>
    </row>
    <row r="11" spans="1:18" x14ac:dyDescent="0.25">
      <c r="A11" s="5"/>
      <c r="D11" s="3" t="str">
        <f t="shared" si="0"/>
        <v/>
      </c>
      <c r="F11" s="3" t="str">
        <f t="shared" ca="1" si="1"/>
        <v/>
      </c>
      <c r="G11" s="3" t="str">
        <f t="shared" ca="1" si="2"/>
        <v/>
      </c>
      <c r="H11" s="3" t="str">
        <f t="shared" ca="1" si="3"/>
        <v/>
      </c>
      <c r="I11" s="6" t="str">
        <f t="shared" ca="1" si="4"/>
        <v/>
      </c>
      <c r="J11" s="14"/>
      <c r="K11" s="22"/>
      <c r="L11" s="27">
        <f>SUM(Table1[Soldi Investiti])</f>
        <v>600</v>
      </c>
      <c r="M11" s="27"/>
      <c r="N11" s="27">
        <f ca="1">SUM(Table1[Valore attuale])</f>
        <v>4603.8686226145655</v>
      </c>
      <c r="O11" s="27"/>
      <c r="P11" s="27">
        <f ca="1">(N11 - (N11 - L11)* (O6/100)) * (1 - (DATEDIF(N2, O2, "Y") * N6)/100)</f>
        <v>2066.4604128261717</v>
      </c>
      <c r="Q11" s="27"/>
      <c r="R11" s="5"/>
    </row>
    <row r="12" spans="1:18" x14ac:dyDescent="0.25">
      <c r="A12" s="5"/>
      <c r="D12" s="3" t="str">
        <f t="shared" si="0"/>
        <v/>
      </c>
      <c r="F12" s="3" t="str">
        <f t="shared" ca="1" si="1"/>
        <v/>
      </c>
      <c r="G12" s="3" t="str">
        <f t="shared" ca="1" si="2"/>
        <v/>
      </c>
      <c r="H12" s="3" t="str">
        <f t="shared" ca="1" si="3"/>
        <v/>
      </c>
      <c r="I12" s="6" t="str">
        <f t="shared" ca="1" si="4"/>
        <v/>
      </c>
      <c r="J12" s="14"/>
      <c r="K12" s="22"/>
      <c r="L12" s="27"/>
      <c r="M12" s="27"/>
      <c r="N12" s="27"/>
      <c r="O12" s="27"/>
      <c r="P12" s="27"/>
      <c r="Q12" s="27"/>
      <c r="R12" s="5"/>
    </row>
    <row r="13" spans="1:18" x14ac:dyDescent="0.25">
      <c r="A13" s="5"/>
      <c r="D13" s="3" t="str">
        <f t="shared" si="0"/>
        <v/>
      </c>
      <c r="F13" s="3" t="str">
        <f t="shared" ca="1" si="1"/>
        <v/>
      </c>
      <c r="G13" s="3" t="str">
        <f t="shared" ca="1" si="2"/>
        <v/>
      </c>
      <c r="H13" s="3" t="str">
        <f t="shared" ca="1" si="3"/>
        <v/>
      </c>
      <c r="I13" s="6" t="str">
        <f t="shared" ca="1" si="4"/>
        <v/>
      </c>
      <c r="J13" s="14"/>
      <c r="K13" s="5"/>
      <c r="L13" s="8"/>
      <c r="M13" s="8"/>
      <c r="N13" s="8"/>
      <c r="O13" s="8"/>
      <c r="P13" s="28" t="s">
        <v>1728</v>
      </c>
      <c r="Q13" s="29"/>
    </row>
    <row r="14" spans="1:18" x14ac:dyDescent="0.25">
      <c r="A14" s="5"/>
      <c r="D14" s="3" t="str">
        <f t="shared" si="0"/>
        <v/>
      </c>
      <c r="F14" s="3" t="str">
        <f t="shared" ca="1" si="1"/>
        <v/>
      </c>
      <c r="G14" s="3" t="str">
        <f t="shared" ca="1" si="2"/>
        <v/>
      </c>
      <c r="H14" s="3" t="str">
        <f t="shared" ca="1" si="3"/>
        <v/>
      </c>
      <c r="I14" s="6" t="str">
        <f t="shared" ca="1" si="4"/>
        <v/>
      </c>
      <c r="J14" s="14"/>
      <c r="K14" s="5"/>
      <c r="P14" s="30"/>
      <c r="Q14" s="31"/>
    </row>
    <row r="15" spans="1:18" x14ac:dyDescent="0.25">
      <c r="A15" s="5"/>
      <c r="D15" s="3" t="str">
        <f t="shared" si="0"/>
        <v/>
      </c>
      <c r="F15" s="3" t="str">
        <f t="shared" ca="1" si="1"/>
        <v/>
      </c>
      <c r="G15" s="3" t="str">
        <f t="shared" ca="1" si="2"/>
        <v/>
      </c>
      <c r="H15" s="3" t="str">
        <f t="shared" ca="1" si="3"/>
        <v/>
      </c>
      <c r="I15" s="6" t="str">
        <f t="shared" ca="1" si="4"/>
        <v/>
      </c>
      <c r="J15" s="14"/>
      <c r="K15" s="5"/>
    </row>
    <row r="16" spans="1:18" x14ac:dyDescent="0.25">
      <c r="A16" s="5"/>
      <c r="D16" s="3" t="str">
        <f t="shared" si="0"/>
        <v/>
      </c>
      <c r="F16" s="3" t="str">
        <f t="shared" ca="1" si="1"/>
        <v/>
      </c>
      <c r="G16" s="3" t="str">
        <f t="shared" ca="1" si="2"/>
        <v/>
      </c>
      <c r="H16" s="3" t="str">
        <f t="shared" ca="1" si="3"/>
        <v/>
      </c>
      <c r="I16" s="6" t="str">
        <f t="shared" ca="1" si="4"/>
        <v/>
      </c>
      <c r="J16" s="14"/>
      <c r="K16" s="5"/>
    </row>
    <row r="17" spans="1:11" x14ac:dyDescent="0.25">
      <c r="A17" s="5"/>
      <c r="D17" s="3" t="str">
        <f t="shared" si="0"/>
        <v/>
      </c>
      <c r="F17" s="3" t="str">
        <f t="shared" ca="1" si="1"/>
        <v/>
      </c>
      <c r="G17" s="3" t="str">
        <f t="shared" ca="1" si="2"/>
        <v/>
      </c>
      <c r="H17" s="3" t="str">
        <f t="shared" ca="1" si="3"/>
        <v/>
      </c>
      <c r="I17" s="6" t="str">
        <f t="shared" ca="1" si="4"/>
        <v/>
      </c>
      <c r="J17" s="14"/>
      <c r="K17" s="5"/>
    </row>
    <row r="18" spans="1:11" x14ac:dyDescent="0.25">
      <c r="A18" s="10"/>
      <c r="B18" s="11"/>
      <c r="C18" s="11"/>
      <c r="D18" s="11" t="str">
        <f t="shared" si="0"/>
        <v/>
      </c>
      <c r="E18" s="11"/>
      <c r="F18" s="11" t="str">
        <f t="shared" ca="1" si="1"/>
        <v/>
      </c>
      <c r="G18" s="11" t="str">
        <f t="shared" ca="1" si="2"/>
        <v/>
      </c>
      <c r="H18" s="11" t="str">
        <f t="shared" ca="1" si="3"/>
        <v/>
      </c>
      <c r="I18" s="12" t="str">
        <f t="shared" ca="1" si="4"/>
        <v/>
      </c>
      <c r="J18" s="14"/>
      <c r="K18" s="5"/>
    </row>
    <row r="19" spans="1:11" x14ac:dyDescent="0.25">
      <c r="A19" s="5"/>
      <c r="D19" s="3" t="str">
        <f t="shared" si="0"/>
        <v/>
      </c>
      <c r="F19" s="3" t="str">
        <f t="shared" ca="1" si="1"/>
        <v/>
      </c>
      <c r="G19" s="3" t="str">
        <f t="shared" ca="1" si="2"/>
        <v/>
      </c>
      <c r="H19" s="3" t="str">
        <f t="shared" ca="1" si="3"/>
        <v/>
      </c>
      <c r="I19" s="6" t="str">
        <f t="shared" ca="1" si="4"/>
        <v/>
      </c>
      <c r="J19" s="14"/>
      <c r="K19" s="5"/>
    </row>
    <row r="20" spans="1:11" x14ac:dyDescent="0.25">
      <c r="A20" s="5"/>
      <c r="D20" s="3" t="str">
        <f t="shared" si="0"/>
        <v/>
      </c>
      <c r="F20" s="3" t="str">
        <f t="shared" ca="1" si="1"/>
        <v/>
      </c>
      <c r="G20" s="3" t="str">
        <f t="shared" ca="1" si="2"/>
        <v/>
      </c>
      <c r="H20" s="3" t="str">
        <f t="shared" ca="1" si="3"/>
        <v/>
      </c>
      <c r="I20" s="6" t="str">
        <f t="shared" ca="1" si="4"/>
        <v/>
      </c>
      <c r="J20" s="14"/>
      <c r="K20" s="5"/>
    </row>
    <row r="21" spans="1:11" x14ac:dyDescent="0.25">
      <c r="A21" s="5"/>
      <c r="D21" s="3" t="str">
        <f t="shared" si="0"/>
        <v/>
      </c>
      <c r="F21" s="3" t="str">
        <f t="shared" ca="1" si="1"/>
        <v/>
      </c>
      <c r="G21" s="3" t="str">
        <f t="shared" ca="1" si="2"/>
        <v/>
      </c>
      <c r="H21" s="3" t="str">
        <f t="shared" ca="1" si="3"/>
        <v/>
      </c>
      <c r="I21" s="6" t="str">
        <f t="shared" ca="1" si="4"/>
        <v/>
      </c>
      <c r="J21" s="14"/>
      <c r="K21" s="5"/>
    </row>
    <row r="22" spans="1:11" x14ac:dyDescent="0.25">
      <c r="A22" s="5"/>
      <c r="D22" s="3" t="str">
        <f t="shared" si="0"/>
        <v/>
      </c>
      <c r="F22" s="3" t="str">
        <f t="shared" ca="1" si="1"/>
        <v/>
      </c>
      <c r="G22" s="3" t="str">
        <f t="shared" ca="1" si="2"/>
        <v/>
      </c>
      <c r="H22" s="3" t="str">
        <f t="shared" ca="1" si="3"/>
        <v/>
      </c>
      <c r="I22" s="6" t="str">
        <f t="shared" ca="1" si="4"/>
        <v/>
      </c>
      <c r="J22" s="14"/>
      <c r="K22" s="5"/>
    </row>
    <row r="23" spans="1:11" x14ac:dyDescent="0.25">
      <c r="A23" s="5"/>
      <c r="D23" s="3" t="str">
        <f t="shared" si="0"/>
        <v/>
      </c>
      <c r="F23" s="3" t="str">
        <f t="shared" ca="1" si="1"/>
        <v/>
      </c>
      <c r="G23" s="3" t="str">
        <f t="shared" ca="1" si="2"/>
        <v/>
      </c>
      <c r="H23" s="3" t="str">
        <f t="shared" ca="1" si="3"/>
        <v/>
      </c>
      <c r="I23" s="6" t="str">
        <f t="shared" ca="1" si="4"/>
        <v/>
      </c>
      <c r="J23" s="14"/>
      <c r="K23" s="5"/>
    </row>
    <row r="24" spans="1:11" x14ac:dyDescent="0.25">
      <c r="A24" s="5"/>
      <c r="D24" s="3" t="str">
        <f t="shared" si="0"/>
        <v/>
      </c>
      <c r="F24" s="3" t="str">
        <f t="shared" ca="1" si="1"/>
        <v/>
      </c>
      <c r="G24" s="3" t="str">
        <f t="shared" ca="1" si="2"/>
        <v/>
      </c>
      <c r="H24" s="3" t="str">
        <f t="shared" ca="1" si="3"/>
        <v/>
      </c>
      <c r="I24" s="6" t="str">
        <f t="shared" ca="1" si="4"/>
        <v/>
      </c>
      <c r="J24" s="14"/>
      <c r="K24" s="5"/>
    </row>
    <row r="25" spans="1:11" x14ac:dyDescent="0.25">
      <c r="A25" s="5"/>
      <c r="D25" s="3" t="str">
        <f t="shared" si="0"/>
        <v/>
      </c>
      <c r="F25" s="3" t="str">
        <f t="shared" ca="1" si="1"/>
        <v/>
      </c>
      <c r="G25" s="3" t="str">
        <f t="shared" ca="1" si="2"/>
        <v/>
      </c>
      <c r="H25" s="3" t="str">
        <f t="shared" ca="1" si="3"/>
        <v/>
      </c>
      <c r="I25" s="6" t="str">
        <f t="shared" ca="1" si="4"/>
        <v/>
      </c>
      <c r="J25" s="14"/>
      <c r="K25" s="5"/>
    </row>
    <row r="26" spans="1:11" ht="15" customHeight="1" x14ac:dyDescent="0.25">
      <c r="A26" s="5"/>
      <c r="D26" s="3" t="str">
        <f t="shared" si="0"/>
        <v/>
      </c>
      <c r="F26" s="3" t="str">
        <f t="shared" ca="1" si="1"/>
        <v/>
      </c>
      <c r="G26" s="3" t="str">
        <f t="shared" ca="1" si="2"/>
        <v/>
      </c>
      <c r="H26" s="3" t="str">
        <f t="shared" ca="1" si="3"/>
        <v/>
      </c>
      <c r="I26" s="6" t="str">
        <f t="shared" ca="1" si="4"/>
        <v/>
      </c>
      <c r="J26" s="14"/>
      <c r="K26" s="5"/>
    </row>
    <row r="27" spans="1:11" ht="15" customHeight="1" x14ac:dyDescent="0.25">
      <c r="A27" s="5"/>
      <c r="D27" s="3" t="str">
        <f t="shared" si="0"/>
        <v/>
      </c>
      <c r="F27" s="3" t="str">
        <f t="shared" ca="1" si="1"/>
        <v/>
      </c>
      <c r="G27" s="3" t="str">
        <f t="shared" ca="1" si="2"/>
        <v/>
      </c>
      <c r="H27" s="3" t="str">
        <f t="shared" ca="1" si="3"/>
        <v/>
      </c>
      <c r="I27" s="6" t="str">
        <f t="shared" ca="1" si="4"/>
        <v/>
      </c>
      <c r="J27" s="14"/>
      <c r="K27" s="5"/>
    </row>
    <row r="28" spans="1:11" x14ac:dyDescent="0.25">
      <c r="A28" s="5"/>
      <c r="D28" s="3" t="str">
        <f t="shared" si="0"/>
        <v/>
      </c>
      <c r="F28" s="3" t="str">
        <f t="shared" ca="1" si="1"/>
        <v/>
      </c>
      <c r="G28" s="3" t="str">
        <f t="shared" ca="1" si="2"/>
        <v/>
      </c>
      <c r="H28" s="3" t="str">
        <f t="shared" ca="1" si="3"/>
        <v/>
      </c>
      <c r="I28" s="6" t="str">
        <f t="shared" ca="1" si="4"/>
        <v/>
      </c>
      <c r="J28" s="14"/>
      <c r="K28" s="5"/>
    </row>
    <row r="29" spans="1:11" x14ac:dyDescent="0.25">
      <c r="A29" s="5"/>
      <c r="D29" s="3" t="str">
        <f t="shared" si="0"/>
        <v/>
      </c>
      <c r="F29" s="3" t="str">
        <f t="shared" ca="1" si="1"/>
        <v/>
      </c>
      <c r="G29" s="3" t="str">
        <f t="shared" ca="1" si="2"/>
        <v/>
      </c>
      <c r="H29" s="3" t="str">
        <f t="shared" ca="1" si="3"/>
        <v/>
      </c>
      <c r="I29" s="6" t="str">
        <f t="shared" ca="1" si="4"/>
        <v/>
      </c>
      <c r="J29" s="14"/>
      <c r="K29" s="5"/>
    </row>
    <row r="30" spans="1:11" x14ac:dyDescent="0.25">
      <c r="A30" s="5"/>
      <c r="D30" s="3" t="str">
        <f t="shared" si="0"/>
        <v/>
      </c>
      <c r="F30" s="3" t="str">
        <f t="shared" ca="1" si="1"/>
        <v/>
      </c>
      <c r="G30" s="3" t="str">
        <f t="shared" ca="1" si="2"/>
        <v/>
      </c>
      <c r="H30" s="3" t="str">
        <f t="shared" ca="1" si="3"/>
        <v/>
      </c>
      <c r="I30" s="6" t="str">
        <f t="shared" ca="1" si="4"/>
        <v/>
      </c>
      <c r="J30" s="14"/>
      <c r="K30" s="5"/>
    </row>
    <row r="31" spans="1:11" x14ac:dyDescent="0.25">
      <c r="A31" s="5"/>
      <c r="D31" s="3" t="str">
        <f t="shared" si="0"/>
        <v/>
      </c>
      <c r="F31" s="3" t="str">
        <f t="shared" ca="1" si="1"/>
        <v/>
      </c>
      <c r="G31" s="3" t="str">
        <f t="shared" ca="1" si="2"/>
        <v/>
      </c>
      <c r="H31" s="3" t="str">
        <f t="shared" ca="1" si="3"/>
        <v/>
      </c>
      <c r="I31" s="6" t="str">
        <f t="shared" ca="1" si="4"/>
        <v/>
      </c>
      <c r="J31" s="14"/>
      <c r="K31" s="5"/>
    </row>
    <row r="32" spans="1:11" x14ac:dyDescent="0.25">
      <c r="A32" s="5"/>
      <c r="D32" s="3" t="str">
        <f t="shared" si="0"/>
        <v/>
      </c>
      <c r="F32" s="3" t="str">
        <f t="shared" ca="1" si="1"/>
        <v/>
      </c>
      <c r="G32" s="3" t="str">
        <f t="shared" ca="1" si="2"/>
        <v/>
      </c>
      <c r="H32" s="3" t="str">
        <f t="shared" ca="1" si="3"/>
        <v/>
      </c>
      <c r="I32" s="6" t="str">
        <f t="shared" ca="1" si="4"/>
        <v/>
      </c>
      <c r="J32" s="14"/>
      <c r="K32" s="5"/>
    </row>
    <row r="33" spans="1:11" ht="15" customHeight="1" x14ac:dyDescent="0.25">
      <c r="A33" s="5"/>
      <c r="D33" s="3" t="str">
        <f t="shared" si="0"/>
        <v/>
      </c>
      <c r="F33" s="3" t="str">
        <f t="shared" ca="1" si="1"/>
        <v/>
      </c>
      <c r="G33" s="3" t="str">
        <f t="shared" ca="1" si="2"/>
        <v/>
      </c>
      <c r="H33" s="3" t="str">
        <f t="shared" ca="1" si="3"/>
        <v/>
      </c>
      <c r="I33" s="6" t="str">
        <f t="shared" ca="1" si="4"/>
        <v/>
      </c>
      <c r="J33" s="14"/>
      <c r="K33" s="5"/>
    </row>
    <row r="34" spans="1:11" ht="15" customHeight="1" x14ac:dyDescent="0.25">
      <c r="A34" s="10"/>
      <c r="B34" s="11"/>
      <c r="C34" s="11"/>
      <c r="D34" s="11" t="str">
        <f t="shared" si="0"/>
        <v/>
      </c>
      <c r="E34" s="11"/>
      <c r="F34" s="11" t="str">
        <f t="shared" ca="1" si="1"/>
        <v/>
      </c>
      <c r="G34" s="11" t="str">
        <f t="shared" ca="1" si="2"/>
        <v/>
      </c>
      <c r="H34" s="11" t="str">
        <f t="shared" ca="1" si="3"/>
        <v/>
      </c>
      <c r="I34" s="12" t="str">
        <f t="shared" ca="1" si="4"/>
        <v/>
      </c>
      <c r="J34" s="14"/>
      <c r="K34" s="5"/>
    </row>
    <row r="35" spans="1:11" ht="7.5" customHeight="1" x14ac:dyDescent="0.25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5"/>
    </row>
    <row r="36" spans="1:11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</row>
  </sheetData>
  <mergeCells count="9">
    <mergeCell ref="A1:I1"/>
    <mergeCell ref="L8:Q9"/>
    <mergeCell ref="L10:M10"/>
    <mergeCell ref="N10:O10"/>
    <mergeCell ref="P10:Q10"/>
    <mergeCell ref="L11:M12"/>
    <mergeCell ref="N11:O12"/>
    <mergeCell ref="P11:Q12"/>
    <mergeCell ref="P13:Q14"/>
  </mergeCells>
  <conditionalFormatting sqref="I3:I34">
    <cfRule type="cellIs" dxfId="16" priority="1" operator="lessThan">
      <formula>0</formula>
    </cfRule>
    <cfRule type="cellIs" dxfId="15" priority="2" operator="greaterThan">
      <formula>0</formula>
    </cfRule>
  </conditionalFormatting>
  <dataValidations count="2">
    <dataValidation type="list" allowBlank="1" showInputMessage="1" showErrorMessage="1" sqref="B2:B1048576 C2:C34" xr:uid="{6EDA653A-93F3-4783-A63F-DE825B9430FA}">
      <formula1>ElencoNuovoETF</formula1>
    </dataValidation>
    <dataValidation type="decimal" showInputMessage="1" showErrorMessage="1" sqref="D3:D34" xr:uid="{8DA48CAC-6C85-4E2C-961C-CA81305CC283}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119B4-30F4-4194-89CC-A7621DD10A05}">
  <sheetPr codeName="Sheet2"/>
  <dimension ref="A1"/>
  <sheetViews>
    <sheetView topLeftCell="B1" workbookViewId="0">
      <selection activeCell="Y132" sqref="Y132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83C5F-0B2A-4C9D-A75C-D99AA0BB4977}">
  <sheetPr codeName="Sheet16"/>
  <dimension ref="A1:R3387"/>
  <sheetViews>
    <sheetView workbookViewId="0">
      <selection activeCell="D12" sqref="D12"/>
    </sheetView>
  </sheetViews>
  <sheetFormatPr defaultRowHeight="15" x14ac:dyDescent="0.25"/>
  <cols>
    <col min="1" max="1" width="95.28515625" bestFit="1" customWidth="1"/>
    <col min="2" max="2" width="23.7109375" customWidth="1"/>
    <col min="3" max="3" width="11.5703125" customWidth="1"/>
    <col min="4" max="4" width="42.28515625" customWidth="1"/>
    <col min="5" max="5" width="16.5703125" customWidth="1"/>
    <col min="6" max="6" width="14" customWidth="1"/>
    <col min="7" max="7" width="10.28515625" customWidth="1"/>
    <col min="8" max="8" width="10.7109375" customWidth="1"/>
    <col min="9" max="9" width="19.42578125" customWidth="1"/>
    <col min="10" max="10" width="11.85546875" customWidth="1"/>
    <col min="12" max="12" width="15.28515625" customWidth="1"/>
    <col min="13" max="13" width="17.42578125" customWidth="1"/>
    <col min="14" max="14" width="15.7109375" customWidth="1"/>
    <col min="15" max="15" width="21.5703125" customWidth="1"/>
    <col min="16" max="16" width="12.85546875" customWidth="1"/>
    <col min="17" max="17" width="13" customWidth="1"/>
  </cols>
  <sheetData>
    <row r="1" spans="1:18" x14ac:dyDescent="0.25">
      <c r="A1" t="s">
        <v>1731</v>
      </c>
      <c r="B1" t="s">
        <v>1745</v>
      </c>
      <c r="C1" t="s">
        <v>7092</v>
      </c>
      <c r="D1" t="s">
        <v>1730</v>
      </c>
      <c r="E1" t="s">
        <v>1732</v>
      </c>
      <c r="F1" t="s">
        <v>1733</v>
      </c>
      <c r="G1" t="s">
        <v>1734</v>
      </c>
      <c r="H1" t="s">
        <v>1735</v>
      </c>
      <c r="I1" t="s">
        <v>1736</v>
      </c>
      <c r="J1" t="s">
        <v>1737</v>
      </c>
      <c r="K1" t="s">
        <v>1738</v>
      </c>
      <c r="L1" t="s">
        <v>1739</v>
      </c>
      <c r="M1" t="s">
        <v>7093</v>
      </c>
      <c r="N1" t="s">
        <v>1740</v>
      </c>
      <c r="O1" t="s">
        <v>1741</v>
      </c>
      <c r="P1" t="s">
        <v>1742</v>
      </c>
      <c r="Q1" t="s">
        <v>1743</v>
      </c>
      <c r="R1" t="s">
        <v>1744</v>
      </c>
    </row>
    <row r="2" spans="1:18" x14ac:dyDescent="0.25">
      <c r="A2" t="s">
        <v>590</v>
      </c>
      <c r="B2" t="s">
        <v>1754</v>
      </c>
      <c r="C2" t="s">
        <v>4</v>
      </c>
      <c r="D2" t="s">
        <v>591</v>
      </c>
      <c r="E2" s="2">
        <v>40317</v>
      </c>
      <c r="F2">
        <v>5294</v>
      </c>
      <c r="G2" t="s">
        <v>1746</v>
      </c>
      <c r="H2" t="s">
        <v>1747</v>
      </c>
      <c r="I2" t="b">
        <v>1</v>
      </c>
      <c r="J2" t="s">
        <v>1748</v>
      </c>
      <c r="K2" t="s">
        <v>1749</v>
      </c>
      <c r="L2" t="s">
        <v>1750</v>
      </c>
      <c r="M2">
        <v>98098</v>
      </c>
      <c r="N2" t="b">
        <v>0</v>
      </c>
      <c r="O2">
        <v>503</v>
      </c>
      <c r="P2" t="s">
        <v>1752</v>
      </c>
      <c r="Q2" t="s">
        <v>1753</v>
      </c>
    </row>
    <row r="3" spans="1:18" x14ac:dyDescent="0.25">
      <c r="A3" t="s">
        <v>588</v>
      </c>
      <c r="B3" t="s">
        <v>1754</v>
      </c>
      <c r="C3" t="s">
        <v>4</v>
      </c>
      <c r="D3" t="s">
        <v>589</v>
      </c>
      <c r="E3" s="2">
        <v>40081</v>
      </c>
      <c r="F3">
        <v>5530</v>
      </c>
      <c r="G3" t="s">
        <v>1746</v>
      </c>
      <c r="H3" t="s">
        <v>1747</v>
      </c>
      <c r="I3" t="b">
        <v>1</v>
      </c>
      <c r="J3" t="s">
        <v>1748</v>
      </c>
      <c r="K3" t="s">
        <v>1755</v>
      </c>
      <c r="L3" t="s">
        <v>1756</v>
      </c>
      <c r="M3">
        <v>83358</v>
      </c>
      <c r="N3" t="b">
        <v>0</v>
      </c>
      <c r="O3">
        <v>1410</v>
      </c>
      <c r="P3" t="s">
        <v>1752</v>
      </c>
      <c r="Q3" t="s">
        <v>1753</v>
      </c>
      <c r="R3" t="s">
        <v>1759</v>
      </c>
    </row>
    <row r="4" spans="1:18" x14ac:dyDescent="0.25">
      <c r="A4" t="s">
        <v>1760</v>
      </c>
      <c r="B4" t="s">
        <v>1763</v>
      </c>
      <c r="C4" t="s">
        <v>4</v>
      </c>
      <c r="D4" t="s">
        <v>1323</v>
      </c>
      <c r="E4" s="2">
        <v>41051</v>
      </c>
      <c r="F4">
        <v>4560</v>
      </c>
      <c r="G4" t="s">
        <v>1746</v>
      </c>
      <c r="H4" t="s">
        <v>1747</v>
      </c>
      <c r="I4" t="b">
        <v>1</v>
      </c>
      <c r="J4" t="s">
        <v>1761</v>
      </c>
      <c r="K4" t="s">
        <v>1749</v>
      </c>
      <c r="L4" t="s">
        <v>1750</v>
      </c>
      <c r="M4">
        <v>43036</v>
      </c>
      <c r="N4" t="b">
        <v>0</v>
      </c>
      <c r="O4">
        <v>494</v>
      </c>
      <c r="P4" t="s">
        <v>1752</v>
      </c>
      <c r="Q4" t="s">
        <v>1753</v>
      </c>
    </row>
    <row r="5" spans="1:18" x14ac:dyDescent="0.25">
      <c r="A5" t="s">
        <v>1764</v>
      </c>
      <c r="B5" t="s">
        <v>1768</v>
      </c>
      <c r="C5" t="s">
        <v>4</v>
      </c>
      <c r="D5" t="s">
        <v>480</v>
      </c>
      <c r="E5" s="2">
        <v>40318</v>
      </c>
      <c r="F5">
        <v>5293</v>
      </c>
      <c r="G5" t="s">
        <v>1746</v>
      </c>
      <c r="H5" t="s">
        <v>1747</v>
      </c>
      <c r="I5" t="b">
        <v>0</v>
      </c>
      <c r="J5" t="s">
        <v>1748</v>
      </c>
      <c r="K5" t="s">
        <v>1765</v>
      </c>
      <c r="L5" t="s">
        <v>1766</v>
      </c>
      <c r="M5">
        <v>25786</v>
      </c>
      <c r="N5" t="b">
        <v>0</v>
      </c>
      <c r="P5" t="s">
        <v>1752</v>
      </c>
      <c r="Q5" t="s">
        <v>1753</v>
      </c>
    </row>
    <row r="6" spans="1:18" x14ac:dyDescent="0.25">
      <c r="A6" t="s">
        <v>1769</v>
      </c>
      <c r="B6" t="s">
        <v>1754</v>
      </c>
      <c r="C6" t="s">
        <v>4</v>
      </c>
      <c r="D6" t="s">
        <v>578</v>
      </c>
      <c r="E6" s="2">
        <v>41789</v>
      </c>
      <c r="F6">
        <v>3822</v>
      </c>
      <c r="G6" t="s">
        <v>1746</v>
      </c>
      <c r="H6" t="s">
        <v>1747</v>
      </c>
      <c r="I6" t="b">
        <v>1</v>
      </c>
      <c r="J6" t="s">
        <v>1748</v>
      </c>
      <c r="K6" t="s">
        <v>1770</v>
      </c>
      <c r="L6" t="s">
        <v>1750</v>
      </c>
      <c r="M6">
        <v>20759</v>
      </c>
      <c r="N6" t="b">
        <v>0</v>
      </c>
      <c r="O6">
        <v>3229</v>
      </c>
      <c r="P6" t="s">
        <v>1752</v>
      </c>
      <c r="Q6" t="s">
        <v>1753</v>
      </c>
      <c r="R6" t="s">
        <v>1772</v>
      </c>
    </row>
    <row r="7" spans="1:18" x14ac:dyDescent="0.25">
      <c r="A7" t="s">
        <v>592</v>
      </c>
      <c r="B7" t="s">
        <v>1754</v>
      </c>
      <c r="C7" t="s">
        <v>4</v>
      </c>
      <c r="D7" t="s">
        <v>593</v>
      </c>
      <c r="E7" s="2">
        <v>37330</v>
      </c>
      <c r="F7">
        <v>8281</v>
      </c>
      <c r="G7" t="s">
        <v>1746</v>
      </c>
      <c r="H7" t="s">
        <v>1747</v>
      </c>
      <c r="I7" t="b">
        <v>1</v>
      </c>
      <c r="J7" t="s">
        <v>1761</v>
      </c>
      <c r="K7" t="s">
        <v>1749</v>
      </c>
      <c r="L7" t="s">
        <v>1750</v>
      </c>
      <c r="M7">
        <v>17875</v>
      </c>
      <c r="N7" t="b">
        <v>0</v>
      </c>
      <c r="O7">
        <v>503</v>
      </c>
      <c r="P7" t="s">
        <v>1752</v>
      </c>
      <c r="Q7" t="s">
        <v>1753</v>
      </c>
    </row>
    <row r="8" spans="1:18" x14ac:dyDescent="0.25">
      <c r="A8" t="s">
        <v>1773</v>
      </c>
      <c r="B8" t="s">
        <v>1768</v>
      </c>
      <c r="C8" t="s">
        <v>4</v>
      </c>
      <c r="D8" t="s">
        <v>460</v>
      </c>
      <c r="E8" s="2">
        <v>39989</v>
      </c>
      <c r="F8">
        <v>5622</v>
      </c>
      <c r="G8" t="s">
        <v>1746</v>
      </c>
      <c r="H8" t="s">
        <v>1747</v>
      </c>
      <c r="I8" t="b">
        <v>0</v>
      </c>
      <c r="J8" t="s">
        <v>1748</v>
      </c>
      <c r="K8" t="s">
        <v>1774</v>
      </c>
      <c r="L8" t="s">
        <v>1775</v>
      </c>
      <c r="M8">
        <v>16505</v>
      </c>
      <c r="N8" t="b">
        <v>0</v>
      </c>
      <c r="P8" t="s">
        <v>1778</v>
      </c>
      <c r="Q8" t="s">
        <v>1779</v>
      </c>
    </row>
    <row r="9" spans="1:18" x14ac:dyDescent="0.25">
      <c r="A9" t="s">
        <v>1780</v>
      </c>
      <c r="B9" t="s">
        <v>1781</v>
      </c>
      <c r="C9" t="s">
        <v>4</v>
      </c>
      <c r="D9" t="s">
        <v>1322</v>
      </c>
      <c r="E9" s="2">
        <v>43599</v>
      </c>
      <c r="F9">
        <v>2012</v>
      </c>
      <c r="G9" t="s">
        <v>1746</v>
      </c>
      <c r="H9" t="s">
        <v>1747</v>
      </c>
      <c r="I9" t="b">
        <v>1</v>
      </c>
      <c r="J9" t="s">
        <v>1748</v>
      </c>
      <c r="K9" t="s">
        <v>1749</v>
      </c>
      <c r="L9" t="s">
        <v>1750</v>
      </c>
      <c r="M9">
        <v>16221</v>
      </c>
      <c r="N9" t="b">
        <v>0</v>
      </c>
      <c r="O9">
        <v>494</v>
      </c>
      <c r="P9" t="s">
        <v>1752</v>
      </c>
      <c r="Q9" t="s">
        <v>1753</v>
      </c>
    </row>
    <row r="10" spans="1:18" x14ac:dyDescent="0.25">
      <c r="A10" t="s">
        <v>1783</v>
      </c>
      <c r="B10" t="s">
        <v>1785</v>
      </c>
      <c r="C10" t="s">
        <v>4</v>
      </c>
      <c r="D10" t="s">
        <v>1782</v>
      </c>
      <c r="E10" s="2">
        <v>40641</v>
      </c>
      <c r="F10">
        <v>4970</v>
      </c>
      <c r="G10" t="s">
        <v>1746</v>
      </c>
      <c r="H10" t="s">
        <v>1747</v>
      </c>
      <c r="I10" t="b">
        <v>0</v>
      </c>
      <c r="J10" t="s">
        <v>1748</v>
      </c>
      <c r="K10" t="s">
        <v>1774</v>
      </c>
      <c r="L10" t="s">
        <v>1775</v>
      </c>
      <c r="M10">
        <v>15873</v>
      </c>
      <c r="N10" t="b">
        <v>0</v>
      </c>
      <c r="P10" t="s">
        <v>1778</v>
      </c>
      <c r="Q10" t="s">
        <v>1779</v>
      </c>
    </row>
    <row r="11" spans="1:18" x14ac:dyDescent="0.25">
      <c r="A11" t="s">
        <v>1786</v>
      </c>
      <c r="B11" t="s">
        <v>1754</v>
      </c>
      <c r="C11" t="s">
        <v>4</v>
      </c>
      <c r="D11" t="s">
        <v>710</v>
      </c>
      <c r="E11" s="2">
        <v>40204</v>
      </c>
      <c r="F11">
        <v>5407</v>
      </c>
      <c r="G11" t="s">
        <v>1746</v>
      </c>
      <c r="H11" t="s">
        <v>1747</v>
      </c>
      <c r="I11" t="b">
        <v>1</v>
      </c>
      <c r="J11" t="s">
        <v>1748</v>
      </c>
      <c r="K11" t="s">
        <v>1787</v>
      </c>
      <c r="L11" t="s">
        <v>1750</v>
      </c>
      <c r="M11">
        <v>15636</v>
      </c>
      <c r="N11" t="b">
        <v>0</v>
      </c>
      <c r="O11">
        <v>102</v>
      </c>
      <c r="P11" t="s">
        <v>1752</v>
      </c>
      <c r="Q11" t="s">
        <v>1753</v>
      </c>
    </row>
    <row r="12" spans="1:18" x14ac:dyDescent="0.25">
      <c r="A12" t="s">
        <v>1790</v>
      </c>
      <c r="B12" t="s">
        <v>1754</v>
      </c>
      <c r="C12" t="s">
        <v>4</v>
      </c>
      <c r="D12" t="s">
        <v>1789</v>
      </c>
      <c r="E12" s="2">
        <v>40837</v>
      </c>
      <c r="F12">
        <v>4774</v>
      </c>
      <c r="G12" t="s">
        <v>1746</v>
      </c>
      <c r="H12" t="s">
        <v>1747</v>
      </c>
      <c r="I12" t="b">
        <v>1</v>
      </c>
      <c r="J12" t="s">
        <v>1748</v>
      </c>
      <c r="K12" t="s">
        <v>1755</v>
      </c>
      <c r="L12" t="s">
        <v>1756</v>
      </c>
      <c r="M12">
        <v>15575</v>
      </c>
      <c r="N12" t="b">
        <v>0</v>
      </c>
      <c r="O12">
        <v>2348</v>
      </c>
      <c r="P12" t="s">
        <v>1752</v>
      </c>
      <c r="Q12" t="s">
        <v>1753</v>
      </c>
      <c r="R12" t="s">
        <v>1759</v>
      </c>
    </row>
    <row r="13" spans="1:18" x14ac:dyDescent="0.25">
      <c r="A13" t="s">
        <v>1792</v>
      </c>
      <c r="B13" t="s">
        <v>1763</v>
      </c>
      <c r="C13" t="s">
        <v>4</v>
      </c>
      <c r="D13" t="s">
        <v>1300</v>
      </c>
      <c r="E13" s="2">
        <v>41051</v>
      </c>
      <c r="F13">
        <v>4560</v>
      </c>
      <c r="G13" t="s">
        <v>1746</v>
      </c>
      <c r="H13" t="s">
        <v>1747</v>
      </c>
      <c r="I13" t="b">
        <v>1</v>
      </c>
      <c r="J13" t="s">
        <v>1761</v>
      </c>
      <c r="K13" t="s">
        <v>1793</v>
      </c>
      <c r="L13" t="s">
        <v>1756</v>
      </c>
      <c r="M13">
        <v>15259</v>
      </c>
      <c r="N13" t="b">
        <v>0</v>
      </c>
      <c r="O13">
        <v>3631</v>
      </c>
      <c r="P13" t="s">
        <v>1752</v>
      </c>
      <c r="Q13" t="s">
        <v>1753</v>
      </c>
      <c r="R13" t="s">
        <v>1759</v>
      </c>
    </row>
    <row r="14" spans="1:18" x14ac:dyDescent="0.25">
      <c r="A14" t="s">
        <v>1794</v>
      </c>
      <c r="B14" t="s">
        <v>1795</v>
      </c>
      <c r="C14" t="s">
        <v>4</v>
      </c>
      <c r="D14" t="s">
        <v>1299</v>
      </c>
      <c r="E14" s="2">
        <v>43669</v>
      </c>
      <c r="F14">
        <v>1942</v>
      </c>
      <c r="G14" t="s">
        <v>1746</v>
      </c>
      <c r="H14" t="s">
        <v>1747</v>
      </c>
      <c r="I14" t="b">
        <v>1</v>
      </c>
      <c r="J14" t="s">
        <v>1748</v>
      </c>
      <c r="K14" t="s">
        <v>1793</v>
      </c>
      <c r="L14" t="s">
        <v>1756</v>
      </c>
      <c r="M14">
        <v>14766</v>
      </c>
      <c r="N14" t="b">
        <v>0</v>
      </c>
      <c r="O14">
        <v>3631</v>
      </c>
      <c r="P14" t="s">
        <v>1752</v>
      </c>
      <c r="Q14" t="s">
        <v>1753</v>
      </c>
      <c r="R14" t="s">
        <v>1759</v>
      </c>
    </row>
    <row r="15" spans="1:18" x14ac:dyDescent="0.25">
      <c r="A15" t="s">
        <v>1797</v>
      </c>
      <c r="B15" t="s">
        <v>1803</v>
      </c>
      <c r="C15" t="s">
        <v>572</v>
      </c>
      <c r="D15" t="s">
        <v>1796</v>
      </c>
      <c r="E15" s="2">
        <v>39413</v>
      </c>
      <c r="F15">
        <v>6198</v>
      </c>
      <c r="G15" t="s">
        <v>1746</v>
      </c>
      <c r="H15" t="s">
        <v>1798</v>
      </c>
      <c r="I15" t="b">
        <v>0</v>
      </c>
      <c r="J15" t="s">
        <v>1748</v>
      </c>
      <c r="K15" t="s">
        <v>1799</v>
      </c>
      <c r="L15" t="s">
        <v>1775</v>
      </c>
      <c r="M15">
        <v>13640</v>
      </c>
      <c r="N15" t="b">
        <v>0</v>
      </c>
      <c r="P15" t="s">
        <v>1778</v>
      </c>
      <c r="Q15" t="s">
        <v>1779</v>
      </c>
    </row>
    <row r="16" spans="1:18" x14ac:dyDescent="0.25">
      <c r="A16" t="s">
        <v>1804</v>
      </c>
      <c r="B16" t="s">
        <v>1754</v>
      </c>
      <c r="C16" t="s">
        <v>4</v>
      </c>
      <c r="D16" t="s">
        <v>576</v>
      </c>
      <c r="E16" s="2">
        <v>36643</v>
      </c>
      <c r="F16">
        <v>8968</v>
      </c>
      <c r="G16" t="s">
        <v>1746</v>
      </c>
      <c r="H16" t="s">
        <v>1805</v>
      </c>
      <c r="I16" t="b">
        <v>1</v>
      </c>
      <c r="J16" t="s">
        <v>1761</v>
      </c>
      <c r="K16" t="s">
        <v>1749</v>
      </c>
      <c r="L16" t="s">
        <v>1750</v>
      </c>
      <c r="M16">
        <v>13405</v>
      </c>
      <c r="N16" t="b">
        <v>0</v>
      </c>
      <c r="O16">
        <v>103</v>
      </c>
      <c r="P16" t="s">
        <v>1752</v>
      </c>
      <c r="Q16" t="s">
        <v>1753</v>
      </c>
    </row>
    <row r="17" spans="1:18" x14ac:dyDescent="0.25">
      <c r="A17" t="s">
        <v>1647</v>
      </c>
      <c r="B17" t="s">
        <v>1810</v>
      </c>
      <c r="C17" t="s">
        <v>4</v>
      </c>
      <c r="D17" t="s">
        <v>1648</v>
      </c>
      <c r="E17" s="2">
        <v>41842</v>
      </c>
      <c r="F17">
        <v>3769</v>
      </c>
      <c r="G17" t="s">
        <v>1746</v>
      </c>
      <c r="H17" t="s">
        <v>1747</v>
      </c>
      <c r="I17" t="b">
        <v>1</v>
      </c>
      <c r="J17" t="s">
        <v>1748</v>
      </c>
      <c r="K17" t="s">
        <v>1809</v>
      </c>
      <c r="L17" t="s">
        <v>1756</v>
      </c>
      <c r="M17">
        <v>12866</v>
      </c>
      <c r="N17" t="b">
        <v>0</v>
      </c>
      <c r="O17">
        <v>1454</v>
      </c>
      <c r="P17" t="s">
        <v>1752</v>
      </c>
      <c r="Q17" t="s">
        <v>1753</v>
      </c>
      <c r="R17" t="s">
        <v>1759</v>
      </c>
    </row>
    <row r="18" spans="1:18" x14ac:dyDescent="0.25">
      <c r="A18" t="s">
        <v>1811</v>
      </c>
      <c r="B18" t="s">
        <v>1814</v>
      </c>
      <c r="C18" t="s">
        <v>4</v>
      </c>
      <c r="D18" t="s">
        <v>1069</v>
      </c>
      <c r="E18" s="2">
        <v>40987</v>
      </c>
      <c r="F18">
        <v>4624</v>
      </c>
      <c r="G18" t="s">
        <v>1746</v>
      </c>
      <c r="H18" t="s">
        <v>1747</v>
      </c>
      <c r="I18" t="b">
        <v>1</v>
      </c>
      <c r="J18" t="s">
        <v>1761</v>
      </c>
      <c r="K18" t="s">
        <v>1812</v>
      </c>
      <c r="L18" t="s">
        <v>1750</v>
      </c>
      <c r="M18">
        <v>12405</v>
      </c>
      <c r="N18" t="b">
        <v>0</v>
      </c>
      <c r="O18">
        <v>503</v>
      </c>
      <c r="P18" t="s">
        <v>1752</v>
      </c>
      <c r="Q18" t="s">
        <v>1753</v>
      </c>
    </row>
    <row r="19" spans="1:18" x14ac:dyDescent="0.25">
      <c r="A19" t="s">
        <v>1816</v>
      </c>
      <c r="B19" t="s">
        <v>1820</v>
      </c>
      <c r="C19" t="s">
        <v>4</v>
      </c>
      <c r="D19" t="s">
        <v>1815</v>
      </c>
      <c r="E19" s="2">
        <v>43516</v>
      </c>
      <c r="F19">
        <v>2095</v>
      </c>
      <c r="G19" t="s">
        <v>1746</v>
      </c>
      <c r="H19" t="s">
        <v>1747</v>
      </c>
      <c r="I19" t="b">
        <v>1</v>
      </c>
      <c r="J19" t="s">
        <v>1748</v>
      </c>
      <c r="K19" t="s">
        <v>1749</v>
      </c>
      <c r="L19" t="s">
        <v>1817</v>
      </c>
      <c r="M19">
        <v>12240</v>
      </c>
      <c r="N19" t="b">
        <v>0</v>
      </c>
      <c r="O19">
        <v>81</v>
      </c>
      <c r="P19" t="s">
        <v>1819</v>
      </c>
      <c r="Q19" t="s">
        <v>1753</v>
      </c>
    </row>
    <row r="20" spans="1:18" x14ac:dyDescent="0.25">
      <c r="A20" t="s">
        <v>1821</v>
      </c>
      <c r="B20" t="s">
        <v>1829</v>
      </c>
      <c r="C20" t="s">
        <v>6</v>
      </c>
      <c r="D20" t="s">
        <v>1515</v>
      </c>
      <c r="E20" s="2">
        <v>39227</v>
      </c>
      <c r="F20">
        <v>6384</v>
      </c>
      <c r="G20" t="s">
        <v>1746</v>
      </c>
      <c r="H20" t="s">
        <v>1798</v>
      </c>
      <c r="I20" t="b">
        <v>0</v>
      </c>
      <c r="J20" t="s">
        <v>1748</v>
      </c>
      <c r="K20" t="s">
        <v>1822</v>
      </c>
      <c r="L20" t="s">
        <v>1766</v>
      </c>
      <c r="M20">
        <v>11136</v>
      </c>
      <c r="N20" t="b">
        <v>0</v>
      </c>
      <c r="P20" t="s">
        <v>1827</v>
      </c>
      <c r="Q20" t="s">
        <v>1753</v>
      </c>
      <c r="R20" t="s">
        <v>1828</v>
      </c>
    </row>
    <row r="21" spans="1:18" x14ac:dyDescent="0.25">
      <c r="A21" t="s">
        <v>1671</v>
      </c>
      <c r="B21" t="s">
        <v>1810</v>
      </c>
      <c r="C21" t="s">
        <v>4</v>
      </c>
      <c r="D21" t="s">
        <v>1672</v>
      </c>
      <c r="E21" s="2">
        <v>41800</v>
      </c>
      <c r="F21">
        <v>3811</v>
      </c>
      <c r="G21" t="s">
        <v>1746</v>
      </c>
      <c r="H21" t="s">
        <v>1747</v>
      </c>
      <c r="I21" t="b">
        <v>1</v>
      </c>
      <c r="J21" t="s">
        <v>1748</v>
      </c>
      <c r="K21" t="s">
        <v>1755</v>
      </c>
      <c r="L21" t="s">
        <v>1750</v>
      </c>
      <c r="M21">
        <v>11037</v>
      </c>
      <c r="N21" t="b">
        <v>0</v>
      </c>
      <c r="O21">
        <v>503</v>
      </c>
      <c r="P21" t="s">
        <v>1752</v>
      </c>
      <c r="Q21" t="s">
        <v>1753</v>
      </c>
    </row>
    <row r="22" spans="1:18" x14ac:dyDescent="0.25">
      <c r="A22" t="s">
        <v>1831</v>
      </c>
      <c r="B22" t="s">
        <v>1754</v>
      </c>
      <c r="C22" t="s">
        <v>4</v>
      </c>
      <c r="D22" t="s">
        <v>569</v>
      </c>
      <c r="E22" s="2">
        <v>39878</v>
      </c>
      <c r="F22">
        <v>5733</v>
      </c>
      <c r="G22" t="s">
        <v>1746</v>
      </c>
      <c r="H22" t="s">
        <v>1798</v>
      </c>
      <c r="I22" t="b">
        <v>1</v>
      </c>
      <c r="J22" t="s">
        <v>1761</v>
      </c>
      <c r="K22" t="s">
        <v>1755</v>
      </c>
      <c r="L22" t="s">
        <v>1817</v>
      </c>
      <c r="M22">
        <v>10972</v>
      </c>
      <c r="N22" t="b">
        <v>0</v>
      </c>
      <c r="O22">
        <v>3729</v>
      </c>
      <c r="P22" t="s">
        <v>1819</v>
      </c>
      <c r="Q22" t="s">
        <v>1753</v>
      </c>
      <c r="R22" t="s">
        <v>1759</v>
      </c>
    </row>
    <row r="23" spans="1:18" x14ac:dyDescent="0.25">
      <c r="A23" t="s">
        <v>1832</v>
      </c>
      <c r="B23" t="s">
        <v>1810</v>
      </c>
      <c r="C23" t="s">
        <v>4</v>
      </c>
      <c r="D23" t="s">
        <v>765</v>
      </c>
      <c r="E23" s="2">
        <v>43383</v>
      </c>
      <c r="F23">
        <v>2228</v>
      </c>
      <c r="G23" t="s">
        <v>1833</v>
      </c>
      <c r="H23" t="s">
        <v>1747</v>
      </c>
      <c r="I23" t="b">
        <v>0</v>
      </c>
      <c r="J23" t="s">
        <v>1748</v>
      </c>
      <c r="K23" t="s">
        <v>1755</v>
      </c>
      <c r="L23" t="s">
        <v>1750</v>
      </c>
      <c r="M23">
        <v>10656</v>
      </c>
      <c r="N23" t="b">
        <v>1</v>
      </c>
      <c r="O23">
        <v>246</v>
      </c>
      <c r="P23" t="s">
        <v>1752</v>
      </c>
      <c r="Q23" t="s">
        <v>1753</v>
      </c>
    </row>
    <row r="24" spans="1:18" x14ac:dyDescent="0.25">
      <c r="A24" t="s">
        <v>359</v>
      </c>
      <c r="B24" t="s">
        <v>1814</v>
      </c>
      <c r="C24" t="s">
        <v>4</v>
      </c>
      <c r="D24" t="s">
        <v>360</v>
      </c>
      <c r="E24" s="2">
        <v>40520</v>
      </c>
      <c r="F24">
        <v>5091</v>
      </c>
      <c r="G24" t="s">
        <v>1746</v>
      </c>
      <c r="H24" t="s">
        <v>1747</v>
      </c>
      <c r="I24" t="b">
        <v>1</v>
      </c>
      <c r="J24" t="s">
        <v>1761</v>
      </c>
      <c r="K24" t="s">
        <v>1824</v>
      </c>
      <c r="L24" t="s">
        <v>1756</v>
      </c>
      <c r="M24">
        <v>10109</v>
      </c>
      <c r="N24" t="b">
        <v>0</v>
      </c>
      <c r="O24">
        <v>1368</v>
      </c>
      <c r="P24" t="s">
        <v>1752</v>
      </c>
      <c r="Q24" t="s">
        <v>1753</v>
      </c>
      <c r="R24" t="s">
        <v>1759</v>
      </c>
    </row>
    <row r="25" spans="1:18" x14ac:dyDescent="0.25">
      <c r="A25" t="s">
        <v>1837</v>
      </c>
      <c r="B25" t="s">
        <v>1785</v>
      </c>
      <c r="C25" t="s">
        <v>4</v>
      </c>
      <c r="D25" t="s">
        <v>1836</v>
      </c>
      <c r="E25" s="2">
        <v>43536</v>
      </c>
      <c r="F25">
        <v>2075</v>
      </c>
      <c r="G25" t="s">
        <v>1746</v>
      </c>
      <c r="H25" t="s">
        <v>1747</v>
      </c>
      <c r="I25" t="b">
        <v>0</v>
      </c>
      <c r="J25" t="s">
        <v>1761</v>
      </c>
      <c r="K25" t="s">
        <v>1749</v>
      </c>
      <c r="L25" t="s">
        <v>1750</v>
      </c>
      <c r="M25">
        <v>9933</v>
      </c>
      <c r="N25" t="b">
        <v>1</v>
      </c>
      <c r="O25">
        <v>534</v>
      </c>
      <c r="P25" t="s">
        <v>1752</v>
      </c>
      <c r="Q25" t="s">
        <v>1753</v>
      </c>
    </row>
    <row r="26" spans="1:18" x14ac:dyDescent="0.25">
      <c r="A26" t="s">
        <v>1839</v>
      </c>
      <c r="B26" t="s">
        <v>1840</v>
      </c>
      <c r="C26" t="s">
        <v>4</v>
      </c>
      <c r="D26" t="s">
        <v>1838</v>
      </c>
      <c r="E26" s="2">
        <v>42328</v>
      </c>
      <c r="F26">
        <v>3283</v>
      </c>
      <c r="G26" t="s">
        <v>1746</v>
      </c>
      <c r="H26" t="s">
        <v>1747</v>
      </c>
      <c r="I26" t="b">
        <v>1</v>
      </c>
      <c r="J26" t="s">
        <v>1748</v>
      </c>
      <c r="K26" t="s">
        <v>1824</v>
      </c>
      <c r="L26" t="s">
        <v>1750</v>
      </c>
      <c r="M26">
        <v>9505</v>
      </c>
      <c r="N26" t="b">
        <v>0</v>
      </c>
      <c r="O26">
        <v>69</v>
      </c>
      <c r="P26" t="s">
        <v>1752</v>
      </c>
      <c r="Q26" t="s">
        <v>1753</v>
      </c>
    </row>
    <row r="27" spans="1:18" x14ac:dyDescent="0.25">
      <c r="A27" t="s">
        <v>1841</v>
      </c>
      <c r="B27" t="s">
        <v>1768</v>
      </c>
      <c r="C27" t="s">
        <v>4</v>
      </c>
      <c r="D27" t="s">
        <v>1062</v>
      </c>
      <c r="E27" s="2">
        <v>43524</v>
      </c>
      <c r="F27">
        <v>2087</v>
      </c>
      <c r="G27" t="s">
        <v>1746</v>
      </c>
      <c r="H27" t="s">
        <v>1747</v>
      </c>
      <c r="I27" t="b">
        <v>1</v>
      </c>
      <c r="J27" t="s">
        <v>1748</v>
      </c>
      <c r="K27" t="s">
        <v>1774</v>
      </c>
      <c r="L27" t="s">
        <v>1756</v>
      </c>
      <c r="M27">
        <v>9097</v>
      </c>
      <c r="N27" t="b">
        <v>0</v>
      </c>
      <c r="O27">
        <v>1399</v>
      </c>
      <c r="P27" t="s">
        <v>1752</v>
      </c>
      <c r="Q27" t="s">
        <v>1753</v>
      </c>
      <c r="R27" t="s">
        <v>1759</v>
      </c>
    </row>
    <row r="28" spans="1:18" x14ac:dyDescent="0.25">
      <c r="A28" t="s">
        <v>1613</v>
      </c>
      <c r="B28" t="s">
        <v>1810</v>
      </c>
      <c r="C28" t="s">
        <v>4</v>
      </c>
      <c r="D28" t="s">
        <v>1614</v>
      </c>
      <c r="E28" s="2">
        <v>43228</v>
      </c>
      <c r="F28">
        <v>2383</v>
      </c>
      <c r="G28" t="s">
        <v>1746</v>
      </c>
      <c r="H28" t="s">
        <v>1747</v>
      </c>
      <c r="I28" t="b">
        <v>0</v>
      </c>
      <c r="J28" t="s">
        <v>1748</v>
      </c>
      <c r="K28" t="s">
        <v>1824</v>
      </c>
      <c r="L28" t="s">
        <v>1750</v>
      </c>
      <c r="M28">
        <v>8877</v>
      </c>
      <c r="N28" t="b">
        <v>1</v>
      </c>
      <c r="O28">
        <v>271</v>
      </c>
      <c r="P28" t="s">
        <v>1752</v>
      </c>
      <c r="Q28" t="s">
        <v>1753</v>
      </c>
    </row>
    <row r="29" spans="1:18" x14ac:dyDescent="0.25">
      <c r="A29" t="s">
        <v>1844</v>
      </c>
      <c r="B29" t="s">
        <v>1847</v>
      </c>
      <c r="C29" t="s">
        <v>6</v>
      </c>
      <c r="D29" t="s">
        <v>835</v>
      </c>
      <c r="E29" s="2">
        <v>41367</v>
      </c>
      <c r="F29">
        <v>4244</v>
      </c>
      <c r="G29" t="s">
        <v>1746</v>
      </c>
      <c r="H29" t="s">
        <v>1798</v>
      </c>
      <c r="I29" t="b">
        <v>1</v>
      </c>
      <c r="J29" t="s">
        <v>1748</v>
      </c>
      <c r="K29" t="s">
        <v>1749</v>
      </c>
      <c r="L29" t="s">
        <v>1750</v>
      </c>
      <c r="M29">
        <v>8442</v>
      </c>
      <c r="N29" t="b">
        <v>0</v>
      </c>
      <c r="O29">
        <v>601</v>
      </c>
      <c r="P29" t="s">
        <v>1752</v>
      </c>
      <c r="Q29" t="s">
        <v>1753</v>
      </c>
      <c r="R29" t="s">
        <v>1828</v>
      </c>
    </row>
    <row r="30" spans="1:18" x14ac:dyDescent="0.25">
      <c r="A30" t="s">
        <v>1619</v>
      </c>
      <c r="B30" t="s">
        <v>1810</v>
      </c>
      <c r="C30" t="s">
        <v>4</v>
      </c>
      <c r="D30" t="s">
        <v>1620</v>
      </c>
      <c r="E30" s="2">
        <v>41768</v>
      </c>
      <c r="F30">
        <v>3843</v>
      </c>
      <c r="G30" t="s">
        <v>1746</v>
      </c>
      <c r="H30" t="s">
        <v>1747</v>
      </c>
      <c r="I30" t="b">
        <v>1</v>
      </c>
      <c r="J30" t="s">
        <v>1748</v>
      </c>
      <c r="K30" t="s">
        <v>1749</v>
      </c>
      <c r="L30" t="s">
        <v>1750</v>
      </c>
      <c r="M30">
        <v>8247</v>
      </c>
      <c r="N30" t="b">
        <v>0</v>
      </c>
      <c r="O30">
        <v>593</v>
      </c>
      <c r="P30" t="s">
        <v>1752</v>
      </c>
      <c r="Q30" t="s">
        <v>1753</v>
      </c>
    </row>
    <row r="31" spans="1:18" x14ac:dyDescent="0.25">
      <c r="A31" t="s">
        <v>1850</v>
      </c>
      <c r="B31" t="s">
        <v>1840</v>
      </c>
      <c r="C31" t="s">
        <v>4</v>
      </c>
      <c r="D31" t="s">
        <v>1849</v>
      </c>
      <c r="E31" s="2">
        <v>43392</v>
      </c>
      <c r="F31">
        <v>2219</v>
      </c>
      <c r="G31" t="s">
        <v>1746</v>
      </c>
      <c r="H31" t="s">
        <v>1747</v>
      </c>
      <c r="I31" t="b">
        <v>0</v>
      </c>
      <c r="J31" t="s">
        <v>1748</v>
      </c>
      <c r="K31" t="s">
        <v>1749</v>
      </c>
      <c r="L31" t="s">
        <v>1750</v>
      </c>
      <c r="M31">
        <v>7997</v>
      </c>
      <c r="N31" t="b">
        <v>1</v>
      </c>
      <c r="O31">
        <v>535</v>
      </c>
      <c r="P31" t="s">
        <v>1752</v>
      </c>
      <c r="Q31" t="s">
        <v>1753</v>
      </c>
    </row>
    <row r="32" spans="1:18" x14ac:dyDescent="0.25">
      <c r="A32" t="s">
        <v>1852</v>
      </c>
      <c r="B32" t="s">
        <v>1814</v>
      </c>
      <c r="C32" t="s">
        <v>4</v>
      </c>
      <c r="D32" t="s">
        <v>391</v>
      </c>
      <c r="E32" s="2">
        <v>37592</v>
      </c>
      <c r="F32">
        <v>8019</v>
      </c>
      <c r="G32" t="s">
        <v>1746</v>
      </c>
      <c r="H32" t="s">
        <v>1747</v>
      </c>
      <c r="I32" t="b">
        <v>1</v>
      </c>
      <c r="J32" t="s">
        <v>1761</v>
      </c>
      <c r="K32" t="s">
        <v>1853</v>
      </c>
      <c r="L32" t="s">
        <v>1750</v>
      </c>
      <c r="M32">
        <v>7979</v>
      </c>
      <c r="N32" t="b">
        <v>0</v>
      </c>
      <c r="O32">
        <v>101</v>
      </c>
      <c r="P32" t="s">
        <v>1752</v>
      </c>
      <c r="Q32" t="s">
        <v>1753</v>
      </c>
    </row>
    <row r="33" spans="1:18" x14ac:dyDescent="0.25">
      <c r="A33" t="s">
        <v>1855</v>
      </c>
      <c r="B33" t="s">
        <v>1754</v>
      </c>
      <c r="C33" t="s">
        <v>4</v>
      </c>
      <c r="D33" t="s">
        <v>585</v>
      </c>
      <c r="E33" s="2">
        <v>39269</v>
      </c>
      <c r="F33">
        <v>6342</v>
      </c>
      <c r="G33" t="s">
        <v>1746</v>
      </c>
      <c r="H33" t="s">
        <v>1798</v>
      </c>
      <c r="I33" t="b">
        <v>1</v>
      </c>
      <c r="J33" t="s">
        <v>1761</v>
      </c>
      <c r="K33" t="s">
        <v>1774</v>
      </c>
      <c r="L33" t="s">
        <v>1756</v>
      </c>
      <c r="M33">
        <v>7828</v>
      </c>
      <c r="N33" t="b">
        <v>0</v>
      </c>
      <c r="O33">
        <v>416</v>
      </c>
      <c r="P33" t="s">
        <v>1752</v>
      </c>
      <c r="Q33" t="s">
        <v>1753</v>
      </c>
      <c r="R33" t="s">
        <v>1828</v>
      </c>
    </row>
    <row r="34" spans="1:18" x14ac:dyDescent="0.25">
      <c r="A34" t="s">
        <v>707</v>
      </c>
      <c r="B34" t="s">
        <v>1754</v>
      </c>
      <c r="C34" t="s">
        <v>4</v>
      </c>
      <c r="D34" t="s">
        <v>708</v>
      </c>
      <c r="E34" s="2">
        <v>43020</v>
      </c>
      <c r="F34">
        <v>2591</v>
      </c>
      <c r="G34" t="s">
        <v>1746</v>
      </c>
      <c r="H34" t="s">
        <v>1798</v>
      </c>
      <c r="I34" t="b">
        <v>0</v>
      </c>
      <c r="J34" t="s">
        <v>1748</v>
      </c>
      <c r="K34" t="s">
        <v>1755</v>
      </c>
      <c r="L34" t="s">
        <v>1750</v>
      </c>
      <c r="M34">
        <v>7584</v>
      </c>
      <c r="N34" t="b">
        <v>1</v>
      </c>
      <c r="O34">
        <v>402</v>
      </c>
      <c r="P34" t="s">
        <v>1752</v>
      </c>
      <c r="Q34" t="s">
        <v>1753</v>
      </c>
      <c r="R34" t="s">
        <v>1759</v>
      </c>
    </row>
    <row r="35" spans="1:18" x14ac:dyDescent="0.25">
      <c r="A35" t="s">
        <v>583</v>
      </c>
      <c r="B35" t="s">
        <v>1754</v>
      </c>
      <c r="C35" t="s">
        <v>4</v>
      </c>
      <c r="D35" t="s">
        <v>584</v>
      </c>
      <c r="E35" s="2">
        <v>40081</v>
      </c>
      <c r="F35">
        <v>5530</v>
      </c>
      <c r="G35" t="s">
        <v>1746</v>
      </c>
      <c r="H35" t="s">
        <v>1798</v>
      </c>
      <c r="I35" t="b">
        <v>1</v>
      </c>
      <c r="J35" t="s">
        <v>1748</v>
      </c>
      <c r="K35" t="s">
        <v>1774</v>
      </c>
      <c r="L35" t="s">
        <v>1756</v>
      </c>
      <c r="M35">
        <v>7579</v>
      </c>
      <c r="N35" t="b">
        <v>0</v>
      </c>
      <c r="O35">
        <v>416</v>
      </c>
      <c r="P35" t="s">
        <v>1752</v>
      </c>
      <c r="Q35" t="s">
        <v>1753</v>
      </c>
      <c r="R35" t="s">
        <v>1828</v>
      </c>
    </row>
    <row r="36" spans="1:18" x14ac:dyDescent="0.25">
      <c r="A36" t="s">
        <v>1858</v>
      </c>
      <c r="B36" t="s">
        <v>1814</v>
      </c>
      <c r="C36" t="s">
        <v>11</v>
      </c>
      <c r="D36" t="s">
        <v>925</v>
      </c>
      <c r="E36" s="2">
        <v>38833</v>
      </c>
      <c r="F36">
        <v>6778</v>
      </c>
      <c r="G36" t="s">
        <v>1746</v>
      </c>
      <c r="H36" t="s">
        <v>1798</v>
      </c>
      <c r="I36" t="b">
        <v>0</v>
      </c>
      <c r="J36" t="s">
        <v>1761</v>
      </c>
      <c r="K36" t="s">
        <v>1853</v>
      </c>
      <c r="L36" t="s">
        <v>1766</v>
      </c>
      <c r="M36">
        <v>7454</v>
      </c>
      <c r="N36" t="b">
        <v>0</v>
      </c>
      <c r="P36" t="s">
        <v>1752</v>
      </c>
      <c r="Q36" t="s">
        <v>1753</v>
      </c>
      <c r="R36" t="s">
        <v>1759</v>
      </c>
    </row>
    <row r="37" spans="1:18" x14ac:dyDescent="0.25">
      <c r="A37" t="s">
        <v>689</v>
      </c>
      <c r="B37" t="s">
        <v>1860</v>
      </c>
      <c r="C37" t="s">
        <v>4</v>
      </c>
      <c r="D37" t="s">
        <v>690</v>
      </c>
      <c r="E37" s="2">
        <v>43571</v>
      </c>
      <c r="F37">
        <v>2040</v>
      </c>
      <c r="G37" t="s">
        <v>1746</v>
      </c>
      <c r="H37" t="s">
        <v>1747</v>
      </c>
      <c r="I37" t="b">
        <v>0</v>
      </c>
      <c r="J37" t="s">
        <v>1748</v>
      </c>
      <c r="K37" t="s">
        <v>1749</v>
      </c>
      <c r="L37" t="s">
        <v>1750</v>
      </c>
      <c r="M37">
        <v>7372</v>
      </c>
      <c r="N37" t="b">
        <v>1</v>
      </c>
      <c r="O37">
        <v>534</v>
      </c>
      <c r="P37" t="s">
        <v>1752</v>
      </c>
      <c r="Q37" t="s">
        <v>1753</v>
      </c>
    </row>
    <row r="38" spans="1:18" x14ac:dyDescent="0.25">
      <c r="A38" t="s">
        <v>1630</v>
      </c>
      <c r="B38" t="s">
        <v>1810</v>
      </c>
      <c r="C38" t="s">
        <v>4</v>
      </c>
      <c r="D38" t="s">
        <v>1631</v>
      </c>
      <c r="E38" s="2">
        <v>43214</v>
      </c>
      <c r="F38">
        <v>2397</v>
      </c>
      <c r="G38" t="s">
        <v>1746</v>
      </c>
      <c r="H38" t="s">
        <v>1747</v>
      </c>
      <c r="I38" t="b">
        <v>0</v>
      </c>
      <c r="J38" t="s">
        <v>1748</v>
      </c>
      <c r="K38" t="s">
        <v>1755</v>
      </c>
      <c r="L38" t="s">
        <v>1750</v>
      </c>
      <c r="M38">
        <v>7331</v>
      </c>
      <c r="N38" t="b">
        <v>1</v>
      </c>
      <c r="O38">
        <v>658</v>
      </c>
      <c r="P38" t="s">
        <v>1752</v>
      </c>
      <c r="Q38" t="s">
        <v>1753</v>
      </c>
      <c r="R38" t="s">
        <v>1759</v>
      </c>
    </row>
    <row r="39" spans="1:18" x14ac:dyDescent="0.25">
      <c r="A39" t="s">
        <v>1862</v>
      </c>
      <c r="B39" t="s">
        <v>1866</v>
      </c>
      <c r="C39" t="s">
        <v>572</v>
      </c>
      <c r="D39" t="s">
        <v>1861</v>
      </c>
      <c r="E39" s="2">
        <v>36887</v>
      </c>
      <c r="F39">
        <v>8724</v>
      </c>
      <c r="G39" t="s">
        <v>1746</v>
      </c>
      <c r="H39" t="s">
        <v>1798</v>
      </c>
      <c r="I39" t="b">
        <v>0</v>
      </c>
      <c r="J39" t="s">
        <v>1761</v>
      </c>
      <c r="K39" t="s">
        <v>1863</v>
      </c>
      <c r="L39" t="s">
        <v>1750</v>
      </c>
      <c r="M39">
        <v>7200</v>
      </c>
      <c r="N39" t="b">
        <v>0</v>
      </c>
      <c r="O39">
        <v>50</v>
      </c>
      <c r="P39" t="s">
        <v>1752</v>
      </c>
      <c r="Q39" t="s">
        <v>1753</v>
      </c>
      <c r="R39" t="s">
        <v>1828</v>
      </c>
    </row>
    <row r="40" spans="1:18" x14ac:dyDescent="0.25">
      <c r="A40" t="s">
        <v>1867</v>
      </c>
      <c r="B40" t="s">
        <v>1754</v>
      </c>
      <c r="C40" t="s">
        <v>4</v>
      </c>
      <c r="D40" t="s">
        <v>709</v>
      </c>
      <c r="E40" s="2">
        <v>38653</v>
      </c>
      <c r="F40">
        <v>6958</v>
      </c>
      <c r="G40" t="s">
        <v>1746</v>
      </c>
      <c r="H40" t="s">
        <v>1747</v>
      </c>
      <c r="I40" t="b">
        <v>1</v>
      </c>
      <c r="J40" t="s">
        <v>1761</v>
      </c>
      <c r="K40" t="s">
        <v>1868</v>
      </c>
      <c r="L40" t="s">
        <v>1756</v>
      </c>
      <c r="M40">
        <v>7103</v>
      </c>
      <c r="N40" t="b">
        <v>0</v>
      </c>
      <c r="O40">
        <v>1411</v>
      </c>
      <c r="P40" t="s">
        <v>1752</v>
      </c>
      <c r="Q40" t="s">
        <v>1753</v>
      </c>
      <c r="R40" t="s">
        <v>1759</v>
      </c>
    </row>
    <row r="41" spans="1:18" x14ac:dyDescent="0.25">
      <c r="A41" t="s">
        <v>1870</v>
      </c>
      <c r="B41" t="s">
        <v>1768</v>
      </c>
      <c r="C41" t="s">
        <v>4</v>
      </c>
      <c r="D41" t="s">
        <v>1869</v>
      </c>
      <c r="E41" s="2">
        <v>44098</v>
      </c>
      <c r="F41">
        <v>1513</v>
      </c>
      <c r="G41" t="s">
        <v>1746</v>
      </c>
      <c r="H41" t="s">
        <v>1747</v>
      </c>
      <c r="I41" t="b">
        <v>0</v>
      </c>
      <c r="J41" t="s">
        <v>1748</v>
      </c>
      <c r="K41" t="s">
        <v>1765</v>
      </c>
      <c r="L41" t="s">
        <v>1766</v>
      </c>
      <c r="M41">
        <v>7094</v>
      </c>
      <c r="N41" t="b">
        <v>0</v>
      </c>
      <c r="P41" t="s">
        <v>1752</v>
      </c>
      <c r="Q41" t="s">
        <v>1753</v>
      </c>
    </row>
    <row r="42" spans="1:18" x14ac:dyDescent="0.25">
      <c r="A42" t="s">
        <v>1872</v>
      </c>
      <c r="B42" t="s">
        <v>1873</v>
      </c>
      <c r="C42" t="s">
        <v>6</v>
      </c>
      <c r="D42" t="s">
        <v>1871</v>
      </c>
      <c r="E42" s="2">
        <v>41982</v>
      </c>
      <c r="F42">
        <v>3629</v>
      </c>
      <c r="G42" t="s">
        <v>1746</v>
      </c>
      <c r="H42" t="s">
        <v>1798</v>
      </c>
      <c r="I42" t="b">
        <v>0</v>
      </c>
      <c r="J42" t="s">
        <v>1748</v>
      </c>
      <c r="K42" t="s">
        <v>1765</v>
      </c>
      <c r="L42" t="s">
        <v>1766</v>
      </c>
      <c r="M42">
        <v>7012</v>
      </c>
      <c r="N42" t="b">
        <v>0</v>
      </c>
      <c r="P42" t="s">
        <v>1752</v>
      </c>
      <c r="Q42" t="s">
        <v>1753</v>
      </c>
    </row>
    <row r="43" spans="1:18" x14ac:dyDescent="0.25">
      <c r="A43" t="s">
        <v>364</v>
      </c>
      <c r="B43" t="s">
        <v>1874</v>
      </c>
      <c r="C43" t="s">
        <v>4</v>
      </c>
      <c r="D43" t="s">
        <v>365</v>
      </c>
      <c r="E43" s="2">
        <v>40312</v>
      </c>
      <c r="F43">
        <v>5299</v>
      </c>
      <c r="G43" t="s">
        <v>1746</v>
      </c>
      <c r="H43" t="s">
        <v>1747</v>
      </c>
      <c r="I43" t="b">
        <v>1</v>
      </c>
      <c r="J43" t="s">
        <v>1761</v>
      </c>
      <c r="K43" t="s">
        <v>1863</v>
      </c>
      <c r="L43" t="s">
        <v>1750</v>
      </c>
      <c r="M43">
        <v>6936</v>
      </c>
      <c r="N43" t="b">
        <v>0</v>
      </c>
      <c r="O43">
        <v>503</v>
      </c>
      <c r="P43" t="s">
        <v>1752</v>
      </c>
      <c r="Q43" t="s">
        <v>1753</v>
      </c>
    </row>
    <row r="44" spans="1:18" x14ac:dyDescent="0.25">
      <c r="A44" t="s">
        <v>1875</v>
      </c>
      <c r="B44" t="s">
        <v>1876</v>
      </c>
      <c r="C44" t="s">
        <v>4</v>
      </c>
      <c r="D44" t="s">
        <v>1005</v>
      </c>
      <c r="E44" s="2">
        <v>44127</v>
      </c>
      <c r="F44">
        <v>1484</v>
      </c>
      <c r="G44" t="s">
        <v>1746</v>
      </c>
      <c r="H44" t="s">
        <v>1747</v>
      </c>
      <c r="I44" t="b">
        <v>0</v>
      </c>
      <c r="J44" t="s">
        <v>1748</v>
      </c>
      <c r="K44" t="s">
        <v>1824</v>
      </c>
      <c r="L44" t="s">
        <v>1817</v>
      </c>
      <c r="M44">
        <v>6660</v>
      </c>
      <c r="N44" t="b">
        <v>1</v>
      </c>
      <c r="O44">
        <v>2823</v>
      </c>
      <c r="P44" t="s">
        <v>1819</v>
      </c>
      <c r="Q44" t="s">
        <v>1753</v>
      </c>
      <c r="R44" t="s">
        <v>1759</v>
      </c>
    </row>
    <row r="45" spans="1:18" x14ac:dyDescent="0.25">
      <c r="A45" t="s">
        <v>1877</v>
      </c>
      <c r="B45" t="s">
        <v>1810</v>
      </c>
      <c r="C45" t="s">
        <v>4</v>
      </c>
      <c r="D45" t="s">
        <v>553</v>
      </c>
      <c r="E45" s="2">
        <v>40424</v>
      </c>
      <c r="F45">
        <v>5187</v>
      </c>
      <c r="G45" t="s">
        <v>1746</v>
      </c>
      <c r="H45" t="s">
        <v>1798</v>
      </c>
      <c r="I45" t="b">
        <v>1</v>
      </c>
      <c r="J45" t="s">
        <v>1761</v>
      </c>
      <c r="K45" t="s">
        <v>1868</v>
      </c>
      <c r="L45" t="s">
        <v>1817</v>
      </c>
      <c r="M45">
        <v>6637</v>
      </c>
      <c r="N45" t="b">
        <v>0</v>
      </c>
      <c r="O45">
        <v>628</v>
      </c>
      <c r="P45" t="s">
        <v>1819</v>
      </c>
      <c r="Q45" t="s">
        <v>1753</v>
      </c>
      <c r="R45" t="s">
        <v>1759</v>
      </c>
    </row>
    <row r="46" spans="1:18" x14ac:dyDescent="0.25">
      <c r="A46" t="s">
        <v>714</v>
      </c>
      <c r="B46" t="s">
        <v>1754</v>
      </c>
      <c r="C46" t="s">
        <v>4</v>
      </c>
      <c r="D46" t="s">
        <v>715</v>
      </c>
      <c r="E46" s="2">
        <v>40451</v>
      </c>
      <c r="F46">
        <v>5160</v>
      </c>
      <c r="G46" t="s">
        <v>1746</v>
      </c>
      <c r="H46" t="s">
        <v>1798</v>
      </c>
      <c r="I46" t="b">
        <v>1</v>
      </c>
      <c r="J46" t="s">
        <v>1748</v>
      </c>
      <c r="K46" t="s">
        <v>1755</v>
      </c>
      <c r="L46" t="s">
        <v>1750</v>
      </c>
      <c r="M46">
        <v>6510</v>
      </c>
      <c r="N46" t="b">
        <v>0</v>
      </c>
      <c r="O46">
        <v>505</v>
      </c>
      <c r="P46" t="s">
        <v>1752</v>
      </c>
      <c r="Q46" t="s">
        <v>1753</v>
      </c>
    </row>
    <row r="47" spans="1:18" x14ac:dyDescent="0.25">
      <c r="A47" t="s">
        <v>1878</v>
      </c>
      <c r="B47" t="s">
        <v>1881</v>
      </c>
      <c r="C47" t="s">
        <v>572</v>
      </c>
      <c r="D47" t="s">
        <v>571</v>
      </c>
      <c r="E47" s="2">
        <v>36887</v>
      </c>
      <c r="F47">
        <v>8724</v>
      </c>
      <c r="G47" t="s">
        <v>1746</v>
      </c>
      <c r="H47" t="s">
        <v>1798</v>
      </c>
      <c r="I47" t="b">
        <v>0</v>
      </c>
      <c r="J47" t="s">
        <v>1748</v>
      </c>
      <c r="K47" t="s">
        <v>1826</v>
      </c>
      <c r="L47" t="s">
        <v>1750</v>
      </c>
      <c r="M47">
        <v>6351</v>
      </c>
      <c r="N47" t="b">
        <v>0</v>
      </c>
      <c r="O47">
        <v>40</v>
      </c>
      <c r="P47" t="s">
        <v>1752</v>
      </c>
      <c r="Q47" t="s">
        <v>1753</v>
      </c>
    </row>
    <row r="48" spans="1:18" x14ac:dyDescent="0.25">
      <c r="A48" t="s">
        <v>1882</v>
      </c>
      <c r="B48" t="s">
        <v>1847</v>
      </c>
      <c r="C48" t="s">
        <v>6</v>
      </c>
      <c r="D48" t="s">
        <v>834</v>
      </c>
      <c r="E48" s="2">
        <v>43159</v>
      </c>
      <c r="F48">
        <v>2452</v>
      </c>
      <c r="G48" t="s">
        <v>1746</v>
      </c>
      <c r="H48" t="s">
        <v>1747</v>
      </c>
      <c r="I48" t="b">
        <v>1</v>
      </c>
      <c r="J48" t="s">
        <v>1748</v>
      </c>
      <c r="K48" t="s">
        <v>1774</v>
      </c>
      <c r="L48" t="s">
        <v>1750</v>
      </c>
      <c r="M48">
        <v>6281</v>
      </c>
      <c r="N48" t="b">
        <v>0</v>
      </c>
      <c r="O48">
        <v>1404</v>
      </c>
      <c r="P48" t="s">
        <v>1752</v>
      </c>
      <c r="Q48" t="s">
        <v>1753</v>
      </c>
      <c r="R48" t="s">
        <v>1759</v>
      </c>
    </row>
    <row r="49" spans="1:18" x14ac:dyDescent="0.25">
      <c r="A49" t="s">
        <v>718</v>
      </c>
      <c r="B49" t="s">
        <v>1829</v>
      </c>
      <c r="C49" t="s">
        <v>572</v>
      </c>
      <c r="D49" t="s">
        <v>719</v>
      </c>
      <c r="E49" s="2">
        <v>38030</v>
      </c>
      <c r="F49">
        <v>7581</v>
      </c>
      <c r="G49" t="s">
        <v>1746</v>
      </c>
      <c r="H49" t="s">
        <v>1798</v>
      </c>
      <c r="I49" t="b">
        <v>0</v>
      </c>
      <c r="J49" t="s">
        <v>1761</v>
      </c>
      <c r="K49" t="s">
        <v>1755</v>
      </c>
      <c r="L49" t="s">
        <v>1750</v>
      </c>
      <c r="M49">
        <v>5989</v>
      </c>
      <c r="N49" t="b">
        <v>0</v>
      </c>
      <c r="O49">
        <v>600</v>
      </c>
      <c r="P49" t="s">
        <v>1752</v>
      </c>
      <c r="Q49" t="s">
        <v>1753</v>
      </c>
      <c r="R49" t="s">
        <v>1828</v>
      </c>
    </row>
    <row r="50" spans="1:18" x14ac:dyDescent="0.25">
      <c r="A50" t="s">
        <v>1886</v>
      </c>
      <c r="B50" t="s">
        <v>1887</v>
      </c>
      <c r="C50" t="s">
        <v>4</v>
      </c>
      <c r="D50" t="s">
        <v>1885</v>
      </c>
      <c r="E50" s="2">
        <v>45230</v>
      </c>
      <c r="F50">
        <v>381</v>
      </c>
      <c r="G50" t="s">
        <v>1746</v>
      </c>
      <c r="H50" t="s">
        <v>1747</v>
      </c>
      <c r="I50" t="b">
        <v>1</v>
      </c>
      <c r="J50" t="s">
        <v>1748</v>
      </c>
      <c r="K50" t="s">
        <v>1812</v>
      </c>
      <c r="L50" t="s">
        <v>1750</v>
      </c>
      <c r="M50">
        <v>5980</v>
      </c>
      <c r="N50" t="b">
        <v>0</v>
      </c>
      <c r="O50">
        <v>503</v>
      </c>
      <c r="P50" t="s">
        <v>1752</v>
      </c>
      <c r="Q50" t="s">
        <v>1753</v>
      </c>
    </row>
    <row r="51" spans="1:18" x14ac:dyDescent="0.25">
      <c r="A51" t="s">
        <v>1888</v>
      </c>
      <c r="B51" t="s">
        <v>1810</v>
      </c>
      <c r="C51" t="s">
        <v>4</v>
      </c>
      <c r="D51" t="s">
        <v>755</v>
      </c>
      <c r="E51" s="2">
        <v>43383</v>
      </c>
      <c r="F51">
        <v>2228</v>
      </c>
      <c r="G51" t="s">
        <v>1833</v>
      </c>
      <c r="H51" t="s">
        <v>1747</v>
      </c>
      <c r="I51" t="b">
        <v>0</v>
      </c>
      <c r="J51" t="s">
        <v>1748</v>
      </c>
      <c r="K51" t="s">
        <v>1776</v>
      </c>
      <c r="L51" t="s">
        <v>1750</v>
      </c>
      <c r="M51">
        <v>5783</v>
      </c>
      <c r="N51" t="b">
        <v>1</v>
      </c>
      <c r="O51">
        <v>679</v>
      </c>
      <c r="P51" t="s">
        <v>1752</v>
      </c>
      <c r="Q51" t="s">
        <v>1753</v>
      </c>
      <c r="R51" t="s">
        <v>1759</v>
      </c>
    </row>
    <row r="52" spans="1:18" x14ac:dyDescent="0.25">
      <c r="A52" t="s">
        <v>1889</v>
      </c>
      <c r="B52" t="s">
        <v>1810</v>
      </c>
      <c r="C52" t="s">
        <v>4</v>
      </c>
      <c r="D52" t="s">
        <v>450</v>
      </c>
      <c r="E52" s="2">
        <v>39903</v>
      </c>
      <c r="F52">
        <v>5708</v>
      </c>
      <c r="G52" t="s">
        <v>1746</v>
      </c>
      <c r="H52" t="s">
        <v>1747</v>
      </c>
      <c r="I52" t="b">
        <v>0</v>
      </c>
      <c r="J52" t="s">
        <v>1748</v>
      </c>
      <c r="K52" t="s">
        <v>1765</v>
      </c>
      <c r="L52" t="s">
        <v>1766</v>
      </c>
      <c r="M52">
        <v>5659</v>
      </c>
      <c r="N52" t="b">
        <v>0</v>
      </c>
      <c r="P52" t="s">
        <v>1752</v>
      </c>
      <c r="Q52" t="s">
        <v>1753</v>
      </c>
    </row>
    <row r="53" spans="1:18" x14ac:dyDescent="0.25">
      <c r="A53" t="s">
        <v>1890</v>
      </c>
      <c r="B53" t="s">
        <v>1887</v>
      </c>
      <c r="C53" t="s">
        <v>4</v>
      </c>
      <c r="D53" t="s">
        <v>533</v>
      </c>
      <c r="E53" s="2">
        <v>39967</v>
      </c>
      <c r="F53">
        <v>5644</v>
      </c>
      <c r="G53" t="s">
        <v>1746</v>
      </c>
      <c r="H53" t="s">
        <v>1747</v>
      </c>
      <c r="I53" t="b">
        <v>1</v>
      </c>
      <c r="J53" t="s">
        <v>1748</v>
      </c>
      <c r="K53" t="s">
        <v>1749</v>
      </c>
      <c r="L53" t="s">
        <v>1817</v>
      </c>
      <c r="M53">
        <v>5457</v>
      </c>
      <c r="N53" t="b">
        <v>0</v>
      </c>
      <c r="O53">
        <v>90</v>
      </c>
      <c r="P53" t="s">
        <v>1819</v>
      </c>
      <c r="Q53" t="s">
        <v>1753</v>
      </c>
    </row>
    <row r="54" spans="1:18" x14ac:dyDescent="0.25">
      <c r="A54" t="s">
        <v>1678</v>
      </c>
      <c r="B54" t="s">
        <v>1781</v>
      </c>
      <c r="C54" t="s">
        <v>6</v>
      </c>
      <c r="D54" t="s">
        <v>1679</v>
      </c>
      <c r="E54" s="2">
        <v>44720</v>
      </c>
      <c r="F54">
        <v>891</v>
      </c>
      <c r="G54" t="s">
        <v>1746</v>
      </c>
      <c r="H54" t="s">
        <v>1747</v>
      </c>
      <c r="I54" t="b">
        <v>0</v>
      </c>
      <c r="J54" t="s">
        <v>1761</v>
      </c>
      <c r="K54" t="s">
        <v>1749</v>
      </c>
      <c r="L54" t="s">
        <v>1766</v>
      </c>
      <c r="M54">
        <v>5444</v>
      </c>
      <c r="N54" t="b">
        <v>0</v>
      </c>
      <c r="P54" t="s">
        <v>1752</v>
      </c>
      <c r="Q54" t="s">
        <v>1753</v>
      </c>
    </row>
    <row r="55" spans="1:18" x14ac:dyDescent="0.25">
      <c r="A55" t="s">
        <v>454</v>
      </c>
      <c r="B55" t="s">
        <v>1810</v>
      </c>
      <c r="C55" t="s">
        <v>4</v>
      </c>
      <c r="D55" t="s">
        <v>455</v>
      </c>
      <c r="E55" s="2">
        <v>39905</v>
      </c>
      <c r="F55">
        <v>5706</v>
      </c>
      <c r="G55" t="s">
        <v>1746</v>
      </c>
      <c r="H55" t="s">
        <v>1747</v>
      </c>
      <c r="I55" t="b">
        <v>0</v>
      </c>
      <c r="J55" t="s">
        <v>1748</v>
      </c>
      <c r="K55" t="s">
        <v>1809</v>
      </c>
      <c r="L55" t="s">
        <v>1766</v>
      </c>
      <c r="M55">
        <v>5410</v>
      </c>
      <c r="N55" t="b">
        <v>0</v>
      </c>
      <c r="P55" t="s">
        <v>1752</v>
      </c>
      <c r="Q55" t="s">
        <v>1753</v>
      </c>
      <c r="R55" t="s">
        <v>1759</v>
      </c>
    </row>
    <row r="56" spans="1:18" x14ac:dyDescent="0.25">
      <c r="A56" t="s">
        <v>1567</v>
      </c>
      <c r="B56" t="s">
        <v>1810</v>
      </c>
      <c r="C56" t="s">
        <v>4</v>
      </c>
      <c r="D56" t="s">
        <v>1568</v>
      </c>
      <c r="E56" s="2">
        <v>42907</v>
      </c>
      <c r="F56">
        <v>2704</v>
      </c>
      <c r="G56" t="s">
        <v>1746</v>
      </c>
      <c r="H56" t="s">
        <v>1747</v>
      </c>
      <c r="I56" t="b">
        <v>1</v>
      </c>
      <c r="J56" t="s">
        <v>1748</v>
      </c>
      <c r="K56" t="s">
        <v>1770</v>
      </c>
      <c r="L56" t="s">
        <v>1756</v>
      </c>
      <c r="M56">
        <v>5400</v>
      </c>
      <c r="N56" t="b">
        <v>0</v>
      </c>
      <c r="O56">
        <v>1294</v>
      </c>
      <c r="P56" t="s">
        <v>1752</v>
      </c>
      <c r="Q56" t="s">
        <v>1753</v>
      </c>
      <c r="R56" t="s">
        <v>1772</v>
      </c>
    </row>
    <row r="57" spans="1:18" x14ac:dyDescent="0.25">
      <c r="A57" t="s">
        <v>1893</v>
      </c>
      <c r="B57" t="s">
        <v>1894</v>
      </c>
      <c r="C57" t="s">
        <v>4</v>
      </c>
      <c r="D57" t="s">
        <v>1892</v>
      </c>
      <c r="E57" s="2">
        <v>42550</v>
      </c>
      <c r="F57">
        <v>3061</v>
      </c>
      <c r="G57" t="s">
        <v>1746</v>
      </c>
      <c r="H57" t="s">
        <v>1798</v>
      </c>
      <c r="I57" t="b">
        <v>0</v>
      </c>
      <c r="J57" t="s">
        <v>1748</v>
      </c>
      <c r="K57" t="s">
        <v>1774</v>
      </c>
      <c r="L57" t="s">
        <v>1750</v>
      </c>
      <c r="M57">
        <v>5272</v>
      </c>
      <c r="N57" t="b">
        <v>1</v>
      </c>
      <c r="O57">
        <v>310</v>
      </c>
      <c r="P57" t="s">
        <v>1752</v>
      </c>
      <c r="Q57" t="s">
        <v>1753</v>
      </c>
    </row>
    <row r="58" spans="1:18" x14ac:dyDescent="0.25">
      <c r="A58" t="s">
        <v>1895</v>
      </c>
      <c r="B58" t="s">
        <v>1754</v>
      </c>
      <c r="C58" t="s">
        <v>4</v>
      </c>
      <c r="D58" t="s">
        <v>570</v>
      </c>
      <c r="E58" s="2">
        <v>39920</v>
      </c>
      <c r="F58">
        <v>5691</v>
      </c>
      <c r="G58" t="s">
        <v>1746</v>
      </c>
      <c r="H58" t="s">
        <v>1798</v>
      </c>
      <c r="I58" t="b">
        <v>1</v>
      </c>
      <c r="J58" t="s">
        <v>1761</v>
      </c>
      <c r="K58" t="s">
        <v>1749</v>
      </c>
      <c r="L58" t="s">
        <v>1817</v>
      </c>
      <c r="M58">
        <v>5082</v>
      </c>
      <c r="N58" t="b">
        <v>0</v>
      </c>
      <c r="O58">
        <v>492</v>
      </c>
      <c r="P58" t="s">
        <v>1819</v>
      </c>
      <c r="Q58" t="s">
        <v>1753</v>
      </c>
      <c r="R58" t="s">
        <v>1828</v>
      </c>
    </row>
    <row r="59" spans="1:18" x14ac:dyDescent="0.25">
      <c r="A59" t="s">
        <v>1897</v>
      </c>
      <c r="B59" t="s">
        <v>1781</v>
      </c>
      <c r="C59" t="s">
        <v>4</v>
      </c>
      <c r="D59" t="s">
        <v>1500</v>
      </c>
      <c r="E59" s="2">
        <v>43943</v>
      </c>
      <c r="F59">
        <v>1668</v>
      </c>
      <c r="G59" t="s">
        <v>1746</v>
      </c>
      <c r="H59" t="s">
        <v>1747</v>
      </c>
      <c r="I59" t="b">
        <v>0</v>
      </c>
      <c r="J59" t="s">
        <v>1748</v>
      </c>
      <c r="K59" t="s">
        <v>1784</v>
      </c>
      <c r="L59" t="s">
        <v>1775</v>
      </c>
      <c r="M59">
        <v>5075</v>
      </c>
      <c r="N59" t="b">
        <v>0</v>
      </c>
      <c r="P59" t="s">
        <v>1778</v>
      </c>
      <c r="Q59" t="s">
        <v>1779</v>
      </c>
    </row>
    <row r="60" spans="1:18" x14ac:dyDescent="0.25">
      <c r="A60" t="s">
        <v>1900</v>
      </c>
      <c r="B60" t="s">
        <v>1902</v>
      </c>
      <c r="C60" t="s">
        <v>4</v>
      </c>
      <c r="D60" t="s">
        <v>1899</v>
      </c>
      <c r="E60" s="2">
        <v>43244</v>
      </c>
      <c r="F60">
        <v>2367</v>
      </c>
      <c r="G60" t="s">
        <v>1746</v>
      </c>
      <c r="H60" t="s">
        <v>1747</v>
      </c>
      <c r="I60" t="b">
        <v>0</v>
      </c>
      <c r="J60" t="s">
        <v>1748</v>
      </c>
      <c r="K60" t="s">
        <v>1757</v>
      </c>
      <c r="L60" t="s">
        <v>1756</v>
      </c>
      <c r="M60">
        <v>5071</v>
      </c>
      <c r="N60" t="b">
        <v>0</v>
      </c>
      <c r="O60">
        <v>151</v>
      </c>
      <c r="P60" t="s">
        <v>1752</v>
      </c>
      <c r="Q60" t="s">
        <v>1753</v>
      </c>
    </row>
    <row r="61" spans="1:18" x14ac:dyDescent="0.25">
      <c r="A61" t="s">
        <v>1904</v>
      </c>
      <c r="B61" t="s">
        <v>1907</v>
      </c>
      <c r="C61" t="s">
        <v>6</v>
      </c>
      <c r="D61" t="s">
        <v>1903</v>
      </c>
      <c r="E61" s="2">
        <v>39779</v>
      </c>
      <c r="F61">
        <v>5832</v>
      </c>
      <c r="G61" t="s">
        <v>1746</v>
      </c>
      <c r="H61" t="s">
        <v>1747</v>
      </c>
      <c r="I61" t="b">
        <v>0</v>
      </c>
      <c r="J61" t="s">
        <v>1761</v>
      </c>
      <c r="K61" t="s">
        <v>1755</v>
      </c>
      <c r="L61" t="s">
        <v>1766</v>
      </c>
      <c r="M61">
        <v>4998</v>
      </c>
      <c r="N61" t="b">
        <v>0</v>
      </c>
      <c r="P61" t="s">
        <v>1752</v>
      </c>
      <c r="Q61" t="s">
        <v>1753</v>
      </c>
      <c r="R61" t="s">
        <v>1759</v>
      </c>
    </row>
    <row r="62" spans="1:18" x14ac:dyDescent="0.25">
      <c r="A62" t="s">
        <v>1908</v>
      </c>
      <c r="B62" t="s">
        <v>1754</v>
      </c>
      <c r="C62" t="s">
        <v>4</v>
      </c>
      <c r="D62" t="s">
        <v>586</v>
      </c>
      <c r="E62" s="2">
        <v>40081</v>
      </c>
      <c r="F62">
        <v>5530</v>
      </c>
      <c r="G62" t="s">
        <v>1746</v>
      </c>
      <c r="H62" t="s">
        <v>1747</v>
      </c>
      <c r="I62" t="b">
        <v>1</v>
      </c>
      <c r="J62" t="s">
        <v>1748</v>
      </c>
      <c r="K62" t="s">
        <v>1774</v>
      </c>
      <c r="L62" t="s">
        <v>1756</v>
      </c>
      <c r="M62">
        <v>4982</v>
      </c>
      <c r="N62" t="b">
        <v>0</v>
      </c>
      <c r="O62">
        <v>1059</v>
      </c>
      <c r="P62" t="s">
        <v>1752</v>
      </c>
      <c r="Q62" t="s">
        <v>1753</v>
      </c>
    </row>
    <row r="63" spans="1:18" x14ac:dyDescent="0.25">
      <c r="A63" t="s">
        <v>695</v>
      </c>
      <c r="B63" t="s">
        <v>1754</v>
      </c>
      <c r="C63" t="s">
        <v>4</v>
      </c>
      <c r="D63" t="s">
        <v>696</v>
      </c>
      <c r="E63" s="2">
        <v>42562</v>
      </c>
      <c r="F63">
        <v>3049</v>
      </c>
      <c r="G63" t="s">
        <v>1746</v>
      </c>
      <c r="H63" t="s">
        <v>1747</v>
      </c>
      <c r="I63" t="b">
        <v>0</v>
      </c>
      <c r="J63" t="s">
        <v>1748</v>
      </c>
      <c r="K63" t="s">
        <v>1755</v>
      </c>
      <c r="L63" t="s">
        <v>1750</v>
      </c>
      <c r="M63">
        <v>4944</v>
      </c>
      <c r="N63" t="b">
        <v>1</v>
      </c>
      <c r="O63">
        <v>175</v>
      </c>
      <c r="P63" t="s">
        <v>1752</v>
      </c>
      <c r="Q63" t="s">
        <v>1753</v>
      </c>
    </row>
    <row r="64" spans="1:18" x14ac:dyDescent="0.25">
      <c r="A64" t="s">
        <v>1617</v>
      </c>
      <c r="B64" t="s">
        <v>1810</v>
      </c>
      <c r="C64" t="s">
        <v>6</v>
      </c>
      <c r="D64" t="s">
        <v>1618</v>
      </c>
      <c r="E64" s="2">
        <v>39090</v>
      </c>
      <c r="F64">
        <v>6521</v>
      </c>
      <c r="G64" t="s">
        <v>1746</v>
      </c>
      <c r="H64" t="s">
        <v>1747</v>
      </c>
      <c r="I64" t="b">
        <v>0</v>
      </c>
      <c r="J64" t="s">
        <v>1748</v>
      </c>
      <c r="K64" t="s">
        <v>1824</v>
      </c>
      <c r="L64" t="s">
        <v>1766</v>
      </c>
      <c r="M64">
        <v>4860</v>
      </c>
      <c r="N64" t="b">
        <v>0</v>
      </c>
      <c r="P64" t="s">
        <v>1752</v>
      </c>
      <c r="Q64" t="s">
        <v>1753</v>
      </c>
    </row>
    <row r="65" spans="1:18" x14ac:dyDescent="0.25">
      <c r="A65" t="s">
        <v>1676</v>
      </c>
      <c r="B65" t="s">
        <v>1810</v>
      </c>
      <c r="C65" t="s">
        <v>6</v>
      </c>
      <c r="D65" t="s">
        <v>1677</v>
      </c>
      <c r="E65" s="2">
        <v>40263</v>
      </c>
      <c r="F65">
        <v>5348</v>
      </c>
      <c r="G65" t="s">
        <v>1746</v>
      </c>
      <c r="H65" t="s">
        <v>1747</v>
      </c>
      <c r="I65" t="b">
        <v>0</v>
      </c>
      <c r="J65" t="s">
        <v>1748</v>
      </c>
      <c r="K65" t="s">
        <v>1824</v>
      </c>
      <c r="L65" t="s">
        <v>1766</v>
      </c>
      <c r="M65">
        <v>4801</v>
      </c>
      <c r="N65" t="b">
        <v>0</v>
      </c>
      <c r="P65" t="s">
        <v>1752</v>
      </c>
      <c r="Q65" t="s">
        <v>1753</v>
      </c>
    </row>
    <row r="66" spans="1:18" x14ac:dyDescent="0.25">
      <c r="A66" t="s">
        <v>1549</v>
      </c>
      <c r="B66" t="s">
        <v>1810</v>
      </c>
      <c r="C66" t="s">
        <v>4</v>
      </c>
      <c r="D66" t="s">
        <v>1550</v>
      </c>
      <c r="E66" s="2">
        <v>41680</v>
      </c>
      <c r="F66">
        <v>3931</v>
      </c>
      <c r="G66" t="s">
        <v>1746</v>
      </c>
      <c r="H66" t="s">
        <v>1798</v>
      </c>
      <c r="I66" t="b">
        <v>1</v>
      </c>
      <c r="J66" t="s">
        <v>1748</v>
      </c>
      <c r="K66" t="s">
        <v>1776</v>
      </c>
      <c r="L66" t="s">
        <v>1756</v>
      </c>
      <c r="M66">
        <v>4756</v>
      </c>
      <c r="N66" t="b">
        <v>1</v>
      </c>
      <c r="O66">
        <v>2023</v>
      </c>
      <c r="P66" t="s">
        <v>1752</v>
      </c>
      <c r="Q66" t="s">
        <v>1753</v>
      </c>
      <c r="R66" t="s">
        <v>1759</v>
      </c>
    </row>
    <row r="67" spans="1:18" x14ac:dyDescent="0.25">
      <c r="A67" t="s">
        <v>1911</v>
      </c>
      <c r="B67" t="s">
        <v>1763</v>
      </c>
      <c r="C67" t="s">
        <v>4</v>
      </c>
      <c r="D67" t="s">
        <v>1335</v>
      </c>
      <c r="E67" s="2">
        <v>41415</v>
      </c>
      <c r="F67">
        <v>4196</v>
      </c>
      <c r="G67" t="s">
        <v>1746</v>
      </c>
      <c r="H67" t="s">
        <v>1747</v>
      </c>
      <c r="I67" t="b">
        <v>1</v>
      </c>
      <c r="J67" t="s">
        <v>1761</v>
      </c>
      <c r="K67" t="s">
        <v>1771</v>
      </c>
      <c r="L67" t="s">
        <v>1756</v>
      </c>
      <c r="M67">
        <v>4684</v>
      </c>
      <c r="N67" t="b">
        <v>0</v>
      </c>
      <c r="O67">
        <v>2136</v>
      </c>
      <c r="P67" t="s">
        <v>1752</v>
      </c>
      <c r="Q67" t="s">
        <v>1753</v>
      </c>
      <c r="R67" t="s">
        <v>1759</v>
      </c>
    </row>
    <row r="68" spans="1:18" x14ac:dyDescent="0.25">
      <c r="A68" t="s">
        <v>1914</v>
      </c>
      <c r="B68" t="s">
        <v>1915</v>
      </c>
      <c r="C68" t="s">
        <v>4</v>
      </c>
      <c r="D68" t="s">
        <v>88</v>
      </c>
      <c r="E68" s="2">
        <v>43606</v>
      </c>
      <c r="F68">
        <v>2005</v>
      </c>
      <c r="G68" t="s">
        <v>1746</v>
      </c>
      <c r="H68" t="s">
        <v>1747</v>
      </c>
      <c r="I68" t="b">
        <v>0</v>
      </c>
      <c r="J68" t="s">
        <v>1748</v>
      </c>
      <c r="K68" t="s">
        <v>1774</v>
      </c>
      <c r="L68" t="s">
        <v>1775</v>
      </c>
      <c r="M68">
        <v>4633</v>
      </c>
      <c r="N68" t="b">
        <v>0</v>
      </c>
      <c r="P68" t="s">
        <v>1778</v>
      </c>
      <c r="Q68" t="s">
        <v>1779</v>
      </c>
    </row>
    <row r="69" spans="1:18" x14ac:dyDescent="0.25">
      <c r="A69" t="s">
        <v>1916</v>
      </c>
      <c r="B69" t="s">
        <v>1781</v>
      </c>
      <c r="C69" t="s">
        <v>186</v>
      </c>
      <c r="D69" t="s">
        <v>1430</v>
      </c>
      <c r="E69" s="2">
        <v>39196</v>
      </c>
      <c r="F69">
        <v>6415</v>
      </c>
      <c r="G69" t="s">
        <v>1746</v>
      </c>
      <c r="H69" t="s">
        <v>1747</v>
      </c>
      <c r="I69" t="b">
        <v>0</v>
      </c>
      <c r="J69" t="s">
        <v>1748</v>
      </c>
      <c r="K69" t="s">
        <v>1917</v>
      </c>
      <c r="L69" t="s">
        <v>1775</v>
      </c>
      <c r="M69">
        <v>4570</v>
      </c>
      <c r="N69" t="b">
        <v>0</v>
      </c>
      <c r="P69" t="s">
        <v>1778</v>
      </c>
      <c r="Q69" t="s">
        <v>1779</v>
      </c>
    </row>
    <row r="70" spans="1:18" x14ac:dyDescent="0.25">
      <c r="A70" t="s">
        <v>1918</v>
      </c>
      <c r="B70" t="s">
        <v>1754</v>
      </c>
      <c r="C70" t="s">
        <v>4</v>
      </c>
      <c r="D70" t="s">
        <v>522</v>
      </c>
      <c r="E70" s="2">
        <v>37757</v>
      </c>
      <c r="F70">
        <v>7854</v>
      </c>
      <c r="G70" t="s">
        <v>1746</v>
      </c>
      <c r="H70" t="s">
        <v>1747</v>
      </c>
      <c r="I70" t="b">
        <v>1</v>
      </c>
      <c r="J70" t="s">
        <v>1761</v>
      </c>
      <c r="K70" t="s">
        <v>1755</v>
      </c>
      <c r="L70" t="s">
        <v>1817</v>
      </c>
      <c r="M70">
        <v>4566</v>
      </c>
      <c r="N70" t="b">
        <v>0</v>
      </c>
      <c r="O70">
        <v>2802</v>
      </c>
      <c r="P70" t="s">
        <v>1819</v>
      </c>
      <c r="Q70" t="s">
        <v>1753</v>
      </c>
      <c r="R70" t="s">
        <v>1759</v>
      </c>
    </row>
    <row r="71" spans="1:18" x14ac:dyDescent="0.25">
      <c r="A71" t="s">
        <v>1921</v>
      </c>
      <c r="B71" t="s">
        <v>1803</v>
      </c>
      <c r="C71" t="s">
        <v>572</v>
      </c>
      <c r="D71" t="s">
        <v>1920</v>
      </c>
      <c r="E71" s="2">
        <v>38803</v>
      </c>
      <c r="F71">
        <v>6808</v>
      </c>
      <c r="G71" t="s">
        <v>1746</v>
      </c>
      <c r="H71" t="s">
        <v>1747</v>
      </c>
      <c r="I71" t="b">
        <v>0</v>
      </c>
      <c r="J71" t="s">
        <v>1761</v>
      </c>
      <c r="K71" t="s">
        <v>1922</v>
      </c>
      <c r="L71" t="s">
        <v>1750</v>
      </c>
      <c r="M71">
        <v>4507</v>
      </c>
      <c r="N71" t="b">
        <v>0</v>
      </c>
      <c r="O71">
        <v>101</v>
      </c>
      <c r="P71" t="s">
        <v>1752</v>
      </c>
      <c r="Q71" t="s">
        <v>1753</v>
      </c>
    </row>
    <row r="72" spans="1:18" x14ac:dyDescent="0.25">
      <c r="A72" t="s">
        <v>1923</v>
      </c>
      <c r="B72" t="s">
        <v>1810</v>
      </c>
      <c r="C72" t="s">
        <v>4</v>
      </c>
      <c r="D72" t="s">
        <v>1639</v>
      </c>
      <c r="E72" s="2">
        <v>42438</v>
      </c>
      <c r="F72">
        <v>3173</v>
      </c>
      <c r="G72" t="s">
        <v>1746</v>
      </c>
      <c r="H72" t="s">
        <v>1747</v>
      </c>
      <c r="I72" t="b">
        <v>1</v>
      </c>
      <c r="J72" t="s">
        <v>1748</v>
      </c>
      <c r="K72" t="s">
        <v>1776</v>
      </c>
      <c r="L72" t="s">
        <v>1750</v>
      </c>
      <c r="M72">
        <v>4499</v>
      </c>
      <c r="N72" t="b">
        <v>0</v>
      </c>
      <c r="O72">
        <v>153</v>
      </c>
      <c r="P72" t="s">
        <v>1752</v>
      </c>
      <c r="Q72" t="s">
        <v>1753</v>
      </c>
      <c r="R72" t="s">
        <v>1759</v>
      </c>
    </row>
    <row r="73" spans="1:18" x14ac:dyDescent="0.25">
      <c r="A73" t="s">
        <v>1924</v>
      </c>
      <c r="B73" t="s">
        <v>1754</v>
      </c>
      <c r="C73" t="s">
        <v>6</v>
      </c>
      <c r="D73" t="s">
        <v>1140</v>
      </c>
      <c r="E73" s="2">
        <v>40774</v>
      </c>
      <c r="F73">
        <v>4837</v>
      </c>
      <c r="G73" t="s">
        <v>1746</v>
      </c>
      <c r="H73" t="s">
        <v>1747</v>
      </c>
      <c r="I73" t="b">
        <v>0</v>
      </c>
      <c r="J73" t="s">
        <v>1761</v>
      </c>
      <c r="K73" t="s">
        <v>1793</v>
      </c>
      <c r="L73" t="s">
        <v>1750</v>
      </c>
      <c r="M73">
        <v>4490</v>
      </c>
      <c r="N73" t="b">
        <v>1</v>
      </c>
      <c r="O73">
        <v>403</v>
      </c>
      <c r="P73" t="s">
        <v>1752</v>
      </c>
      <c r="Q73" t="s">
        <v>1753</v>
      </c>
      <c r="R73" t="s">
        <v>1759</v>
      </c>
    </row>
    <row r="74" spans="1:18" x14ac:dyDescent="0.25">
      <c r="A74" t="s">
        <v>1471</v>
      </c>
      <c r="B74" t="s">
        <v>1810</v>
      </c>
      <c r="C74" t="s">
        <v>6</v>
      </c>
      <c r="D74" t="s">
        <v>1472</v>
      </c>
      <c r="E74" s="2">
        <v>39092</v>
      </c>
      <c r="F74">
        <v>6519</v>
      </c>
      <c r="G74" t="s">
        <v>1746</v>
      </c>
      <c r="H74" t="s">
        <v>1798</v>
      </c>
      <c r="I74" t="b">
        <v>1</v>
      </c>
      <c r="J74" t="s">
        <v>1748</v>
      </c>
      <c r="K74" t="s">
        <v>1863</v>
      </c>
      <c r="L74" t="s">
        <v>1750</v>
      </c>
      <c r="M74">
        <v>4473</v>
      </c>
      <c r="N74" t="b">
        <v>0</v>
      </c>
      <c r="O74">
        <v>40</v>
      </c>
      <c r="P74" t="s">
        <v>1752</v>
      </c>
      <c r="Q74" t="s">
        <v>1753</v>
      </c>
    </row>
    <row r="75" spans="1:18" x14ac:dyDescent="0.25">
      <c r="A75" t="s">
        <v>1644</v>
      </c>
      <c r="B75" t="s">
        <v>1810</v>
      </c>
      <c r="C75" t="s">
        <v>6</v>
      </c>
      <c r="D75" t="s">
        <v>1645</v>
      </c>
      <c r="E75" s="2">
        <v>39070</v>
      </c>
      <c r="F75">
        <v>6541</v>
      </c>
      <c r="G75" t="s">
        <v>1746</v>
      </c>
      <c r="H75" t="s">
        <v>1747</v>
      </c>
      <c r="I75" t="b">
        <v>0</v>
      </c>
      <c r="J75" t="s">
        <v>1748</v>
      </c>
      <c r="K75" t="s">
        <v>1856</v>
      </c>
      <c r="L75" t="s">
        <v>1766</v>
      </c>
      <c r="M75">
        <v>4453</v>
      </c>
      <c r="N75" t="b">
        <v>0</v>
      </c>
      <c r="P75" t="s">
        <v>1752</v>
      </c>
      <c r="Q75" t="s">
        <v>1753</v>
      </c>
      <c r="R75" t="s">
        <v>1759</v>
      </c>
    </row>
    <row r="76" spans="1:18" x14ac:dyDescent="0.25">
      <c r="A76" t="s">
        <v>1926</v>
      </c>
      <c r="B76" t="s">
        <v>1754</v>
      </c>
      <c r="C76" t="s">
        <v>4</v>
      </c>
      <c r="D76" t="s">
        <v>663</v>
      </c>
      <c r="E76" s="2">
        <v>38674</v>
      </c>
      <c r="F76">
        <v>6937</v>
      </c>
      <c r="G76" t="s">
        <v>1746</v>
      </c>
      <c r="H76" t="s">
        <v>1747</v>
      </c>
      <c r="I76" t="b">
        <v>1</v>
      </c>
      <c r="J76" t="s">
        <v>1761</v>
      </c>
      <c r="K76" t="s">
        <v>1770</v>
      </c>
      <c r="L76" t="s">
        <v>1750</v>
      </c>
      <c r="M76">
        <v>4446</v>
      </c>
      <c r="N76" t="b">
        <v>0</v>
      </c>
      <c r="O76">
        <v>1260</v>
      </c>
      <c r="P76" t="s">
        <v>1752</v>
      </c>
      <c r="Q76" t="s">
        <v>1753</v>
      </c>
      <c r="R76" t="s">
        <v>1772</v>
      </c>
    </row>
    <row r="77" spans="1:18" x14ac:dyDescent="0.25">
      <c r="A77" t="s">
        <v>1928</v>
      </c>
      <c r="B77" t="s">
        <v>1820</v>
      </c>
      <c r="C77" t="s">
        <v>4</v>
      </c>
      <c r="D77" t="s">
        <v>1927</v>
      </c>
      <c r="E77" s="2">
        <v>42838</v>
      </c>
      <c r="F77">
        <v>2773</v>
      </c>
      <c r="G77" t="s">
        <v>1746</v>
      </c>
      <c r="H77" t="s">
        <v>1747</v>
      </c>
      <c r="I77" t="b">
        <v>1</v>
      </c>
      <c r="J77" t="s">
        <v>1748</v>
      </c>
      <c r="K77" t="s">
        <v>1749</v>
      </c>
      <c r="L77" t="s">
        <v>1817</v>
      </c>
      <c r="M77">
        <v>4407</v>
      </c>
      <c r="N77" t="b">
        <v>0</v>
      </c>
      <c r="O77">
        <v>92</v>
      </c>
      <c r="P77" t="s">
        <v>1819</v>
      </c>
      <c r="Q77" t="s">
        <v>1753</v>
      </c>
    </row>
    <row r="78" spans="1:18" x14ac:dyDescent="0.25">
      <c r="A78" t="s">
        <v>1931</v>
      </c>
      <c r="B78" t="s">
        <v>1820</v>
      </c>
      <c r="C78" t="s">
        <v>4</v>
      </c>
      <c r="D78" t="s">
        <v>1930</v>
      </c>
      <c r="E78" s="2">
        <v>42838</v>
      </c>
      <c r="F78">
        <v>2773</v>
      </c>
      <c r="G78" t="s">
        <v>1746</v>
      </c>
      <c r="H78" t="s">
        <v>1747</v>
      </c>
      <c r="I78" t="b">
        <v>1</v>
      </c>
      <c r="J78" t="s">
        <v>1748</v>
      </c>
      <c r="K78" t="s">
        <v>1755</v>
      </c>
      <c r="L78" t="s">
        <v>1817</v>
      </c>
      <c r="M78">
        <v>4406</v>
      </c>
      <c r="N78" t="b">
        <v>0</v>
      </c>
      <c r="O78">
        <v>2686</v>
      </c>
      <c r="P78" t="s">
        <v>1819</v>
      </c>
      <c r="Q78" t="s">
        <v>1753</v>
      </c>
      <c r="R78" t="s">
        <v>1759</v>
      </c>
    </row>
    <row r="79" spans="1:18" x14ac:dyDescent="0.25">
      <c r="A79" t="s">
        <v>1933</v>
      </c>
      <c r="B79" t="s">
        <v>1936</v>
      </c>
      <c r="C79" t="s">
        <v>6</v>
      </c>
      <c r="D79" t="s">
        <v>38</v>
      </c>
      <c r="E79" s="2">
        <v>42685</v>
      </c>
      <c r="F79">
        <v>2926</v>
      </c>
      <c r="G79" t="s">
        <v>1746</v>
      </c>
      <c r="H79" t="s">
        <v>1798</v>
      </c>
      <c r="I79" t="b">
        <v>0</v>
      </c>
      <c r="J79" t="s">
        <v>1748</v>
      </c>
      <c r="K79" t="s">
        <v>1934</v>
      </c>
      <c r="L79" t="s">
        <v>1817</v>
      </c>
      <c r="M79">
        <v>4400</v>
      </c>
      <c r="N79" t="b">
        <v>1</v>
      </c>
      <c r="O79">
        <v>2832</v>
      </c>
      <c r="P79" t="s">
        <v>1819</v>
      </c>
      <c r="Q79" t="s">
        <v>1753</v>
      </c>
      <c r="R79" t="s">
        <v>1759</v>
      </c>
    </row>
    <row r="80" spans="1:18" x14ac:dyDescent="0.25">
      <c r="A80" t="s">
        <v>1937</v>
      </c>
      <c r="B80" t="s">
        <v>1810</v>
      </c>
      <c r="C80" t="s">
        <v>4</v>
      </c>
      <c r="D80" t="s">
        <v>645</v>
      </c>
      <c r="E80" s="2">
        <v>39493</v>
      </c>
      <c r="F80">
        <v>6118</v>
      </c>
      <c r="G80" t="s">
        <v>1746</v>
      </c>
      <c r="H80" t="s">
        <v>1747</v>
      </c>
      <c r="I80" t="b">
        <v>1</v>
      </c>
      <c r="J80" t="s">
        <v>1761</v>
      </c>
      <c r="K80" t="s">
        <v>1856</v>
      </c>
      <c r="L80" t="s">
        <v>1817</v>
      </c>
      <c r="M80">
        <v>4387</v>
      </c>
      <c r="N80" t="b">
        <v>0</v>
      </c>
      <c r="O80">
        <v>638</v>
      </c>
      <c r="P80" t="s">
        <v>1819</v>
      </c>
      <c r="Q80" t="s">
        <v>1753</v>
      </c>
      <c r="R80" t="s">
        <v>1772</v>
      </c>
    </row>
    <row r="81" spans="1:18" x14ac:dyDescent="0.25">
      <c r="A81" t="s">
        <v>658</v>
      </c>
      <c r="B81" t="s">
        <v>1876</v>
      </c>
      <c r="C81" t="s">
        <v>4</v>
      </c>
      <c r="D81" t="s">
        <v>659</v>
      </c>
      <c r="E81" s="2">
        <v>43760</v>
      </c>
      <c r="F81">
        <v>1851</v>
      </c>
      <c r="G81" t="s">
        <v>1746</v>
      </c>
      <c r="H81" t="s">
        <v>1747</v>
      </c>
      <c r="I81" t="b">
        <v>0</v>
      </c>
      <c r="J81" t="s">
        <v>1748</v>
      </c>
      <c r="K81" t="s">
        <v>1770</v>
      </c>
      <c r="L81" t="s">
        <v>1750</v>
      </c>
      <c r="M81">
        <v>4379</v>
      </c>
      <c r="N81" t="b">
        <v>1</v>
      </c>
      <c r="O81">
        <v>1028</v>
      </c>
      <c r="P81" t="s">
        <v>1752</v>
      </c>
      <c r="Q81" t="s">
        <v>1753</v>
      </c>
      <c r="R81" t="s">
        <v>1772</v>
      </c>
    </row>
    <row r="82" spans="1:18" x14ac:dyDescent="0.25">
      <c r="A82" t="s">
        <v>1938</v>
      </c>
      <c r="B82" t="s">
        <v>1810</v>
      </c>
      <c r="C82" t="s">
        <v>4</v>
      </c>
      <c r="D82" t="s">
        <v>1297</v>
      </c>
      <c r="E82" s="2">
        <v>41051</v>
      </c>
      <c r="F82">
        <v>4560</v>
      </c>
      <c r="G82" t="s">
        <v>1746</v>
      </c>
      <c r="H82" t="s">
        <v>1805</v>
      </c>
      <c r="I82" t="b">
        <v>1</v>
      </c>
      <c r="J82" t="s">
        <v>1761</v>
      </c>
      <c r="K82" t="s">
        <v>1863</v>
      </c>
      <c r="L82" t="s">
        <v>1750</v>
      </c>
      <c r="M82">
        <v>4334</v>
      </c>
      <c r="N82" t="b">
        <v>0</v>
      </c>
      <c r="O82">
        <v>102</v>
      </c>
      <c r="P82" t="s">
        <v>1752</v>
      </c>
      <c r="Q82" t="s">
        <v>1753</v>
      </c>
    </row>
    <row r="83" spans="1:18" x14ac:dyDescent="0.25">
      <c r="A83" t="s">
        <v>481</v>
      </c>
      <c r="B83" t="s">
        <v>1876</v>
      </c>
      <c r="C83" t="s">
        <v>4</v>
      </c>
      <c r="D83" t="s">
        <v>482</v>
      </c>
      <c r="E83" s="2">
        <v>42303</v>
      </c>
      <c r="F83">
        <v>3308</v>
      </c>
      <c r="G83" t="s">
        <v>1746</v>
      </c>
      <c r="H83" t="s">
        <v>1747</v>
      </c>
      <c r="I83" t="b">
        <v>0</v>
      </c>
      <c r="J83" t="s">
        <v>1761</v>
      </c>
      <c r="K83" t="s">
        <v>1765</v>
      </c>
      <c r="L83" t="s">
        <v>1766</v>
      </c>
      <c r="M83">
        <v>4311</v>
      </c>
      <c r="N83" t="b">
        <v>0</v>
      </c>
      <c r="P83" t="s">
        <v>1752</v>
      </c>
      <c r="Q83" t="s">
        <v>1753</v>
      </c>
    </row>
    <row r="84" spans="1:18" x14ac:dyDescent="0.25">
      <c r="A84" t="s">
        <v>1940</v>
      </c>
      <c r="B84" t="s">
        <v>1785</v>
      </c>
      <c r="C84" t="s">
        <v>4</v>
      </c>
      <c r="D84" t="s">
        <v>1939</v>
      </c>
      <c r="E84" s="2">
        <v>43186</v>
      </c>
      <c r="F84">
        <v>2425</v>
      </c>
      <c r="G84" t="s">
        <v>1746</v>
      </c>
      <c r="H84" t="s">
        <v>1747</v>
      </c>
      <c r="I84" t="b">
        <v>1</v>
      </c>
      <c r="J84" t="s">
        <v>1748</v>
      </c>
      <c r="K84" t="s">
        <v>1880</v>
      </c>
      <c r="L84" t="s">
        <v>1756</v>
      </c>
      <c r="M84">
        <v>4309</v>
      </c>
      <c r="N84" t="b">
        <v>0</v>
      </c>
      <c r="O84">
        <v>3336</v>
      </c>
      <c r="P84" t="s">
        <v>1752</v>
      </c>
      <c r="Q84" t="s">
        <v>1753</v>
      </c>
      <c r="R84" t="s">
        <v>1759</v>
      </c>
    </row>
    <row r="85" spans="1:18" x14ac:dyDescent="0.25">
      <c r="A85" t="s">
        <v>1942</v>
      </c>
      <c r="B85" t="s">
        <v>1810</v>
      </c>
      <c r="C85" t="s">
        <v>4</v>
      </c>
      <c r="D85" t="s">
        <v>541</v>
      </c>
      <c r="E85" s="2">
        <v>43279</v>
      </c>
      <c r="F85">
        <v>2332</v>
      </c>
      <c r="G85" t="s">
        <v>1746</v>
      </c>
      <c r="H85" t="s">
        <v>1798</v>
      </c>
      <c r="I85" t="b">
        <v>0</v>
      </c>
      <c r="J85" t="s">
        <v>1761</v>
      </c>
      <c r="K85" t="s">
        <v>1824</v>
      </c>
      <c r="L85" t="s">
        <v>1817</v>
      </c>
      <c r="M85">
        <v>4307</v>
      </c>
      <c r="N85" t="b">
        <v>1</v>
      </c>
      <c r="O85">
        <v>2941</v>
      </c>
      <c r="P85" t="s">
        <v>1819</v>
      </c>
      <c r="Q85" t="s">
        <v>1753</v>
      </c>
      <c r="R85" t="s">
        <v>1759</v>
      </c>
    </row>
    <row r="86" spans="1:18" x14ac:dyDescent="0.25">
      <c r="A86" t="s">
        <v>573</v>
      </c>
      <c r="B86" t="s">
        <v>1754</v>
      </c>
      <c r="C86" t="s">
        <v>4</v>
      </c>
      <c r="D86" t="s">
        <v>574</v>
      </c>
      <c r="E86" s="2">
        <v>40204</v>
      </c>
      <c r="F86">
        <v>5407</v>
      </c>
      <c r="G86" t="s">
        <v>1746</v>
      </c>
      <c r="H86" t="s">
        <v>1798</v>
      </c>
      <c r="I86" t="b">
        <v>0</v>
      </c>
      <c r="J86" t="s">
        <v>1748</v>
      </c>
      <c r="K86" t="s">
        <v>1822</v>
      </c>
      <c r="L86" t="s">
        <v>1750</v>
      </c>
      <c r="M86">
        <v>4252</v>
      </c>
      <c r="N86" t="b">
        <v>0</v>
      </c>
      <c r="O86">
        <v>50</v>
      </c>
      <c r="P86" t="s">
        <v>1752</v>
      </c>
      <c r="Q86" t="s">
        <v>1753</v>
      </c>
      <c r="R86" t="s">
        <v>1828</v>
      </c>
    </row>
    <row r="87" spans="1:18" x14ac:dyDescent="0.25">
      <c r="A87" t="s">
        <v>1944</v>
      </c>
      <c r="B87" t="s">
        <v>1945</v>
      </c>
      <c r="C87" t="s">
        <v>6</v>
      </c>
      <c r="D87" t="s">
        <v>85</v>
      </c>
      <c r="E87" s="2">
        <v>39980</v>
      </c>
      <c r="F87">
        <v>5631</v>
      </c>
      <c r="G87" t="s">
        <v>1746</v>
      </c>
      <c r="H87" t="s">
        <v>1798</v>
      </c>
      <c r="I87" t="b">
        <v>0</v>
      </c>
      <c r="J87" t="s">
        <v>1748</v>
      </c>
      <c r="K87" t="s">
        <v>1800</v>
      </c>
      <c r="L87" t="s">
        <v>1766</v>
      </c>
      <c r="M87">
        <v>4245</v>
      </c>
      <c r="N87" t="b">
        <v>0</v>
      </c>
      <c r="P87" t="s">
        <v>1752</v>
      </c>
      <c r="Q87" t="s">
        <v>1753</v>
      </c>
      <c r="R87" t="s">
        <v>1759</v>
      </c>
    </row>
    <row r="88" spans="1:18" x14ac:dyDescent="0.25">
      <c r="A88" t="s">
        <v>1947</v>
      </c>
      <c r="B88" t="s">
        <v>1948</v>
      </c>
      <c r="C88" t="s">
        <v>6</v>
      </c>
      <c r="D88" t="s">
        <v>1946</v>
      </c>
      <c r="E88" s="2">
        <v>40361</v>
      </c>
      <c r="F88">
        <v>5250</v>
      </c>
      <c r="G88" t="s">
        <v>1746</v>
      </c>
      <c r="H88" t="s">
        <v>1747</v>
      </c>
      <c r="I88" t="b">
        <v>0</v>
      </c>
      <c r="J88" t="s">
        <v>1748</v>
      </c>
      <c r="K88" t="s">
        <v>1824</v>
      </c>
      <c r="L88" t="s">
        <v>1766</v>
      </c>
      <c r="M88">
        <v>4232</v>
      </c>
      <c r="N88" t="b">
        <v>0</v>
      </c>
      <c r="P88" t="s">
        <v>1752</v>
      </c>
      <c r="Q88" t="s">
        <v>1753</v>
      </c>
    </row>
    <row r="89" spans="1:18" x14ac:dyDescent="0.25">
      <c r="A89" t="s">
        <v>1949</v>
      </c>
      <c r="B89" t="s">
        <v>1754</v>
      </c>
      <c r="C89" t="s">
        <v>4</v>
      </c>
      <c r="D89" t="s">
        <v>531</v>
      </c>
      <c r="E89" s="2">
        <v>39059</v>
      </c>
      <c r="F89">
        <v>6552</v>
      </c>
      <c r="G89" t="s">
        <v>1746</v>
      </c>
      <c r="H89" t="s">
        <v>1747</v>
      </c>
      <c r="I89" t="b">
        <v>1</v>
      </c>
      <c r="J89" t="s">
        <v>1761</v>
      </c>
      <c r="K89" t="s">
        <v>1749</v>
      </c>
      <c r="L89" t="s">
        <v>1817</v>
      </c>
      <c r="M89">
        <v>4226</v>
      </c>
      <c r="N89" t="b">
        <v>0</v>
      </c>
      <c r="O89">
        <v>12</v>
      </c>
      <c r="P89" t="s">
        <v>1819</v>
      </c>
      <c r="Q89" t="s">
        <v>1753</v>
      </c>
    </row>
    <row r="90" spans="1:18" x14ac:dyDescent="0.25">
      <c r="A90" t="s">
        <v>1951</v>
      </c>
      <c r="B90" t="s">
        <v>1768</v>
      </c>
      <c r="C90" t="s">
        <v>4</v>
      </c>
      <c r="D90" t="s">
        <v>1067</v>
      </c>
      <c r="E90" s="2">
        <v>43801</v>
      </c>
      <c r="F90">
        <v>1810</v>
      </c>
      <c r="G90" t="s">
        <v>1746</v>
      </c>
      <c r="H90" t="s">
        <v>1747</v>
      </c>
      <c r="I90" t="b">
        <v>0</v>
      </c>
      <c r="J90" t="s">
        <v>1748</v>
      </c>
      <c r="K90" t="s">
        <v>1812</v>
      </c>
      <c r="L90" t="s">
        <v>1750</v>
      </c>
      <c r="M90">
        <v>4134</v>
      </c>
      <c r="N90" t="b">
        <v>1</v>
      </c>
      <c r="O90">
        <v>209</v>
      </c>
      <c r="P90" t="s">
        <v>1752</v>
      </c>
      <c r="Q90" t="s">
        <v>1753</v>
      </c>
    </row>
    <row r="91" spans="1:18" x14ac:dyDescent="0.25">
      <c r="A91" t="s">
        <v>1581</v>
      </c>
      <c r="B91" t="s">
        <v>1810</v>
      </c>
      <c r="C91" t="s">
        <v>6</v>
      </c>
      <c r="D91" t="s">
        <v>1582</v>
      </c>
      <c r="E91" s="2">
        <v>39092</v>
      </c>
      <c r="F91">
        <v>6519</v>
      </c>
      <c r="G91" t="s">
        <v>1746</v>
      </c>
      <c r="H91" t="s">
        <v>1747</v>
      </c>
      <c r="I91" t="b">
        <v>1</v>
      </c>
      <c r="J91" t="s">
        <v>1748</v>
      </c>
      <c r="K91" t="s">
        <v>1774</v>
      </c>
      <c r="L91" t="s">
        <v>1750</v>
      </c>
      <c r="M91">
        <v>4129</v>
      </c>
      <c r="N91" t="b">
        <v>0</v>
      </c>
      <c r="O91">
        <v>413</v>
      </c>
      <c r="P91" t="s">
        <v>1752</v>
      </c>
      <c r="Q91" t="s">
        <v>1753</v>
      </c>
      <c r="R91" t="s">
        <v>1828</v>
      </c>
    </row>
    <row r="92" spans="1:18" x14ac:dyDescent="0.25">
      <c r="A92" t="s">
        <v>1952</v>
      </c>
      <c r="B92" t="s">
        <v>1810</v>
      </c>
      <c r="C92" t="s">
        <v>4</v>
      </c>
      <c r="D92" t="s">
        <v>611</v>
      </c>
      <c r="E92" s="2">
        <v>41915</v>
      </c>
      <c r="F92">
        <v>3696</v>
      </c>
      <c r="G92" t="s">
        <v>1746</v>
      </c>
      <c r="H92" t="s">
        <v>1747</v>
      </c>
      <c r="I92" t="b">
        <v>1</v>
      </c>
      <c r="J92" t="s">
        <v>1748</v>
      </c>
      <c r="K92" t="s">
        <v>1776</v>
      </c>
      <c r="L92" t="s">
        <v>1756</v>
      </c>
      <c r="M92">
        <v>4070</v>
      </c>
      <c r="N92" t="b">
        <v>0</v>
      </c>
      <c r="O92">
        <v>295</v>
      </c>
      <c r="P92" t="s">
        <v>1752</v>
      </c>
      <c r="Q92" t="s">
        <v>1753</v>
      </c>
      <c r="R92" t="s">
        <v>1759</v>
      </c>
    </row>
    <row r="93" spans="1:18" x14ac:dyDescent="0.25">
      <c r="A93" t="s">
        <v>1953</v>
      </c>
      <c r="B93" t="s">
        <v>1876</v>
      </c>
      <c r="C93" t="s">
        <v>4</v>
      </c>
      <c r="D93" t="s">
        <v>702</v>
      </c>
      <c r="E93" s="2">
        <v>43571</v>
      </c>
      <c r="F93">
        <v>2040</v>
      </c>
      <c r="G93" t="s">
        <v>1746</v>
      </c>
      <c r="H93" t="s">
        <v>1747</v>
      </c>
      <c r="I93" t="b">
        <v>0</v>
      </c>
      <c r="J93" t="s">
        <v>1748</v>
      </c>
      <c r="K93" t="s">
        <v>1755</v>
      </c>
      <c r="L93" t="s">
        <v>1756</v>
      </c>
      <c r="M93">
        <v>4041</v>
      </c>
      <c r="N93" t="b">
        <v>1</v>
      </c>
      <c r="O93">
        <v>1239</v>
      </c>
      <c r="P93" t="s">
        <v>1752</v>
      </c>
      <c r="Q93" t="s">
        <v>1753</v>
      </c>
      <c r="R93" t="s">
        <v>1759</v>
      </c>
    </row>
    <row r="94" spans="1:18" x14ac:dyDescent="0.25">
      <c r="A94" t="s">
        <v>1954</v>
      </c>
      <c r="B94" t="s">
        <v>1814</v>
      </c>
      <c r="C94" t="s">
        <v>4</v>
      </c>
      <c r="D94" t="s">
        <v>1065</v>
      </c>
      <c r="E94" s="2">
        <v>41820</v>
      </c>
      <c r="F94">
        <v>3791</v>
      </c>
      <c r="G94" t="s">
        <v>1746</v>
      </c>
      <c r="H94" t="s">
        <v>1747</v>
      </c>
      <c r="I94" t="b">
        <v>1</v>
      </c>
      <c r="J94" t="s">
        <v>1748</v>
      </c>
      <c r="K94" t="s">
        <v>1853</v>
      </c>
      <c r="L94" t="s">
        <v>1756</v>
      </c>
      <c r="M94">
        <v>3983</v>
      </c>
      <c r="N94" t="b">
        <v>0</v>
      </c>
      <c r="O94">
        <v>1802</v>
      </c>
      <c r="P94" t="s">
        <v>1752</v>
      </c>
      <c r="Q94" t="s">
        <v>1753</v>
      </c>
    </row>
    <row r="95" spans="1:18" x14ac:dyDescent="0.25">
      <c r="A95" t="s">
        <v>1956</v>
      </c>
      <c r="B95" t="s">
        <v>1957</v>
      </c>
      <c r="C95" t="s">
        <v>4</v>
      </c>
      <c r="D95" t="s">
        <v>1955</v>
      </c>
      <c r="E95" s="2">
        <v>45308</v>
      </c>
      <c r="F95">
        <v>303</v>
      </c>
      <c r="G95" t="s">
        <v>1746</v>
      </c>
      <c r="H95" t="s">
        <v>1798</v>
      </c>
      <c r="I95" t="b">
        <v>0</v>
      </c>
      <c r="J95" t="s">
        <v>1748</v>
      </c>
      <c r="K95" t="s">
        <v>1770</v>
      </c>
      <c r="L95" t="s">
        <v>1750</v>
      </c>
      <c r="M95">
        <v>3974</v>
      </c>
      <c r="N95" t="b">
        <v>1</v>
      </c>
      <c r="O95">
        <v>326</v>
      </c>
      <c r="P95" t="s">
        <v>1752</v>
      </c>
      <c r="Q95" t="s">
        <v>1753</v>
      </c>
      <c r="R95" t="s">
        <v>1759</v>
      </c>
    </row>
    <row r="96" spans="1:18" x14ac:dyDescent="0.25">
      <c r="A96" t="s">
        <v>1958</v>
      </c>
      <c r="B96" t="s">
        <v>1810</v>
      </c>
      <c r="C96" t="s">
        <v>6</v>
      </c>
      <c r="D96" t="s">
        <v>1482</v>
      </c>
      <c r="E96" s="2">
        <v>39689</v>
      </c>
      <c r="F96">
        <v>5922</v>
      </c>
      <c r="G96" t="s">
        <v>1746</v>
      </c>
      <c r="H96" t="s">
        <v>1798</v>
      </c>
      <c r="I96" t="b">
        <v>1</v>
      </c>
      <c r="J96" t="s">
        <v>1748</v>
      </c>
      <c r="K96" t="s">
        <v>1863</v>
      </c>
      <c r="L96" t="s">
        <v>1750</v>
      </c>
      <c r="M96">
        <v>3951</v>
      </c>
      <c r="N96" t="b">
        <v>0</v>
      </c>
      <c r="O96">
        <v>50</v>
      </c>
      <c r="P96" t="s">
        <v>1752</v>
      </c>
      <c r="Q96" t="s">
        <v>1753</v>
      </c>
      <c r="R96" t="s">
        <v>1828</v>
      </c>
    </row>
    <row r="97" spans="1:18" x14ac:dyDescent="0.25">
      <c r="A97" t="s">
        <v>1960</v>
      </c>
      <c r="B97" t="s">
        <v>1820</v>
      </c>
      <c r="C97" t="s">
        <v>4</v>
      </c>
      <c r="D97" t="s">
        <v>1959</v>
      </c>
      <c r="E97" s="2">
        <v>42838</v>
      </c>
      <c r="F97">
        <v>2773</v>
      </c>
      <c r="G97" t="s">
        <v>1746</v>
      </c>
      <c r="H97" t="s">
        <v>1747</v>
      </c>
      <c r="I97" t="b">
        <v>1</v>
      </c>
      <c r="J97" t="s">
        <v>1748</v>
      </c>
      <c r="K97" t="s">
        <v>1776</v>
      </c>
      <c r="L97" t="s">
        <v>1817</v>
      </c>
      <c r="M97">
        <v>3900</v>
      </c>
      <c r="N97" t="b">
        <v>0</v>
      </c>
      <c r="O97">
        <v>8907</v>
      </c>
      <c r="P97" t="s">
        <v>1819</v>
      </c>
      <c r="Q97" t="s">
        <v>1753</v>
      </c>
      <c r="R97" t="s">
        <v>1759</v>
      </c>
    </row>
    <row r="98" spans="1:18" x14ac:dyDescent="0.25">
      <c r="A98" t="s">
        <v>1963</v>
      </c>
      <c r="B98" t="s">
        <v>1785</v>
      </c>
      <c r="C98" t="s">
        <v>4</v>
      </c>
      <c r="D98" t="s">
        <v>1962</v>
      </c>
      <c r="E98" s="2">
        <v>43536</v>
      </c>
      <c r="F98">
        <v>2075</v>
      </c>
      <c r="G98" t="s">
        <v>1746</v>
      </c>
      <c r="H98" t="s">
        <v>1798</v>
      </c>
      <c r="I98" t="b">
        <v>0</v>
      </c>
      <c r="J98" t="s">
        <v>1761</v>
      </c>
      <c r="K98" t="s">
        <v>1774</v>
      </c>
      <c r="L98" t="s">
        <v>1756</v>
      </c>
      <c r="M98">
        <v>3888</v>
      </c>
      <c r="N98" t="b">
        <v>1</v>
      </c>
      <c r="O98">
        <v>384</v>
      </c>
      <c r="P98" t="s">
        <v>1752</v>
      </c>
      <c r="Q98" t="s">
        <v>1753</v>
      </c>
      <c r="R98" t="s">
        <v>1828</v>
      </c>
    </row>
    <row r="99" spans="1:18" x14ac:dyDescent="0.25">
      <c r="A99" t="s">
        <v>1964</v>
      </c>
      <c r="B99" t="s">
        <v>1860</v>
      </c>
      <c r="C99" t="s">
        <v>4</v>
      </c>
      <c r="D99" t="s">
        <v>1113</v>
      </c>
      <c r="E99" s="2">
        <v>43573</v>
      </c>
      <c r="F99">
        <v>2038</v>
      </c>
      <c r="G99" t="s">
        <v>1746</v>
      </c>
      <c r="H99" t="s">
        <v>1747</v>
      </c>
      <c r="I99" t="b">
        <v>0</v>
      </c>
      <c r="J99" t="s">
        <v>1748</v>
      </c>
      <c r="K99" t="s">
        <v>1822</v>
      </c>
      <c r="L99" t="s">
        <v>1750</v>
      </c>
      <c r="M99">
        <v>3806</v>
      </c>
      <c r="N99" t="b">
        <v>1</v>
      </c>
      <c r="O99">
        <v>316</v>
      </c>
      <c r="P99" t="s">
        <v>1752</v>
      </c>
      <c r="Q99" t="s">
        <v>1753</v>
      </c>
    </row>
    <row r="100" spans="1:18" x14ac:dyDescent="0.25">
      <c r="A100" t="s">
        <v>1965</v>
      </c>
      <c r="B100" t="s">
        <v>1876</v>
      </c>
      <c r="C100" t="s">
        <v>4</v>
      </c>
      <c r="D100" t="s">
        <v>1468</v>
      </c>
      <c r="E100" s="2">
        <v>43494</v>
      </c>
      <c r="F100">
        <v>2117</v>
      </c>
      <c r="G100" t="s">
        <v>1746</v>
      </c>
      <c r="H100" t="s">
        <v>1747</v>
      </c>
      <c r="I100" t="b">
        <v>1</v>
      </c>
      <c r="J100" t="s">
        <v>1748</v>
      </c>
      <c r="K100" t="s">
        <v>1880</v>
      </c>
      <c r="L100" t="s">
        <v>1750</v>
      </c>
      <c r="M100">
        <v>3766</v>
      </c>
      <c r="N100" t="b">
        <v>1</v>
      </c>
      <c r="O100">
        <v>87</v>
      </c>
      <c r="P100" t="s">
        <v>1752</v>
      </c>
      <c r="Q100" t="s">
        <v>1753</v>
      </c>
      <c r="R100" t="s">
        <v>1759</v>
      </c>
    </row>
    <row r="101" spans="1:18" x14ac:dyDescent="0.25">
      <c r="A101" t="s">
        <v>1966</v>
      </c>
      <c r="B101" t="s">
        <v>1754</v>
      </c>
      <c r="C101" t="s">
        <v>4</v>
      </c>
      <c r="D101" t="s">
        <v>575</v>
      </c>
      <c r="E101" s="2">
        <v>36619</v>
      </c>
      <c r="F101">
        <v>8992</v>
      </c>
      <c r="G101" t="s">
        <v>1746</v>
      </c>
      <c r="H101" t="s">
        <v>1798</v>
      </c>
      <c r="I101" t="b">
        <v>1</v>
      </c>
      <c r="J101" t="s">
        <v>1761</v>
      </c>
      <c r="K101" t="s">
        <v>1822</v>
      </c>
      <c r="L101" t="s">
        <v>1750</v>
      </c>
      <c r="M101">
        <v>3722</v>
      </c>
      <c r="N101" t="b">
        <v>0</v>
      </c>
      <c r="O101">
        <v>50</v>
      </c>
      <c r="P101" t="s">
        <v>1752</v>
      </c>
      <c r="Q101" t="s">
        <v>1753</v>
      </c>
      <c r="R101" t="s">
        <v>1828</v>
      </c>
    </row>
    <row r="102" spans="1:18" x14ac:dyDescent="0.25">
      <c r="A102" t="s">
        <v>1969</v>
      </c>
      <c r="B102" t="s">
        <v>1820</v>
      </c>
      <c r="C102" t="s">
        <v>4</v>
      </c>
      <c r="D102" t="s">
        <v>1968</v>
      </c>
      <c r="E102" s="2">
        <v>43060</v>
      </c>
      <c r="F102">
        <v>2551</v>
      </c>
      <c r="G102" t="s">
        <v>1746</v>
      </c>
      <c r="H102" t="s">
        <v>1747</v>
      </c>
      <c r="I102" t="b">
        <v>1</v>
      </c>
      <c r="J102" t="s">
        <v>1748</v>
      </c>
      <c r="K102" t="s">
        <v>1822</v>
      </c>
      <c r="L102" t="s">
        <v>1817</v>
      </c>
      <c r="M102">
        <v>3711</v>
      </c>
      <c r="N102" t="b">
        <v>0</v>
      </c>
      <c r="O102">
        <v>15637</v>
      </c>
      <c r="P102" t="s">
        <v>1819</v>
      </c>
      <c r="Q102" t="s">
        <v>1753</v>
      </c>
      <c r="R102" t="s">
        <v>1759</v>
      </c>
    </row>
    <row r="103" spans="1:18" x14ac:dyDescent="0.25">
      <c r="A103" t="s">
        <v>1971</v>
      </c>
      <c r="B103" t="s">
        <v>1820</v>
      </c>
      <c r="C103" t="s">
        <v>4</v>
      </c>
      <c r="D103" t="s">
        <v>1970</v>
      </c>
      <c r="E103" s="2">
        <v>42838</v>
      </c>
      <c r="F103">
        <v>2773</v>
      </c>
      <c r="G103" t="s">
        <v>1746</v>
      </c>
      <c r="H103" t="s">
        <v>1747</v>
      </c>
      <c r="I103" t="b">
        <v>1</v>
      </c>
      <c r="J103" t="s">
        <v>1748</v>
      </c>
      <c r="K103" t="s">
        <v>1755</v>
      </c>
      <c r="L103" t="s">
        <v>1817</v>
      </c>
      <c r="M103">
        <v>3698</v>
      </c>
      <c r="N103" t="b">
        <v>0</v>
      </c>
      <c r="O103">
        <v>2802</v>
      </c>
      <c r="P103" t="s">
        <v>1819</v>
      </c>
      <c r="Q103" t="s">
        <v>1753</v>
      </c>
      <c r="R103" t="s">
        <v>1759</v>
      </c>
    </row>
    <row r="104" spans="1:18" x14ac:dyDescent="0.25">
      <c r="A104" t="s">
        <v>1972</v>
      </c>
      <c r="B104" t="s">
        <v>1814</v>
      </c>
      <c r="C104" t="s">
        <v>4</v>
      </c>
      <c r="D104" t="s">
        <v>1066</v>
      </c>
      <c r="E104" s="2">
        <v>40938</v>
      </c>
      <c r="F104">
        <v>4673</v>
      </c>
      <c r="G104" t="s">
        <v>1746</v>
      </c>
      <c r="H104" t="s">
        <v>1747</v>
      </c>
      <c r="I104" t="b">
        <v>1</v>
      </c>
      <c r="J104" t="s">
        <v>1748</v>
      </c>
      <c r="K104" t="s">
        <v>1853</v>
      </c>
      <c r="L104" t="s">
        <v>1750</v>
      </c>
      <c r="M104">
        <v>3686</v>
      </c>
      <c r="N104" t="b">
        <v>0</v>
      </c>
      <c r="O104">
        <v>402</v>
      </c>
      <c r="P104" t="s">
        <v>1752</v>
      </c>
      <c r="Q104" t="s">
        <v>1753</v>
      </c>
    </row>
    <row r="105" spans="1:18" x14ac:dyDescent="0.25">
      <c r="A105" t="s">
        <v>1973</v>
      </c>
      <c r="B105" t="s">
        <v>1810</v>
      </c>
      <c r="C105" t="s">
        <v>4</v>
      </c>
      <c r="D105" t="s">
        <v>538</v>
      </c>
      <c r="E105" s="2">
        <v>40081</v>
      </c>
      <c r="F105">
        <v>5530</v>
      </c>
      <c r="G105" t="s">
        <v>1746</v>
      </c>
      <c r="H105" t="s">
        <v>1798</v>
      </c>
      <c r="I105" t="b">
        <v>1</v>
      </c>
      <c r="J105" t="s">
        <v>1761</v>
      </c>
      <c r="K105" t="s">
        <v>1755</v>
      </c>
      <c r="L105" t="s">
        <v>1817</v>
      </c>
      <c r="M105">
        <v>3682</v>
      </c>
      <c r="N105" t="b">
        <v>0</v>
      </c>
      <c r="O105">
        <v>2268</v>
      </c>
      <c r="P105" t="s">
        <v>1819</v>
      </c>
      <c r="Q105" t="s">
        <v>1753</v>
      </c>
      <c r="R105" t="s">
        <v>1759</v>
      </c>
    </row>
    <row r="106" spans="1:18" x14ac:dyDescent="0.25">
      <c r="A106" t="s">
        <v>1975</v>
      </c>
      <c r="B106" t="s">
        <v>1810</v>
      </c>
      <c r="C106" t="s">
        <v>4</v>
      </c>
      <c r="D106" t="s">
        <v>1080</v>
      </c>
      <c r="E106" s="2">
        <v>40830</v>
      </c>
      <c r="F106">
        <v>4781</v>
      </c>
      <c r="G106" t="s">
        <v>1746</v>
      </c>
      <c r="H106" t="s">
        <v>1747</v>
      </c>
      <c r="I106" t="b">
        <v>1</v>
      </c>
      <c r="J106" t="s">
        <v>1761</v>
      </c>
      <c r="K106" t="s">
        <v>1880</v>
      </c>
      <c r="L106" t="s">
        <v>1750</v>
      </c>
      <c r="M106">
        <v>3676</v>
      </c>
      <c r="N106" t="b">
        <v>0</v>
      </c>
      <c r="O106">
        <v>133</v>
      </c>
      <c r="P106" t="s">
        <v>1752</v>
      </c>
      <c r="Q106" t="s">
        <v>1753</v>
      </c>
    </row>
    <row r="107" spans="1:18" x14ac:dyDescent="0.25">
      <c r="A107" t="s">
        <v>1977</v>
      </c>
      <c r="B107" t="s">
        <v>1978</v>
      </c>
      <c r="C107" t="s">
        <v>4</v>
      </c>
      <c r="D107" t="s">
        <v>1976</v>
      </c>
      <c r="E107" s="2">
        <v>39967</v>
      </c>
      <c r="F107">
        <v>5644</v>
      </c>
      <c r="G107" t="s">
        <v>1746</v>
      </c>
      <c r="H107" t="s">
        <v>1747</v>
      </c>
      <c r="I107" t="b">
        <v>1</v>
      </c>
      <c r="J107" t="s">
        <v>1748</v>
      </c>
      <c r="K107" t="s">
        <v>1749</v>
      </c>
      <c r="L107" t="s">
        <v>1817</v>
      </c>
      <c r="M107">
        <v>3589</v>
      </c>
      <c r="N107" t="b">
        <v>0</v>
      </c>
      <c r="O107">
        <v>13</v>
      </c>
      <c r="P107" t="s">
        <v>1819</v>
      </c>
      <c r="Q107" t="s">
        <v>1753</v>
      </c>
    </row>
    <row r="108" spans="1:18" x14ac:dyDescent="0.25">
      <c r="A108" t="s">
        <v>1979</v>
      </c>
      <c r="B108" t="s">
        <v>1810</v>
      </c>
      <c r="C108" t="s">
        <v>6</v>
      </c>
      <c r="D108" t="s">
        <v>1483</v>
      </c>
      <c r="E108" s="2">
        <v>39086</v>
      </c>
      <c r="F108">
        <v>6525</v>
      </c>
      <c r="G108" t="s">
        <v>1746</v>
      </c>
      <c r="H108" t="s">
        <v>1798</v>
      </c>
      <c r="I108" t="b">
        <v>1</v>
      </c>
      <c r="J108" t="s">
        <v>1761</v>
      </c>
      <c r="K108" t="s">
        <v>1863</v>
      </c>
      <c r="L108" t="s">
        <v>1750</v>
      </c>
      <c r="M108">
        <v>3580</v>
      </c>
      <c r="N108" t="b">
        <v>0</v>
      </c>
      <c r="O108">
        <v>50</v>
      </c>
      <c r="P108" t="s">
        <v>1752</v>
      </c>
      <c r="Q108" t="s">
        <v>1753</v>
      </c>
      <c r="R108" t="s">
        <v>1828</v>
      </c>
    </row>
    <row r="109" spans="1:18" x14ac:dyDescent="0.25">
      <c r="A109" t="s">
        <v>1980</v>
      </c>
      <c r="B109" t="s">
        <v>1810</v>
      </c>
      <c r="C109" t="s">
        <v>4</v>
      </c>
      <c r="D109" t="s">
        <v>613</v>
      </c>
      <c r="E109" s="2">
        <v>41915</v>
      </c>
      <c r="F109">
        <v>3696</v>
      </c>
      <c r="G109" t="s">
        <v>1746</v>
      </c>
      <c r="H109" t="s">
        <v>1747</v>
      </c>
      <c r="I109" t="b">
        <v>1</v>
      </c>
      <c r="J109" t="s">
        <v>1748</v>
      </c>
      <c r="K109" t="s">
        <v>1776</v>
      </c>
      <c r="L109" t="s">
        <v>1756</v>
      </c>
      <c r="M109">
        <v>3568</v>
      </c>
      <c r="N109" t="b">
        <v>0</v>
      </c>
      <c r="O109">
        <v>394</v>
      </c>
      <c r="P109" t="s">
        <v>1752</v>
      </c>
      <c r="Q109" t="s">
        <v>1753</v>
      </c>
      <c r="R109" t="s">
        <v>1759</v>
      </c>
    </row>
    <row r="110" spans="1:18" x14ac:dyDescent="0.25">
      <c r="A110" t="s">
        <v>1982</v>
      </c>
      <c r="B110" t="s">
        <v>1983</v>
      </c>
      <c r="C110" t="s">
        <v>11</v>
      </c>
      <c r="D110" t="s">
        <v>1981</v>
      </c>
      <c r="E110" s="2">
        <v>41533</v>
      </c>
      <c r="F110">
        <v>4078</v>
      </c>
      <c r="G110" t="s">
        <v>1746</v>
      </c>
      <c r="H110" t="s">
        <v>1747</v>
      </c>
      <c r="I110" t="b">
        <v>0</v>
      </c>
      <c r="J110" t="s">
        <v>1748</v>
      </c>
      <c r="K110" t="s">
        <v>1774</v>
      </c>
      <c r="L110" t="s">
        <v>1766</v>
      </c>
      <c r="M110">
        <v>3541</v>
      </c>
      <c r="N110" t="b">
        <v>0</v>
      </c>
      <c r="P110" t="s">
        <v>1752</v>
      </c>
      <c r="Q110" t="s">
        <v>1753</v>
      </c>
    </row>
    <row r="111" spans="1:18" x14ac:dyDescent="0.25">
      <c r="A111" t="s">
        <v>1511</v>
      </c>
      <c r="B111" t="s">
        <v>1810</v>
      </c>
      <c r="C111" t="s">
        <v>6</v>
      </c>
      <c r="D111" t="s">
        <v>1512</v>
      </c>
      <c r="E111" s="2">
        <v>40232</v>
      </c>
      <c r="F111">
        <v>5379</v>
      </c>
      <c r="G111" t="s">
        <v>1746</v>
      </c>
      <c r="H111" t="s">
        <v>1798</v>
      </c>
      <c r="I111" t="b">
        <v>1</v>
      </c>
      <c r="J111" t="s">
        <v>1748</v>
      </c>
      <c r="K111" t="s">
        <v>1774</v>
      </c>
      <c r="L111" t="s">
        <v>1756</v>
      </c>
      <c r="M111">
        <v>3525</v>
      </c>
      <c r="N111" t="b">
        <v>0</v>
      </c>
      <c r="O111">
        <v>3771</v>
      </c>
      <c r="P111" t="s">
        <v>1819</v>
      </c>
      <c r="Q111" t="s">
        <v>1753</v>
      </c>
      <c r="R111" t="s">
        <v>1759</v>
      </c>
    </row>
    <row r="112" spans="1:18" x14ac:dyDescent="0.25">
      <c r="A112" t="s">
        <v>1984</v>
      </c>
      <c r="B112" t="s">
        <v>1754</v>
      </c>
      <c r="C112" t="s">
        <v>4</v>
      </c>
      <c r="D112" t="s">
        <v>669</v>
      </c>
      <c r="E112" s="2">
        <v>40599</v>
      </c>
      <c r="F112">
        <v>5012</v>
      </c>
      <c r="G112" t="s">
        <v>1746</v>
      </c>
      <c r="H112" t="s">
        <v>1798</v>
      </c>
      <c r="I112" t="b">
        <v>0</v>
      </c>
      <c r="J112" t="s">
        <v>1748</v>
      </c>
      <c r="K112" t="s">
        <v>1755</v>
      </c>
      <c r="L112" t="s">
        <v>1750</v>
      </c>
      <c r="M112">
        <v>3523</v>
      </c>
      <c r="N112" t="b">
        <v>1</v>
      </c>
      <c r="O112">
        <v>114</v>
      </c>
      <c r="P112" t="s">
        <v>1752</v>
      </c>
      <c r="Q112" t="s">
        <v>1753</v>
      </c>
      <c r="R112" t="s">
        <v>1828</v>
      </c>
    </row>
    <row r="113" spans="1:18" x14ac:dyDescent="0.25">
      <c r="A113" t="s">
        <v>579</v>
      </c>
      <c r="B113" t="s">
        <v>1754</v>
      </c>
      <c r="C113" t="s">
        <v>4</v>
      </c>
      <c r="D113" t="s">
        <v>580</v>
      </c>
      <c r="E113" s="2">
        <v>40190</v>
      </c>
      <c r="F113">
        <v>5421</v>
      </c>
      <c r="G113" t="s">
        <v>1746</v>
      </c>
      <c r="H113" t="s">
        <v>1798</v>
      </c>
      <c r="I113" t="b">
        <v>1</v>
      </c>
      <c r="J113" t="s">
        <v>1748</v>
      </c>
      <c r="K113" t="s">
        <v>1774</v>
      </c>
      <c r="L113" t="s">
        <v>1750</v>
      </c>
      <c r="M113">
        <v>3521</v>
      </c>
      <c r="N113" t="b">
        <v>0</v>
      </c>
      <c r="O113">
        <v>221</v>
      </c>
      <c r="P113" t="s">
        <v>1752</v>
      </c>
      <c r="Q113" t="s">
        <v>1753</v>
      </c>
      <c r="R113" t="s">
        <v>1828</v>
      </c>
    </row>
    <row r="114" spans="1:18" x14ac:dyDescent="0.25">
      <c r="A114" t="s">
        <v>1989</v>
      </c>
      <c r="B114" t="s">
        <v>1810</v>
      </c>
      <c r="C114" t="s">
        <v>4</v>
      </c>
      <c r="D114" t="s">
        <v>703</v>
      </c>
      <c r="E114" s="2">
        <v>43392</v>
      </c>
      <c r="F114">
        <v>2219</v>
      </c>
      <c r="G114" t="s">
        <v>1746</v>
      </c>
      <c r="H114" t="s">
        <v>1747</v>
      </c>
      <c r="I114" t="b">
        <v>0</v>
      </c>
      <c r="J114" t="s">
        <v>1748</v>
      </c>
      <c r="K114" t="s">
        <v>1755</v>
      </c>
      <c r="L114" t="s">
        <v>1756</v>
      </c>
      <c r="M114">
        <v>3451</v>
      </c>
      <c r="N114" t="b">
        <v>1</v>
      </c>
      <c r="O114">
        <v>1293</v>
      </c>
      <c r="P114" t="s">
        <v>1752</v>
      </c>
      <c r="Q114" t="s">
        <v>1753</v>
      </c>
      <c r="R114" t="s">
        <v>1759</v>
      </c>
    </row>
    <row r="115" spans="1:18" x14ac:dyDescent="0.25">
      <c r="A115" t="s">
        <v>704</v>
      </c>
      <c r="B115" t="s">
        <v>1754</v>
      </c>
      <c r="C115" t="s">
        <v>4</v>
      </c>
      <c r="D115" t="s">
        <v>705</v>
      </c>
      <c r="E115" s="2">
        <v>40451</v>
      </c>
      <c r="F115">
        <v>5160</v>
      </c>
      <c r="G115" t="s">
        <v>1746</v>
      </c>
      <c r="H115" t="s">
        <v>1798</v>
      </c>
      <c r="I115" t="b">
        <v>1</v>
      </c>
      <c r="J115" t="s">
        <v>1748</v>
      </c>
      <c r="K115" t="s">
        <v>1913</v>
      </c>
      <c r="L115" t="s">
        <v>1756</v>
      </c>
      <c r="M115">
        <v>3427</v>
      </c>
      <c r="N115" t="b">
        <v>0</v>
      </c>
      <c r="O115">
        <v>1414</v>
      </c>
      <c r="P115" t="s">
        <v>1752</v>
      </c>
      <c r="Q115" t="s">
        <v>1753</v>
      </c>
      <c r="R115" t="s">
        <v>1759</v>
      </c>
    </row>
    <row r="116" spans="1:18" x14ac:dyDescent="0.25">
      <c r="A116" t="s">
        <v>1990</v>
      </c>
      <c r="B116" t="s">
        <v>1814</v>
      </c>
      <c r="C116" t="s">
        <v>4</v>
      </c>
      <c r="D116" t="s">
        <v>1017</v>
      </c>
      <c r="E116" s="2">
        <v>40676</v>
      </c>
      <c r="F116">
        <v>4935</v>
      </c>
      <c r="G116" t="s">
        <v>1746</v>
      </c>
      <c r="H116" t="s">
        <v>1747</v>
      </c>
      <c r="I116" t="b">
        <v>1</v>
      </c>
      <c r="J116" t="s">
        <v>1748</v>
      </c>
      <c r="K116" t="s">
        <v>1774</v>
      </c>
      <c r="L116" t="s">
        <v>1756</v>
      </c>
      <c r="M116">
        <v>3412</v>
      </c>
      <c r="N116" t="b">
        <v>0</v>
      </c>
      <c r="O116">
        <v>2312</v>
      </c>
      <c r="P116" t="s">
        <v>1752</v>
      </c>
      <c r="Q116" t="s">
        <v>1753</v>
      </c>
      <c r="R116" t="s">
        <v>1759</v>
      </c>
    </row>
    <row r="117" spans="1:18" x14ac:dyDescent="0.25">
      <c r="A117" t="s">
        <v>1992</v>
      </c>
      <c r="B117" t="s">
        <v>1840</v>
      </c>
      <c r="C117" t="s">
        <v>4</v>
      </c>
      <c r="D117" t="s">
        <v>1991</v>
      </c>
      <c r="E117" s="2">
        <v>42058</v>
      </c>
      <c r="F117">
        <v>3553</v>
      </c>
      <c r="G117" t="s">
        <v>1746</v>
      </c>
      <c r="H117" t="s">
        <v>1747</v>
      </c>
      <c r="I117" t="b">
        <v>1</v>
      </c>
      <c r="J117" t="s">
        <v>1761</v>
      </c>
      <c r="K117" t="s">
        <v>1774</v>
      </c>
      <c r="L117" t="s">
        <v>1756</v>
      </c>
      <c r="M117">
        <v>3378</v>
      </c>
      <c r="N117" t="b">
        <v>0</v>
      </c>
      <c r="O117">
        <v>1454</v>
      </c>
      <c r="P117" t="s">
        <v>1752</v>
      </c>
      <c r="Q117" t="s">
        <v>1753</v>
      </c>
      <c r="R117" t="s">
        <v>1759</v>
      </c>
    </row>
    <row r="118" spans="1:18" x14ac:dyDescent="0.25">
      <c r="A118" t="s">
        <v>1994</v>
      </c>
      <c r="B118" t="s">
        <v>1847</v>
      </c>
      <c r="C118" t="s">
        <v>6</v>
      </c>
      <c r="D118" t="s">
        <v>928</v>
      </c>
      <c r="E118" s="2">
        <v>37141</v>
      </c>
      <c r="F118">
        <v>8470</v>
      </c>
      <c r="G118" t="s">
        <v>1746</v>
      </c>
      <c r="H118" t="s">
        <v>1798</v>
      </c>
      <c r="I118" t="b">
        <v>0</v>
      </c>
      <c r="J118" t="s">
        <v>1748</v>
      </c>
      <c r="K118" t="s">
        <v>1793</v>
      </c>
      <c r="L118" t="s">
        <v>1766</v>
      </c>
      <c r="M118">
        <v>3361</v>
      </c>
      <c r="N118" t="b">
        <v>0</v>
      </c>
      <c r="P118" t="s">
        <v>1752</v>
      </c>
      <c r="Q118" t="s">
        <v>1753</v>
      </c>
    </row>
    <row r="119" spans="1:18" x14ac:dyDescent="0.25">
      <c r="A119" t="s">
        <v>1997</v>
      </c>
      <c r="B119" t="s">
        <v>1998</v>
      </c>
      <c r="C119" t="s">
        <v>4</v>
      </c>
      <c r="D119" t="s">
        <v>594</v>
      </c>
      <c r="E119" s="2">
        <v>39052</v>
      </c>
      <c r="F119">
        <v>6559</v>
      </c>
      <c r="G119" t="s">
        <v>1746</v>
      </c>
      <c r="H119" t="s">
        <v>1805</v>
      </c>
      <c r="I119" t="b">
        <v>1</v>
      </c>
      <c r="J119" t="s">
        <v>1761</v>
      </c>
      <c r="K119" t="s">
        <v>1749</v>
      </c>
      <c r="L119" t="s">
        <v>1817</v>
      </c>
      <c r="M119">
        <v>3264</v>
      </c>
      <c r="N119" t="b">
        <v>0</v>
      </c>
      <c r="O119">
        <v>66</v>
      </c>
      <c r="P119" t="s">
        <v>1819</v>
      </c>
      <c r="Q119" t="s">
        <v>1753</v>
      </c>
    </row>
    <row r="120" spans="1:18" x14ac:dyDescent="0.25">
      <c r="A120" t="s">
        <v>1999</v>
      </c>
      <c r="B120" t="s">
        <v>1754</v>
      </c>
      <c r="C120" t="s">
        <v>4</v>
      </c>
      <c r="D120" t="s">
        <v>662</v>
      </c>
      <c r="E120" s="2">
        <v>40081</v>
      </c>
      <c r="F120">
        <v>5530</v>
      </c>
      <c r="G120" t="s">
        <v>1746</v>
      </c>
      <c r="H120" t="s">
        <v>1747</v>
      </c>
      <c r="I120" t="b">
        <v>1</v>
      </c>
      <c r="J120" t="s">
        <v>1748</v>
      </c>
      <c r="K120" t="s">
        <v>1770</v>
      </c>
      <c r="L120" t="s">
        <v>1750</v>
      </c>
      <c r="M120">
        <v>3251</v>
      </c>
      <c r="N120" t="b">
        <v>0</v>
      </c>
      <c r="O120">
        <v>1283</v>
      </c>
      <c r="P120" t="s">
        <v>1752</v>
      </c>
      <c r="Q120" t="s">
        <v>1753</v>
      </c>
      <c r="R120" t="s">
        <v>1772</v>
      </c>
    </row>
    <row r="121" spans="1:18" x14ac:dyDescent="0.25">
      <c r="A121" t="s">
        <v>473</v>
      </c>
      <c r="B121" t="s">
        <v>1876</v>
      </c>
      <c r="C121" t="s">
        <v>4</v>
      </c>
      <c r="D121" t="s">
        <v>474</v>
      </c>
      <c r="E121" s="2">
        <v>43899</v>
      </c>
      <c r="F121">
        <v>1712</v>
      </c>
      <c r="G121" t="s">
        <v>1746</v>
      </c>
      <c r="H121" t="s">
        <v>1747</v>
      </c>
      <c r="I121" t="b">
        <v>0</v>
      </c>
      <c r="J121" t="s">
        <v>1748</v>
      </c>
      <c r="K121" t="s">
        <v>1863</v>
      </c>
      <c r="L121" t="s">
        <v>1766</v>
      </c>
      <c r="M121">
        <v>3228</v>
      </c>
      <c r="N121" t="b">
        <v>1</v>
      </c>
      <c r="P121" t="s">
        <v>1752</v>
      </c>
      <c r="Q121" t="s">
        <v>1753</v>
      </c>
    </row>
    <row r="122" spans="1:18" x14ac:dyDescent="0.25">
      <c r="A122" t="s">
        <v>2000</v>
      </c>
      <c r="B122" t="s">
        <v>1795</v>
      </c>
      <c r="C122" t="s">
        <v>6</v>
      </c>
      <c r="D122" t="s">
        <v>77</v>
      </c>
      <c r="E122" s="2">
        <v>43159</v>
      </c>
      <c r="F122">
        <v>2452</v>
      </c>
      <c r="G122" t="s">
        <v>1746</v>
      </c>
      <c r="H122" t="s">
        <v>2001</v>
      </c>
      <c r="I122" t="b">
        <v>1</v>
      </c>
      <c r="J122" t="s">
        <v>1748</v>
      </c>
      <c r="K122" t="s">
        <v>1774</v>
      </c>
      <c r="L122" t="s">
        <v>1750</v>
      </c>
      <c r="M122">
        <v>3219</v>
      </c>
      <c r="N122" t="b">
        <v>0</v>
      </c>
      <c r="O122">
        <v>202</v>
      </c>
      <c r="P122" t="s">
        <v>1752</v>
      </c>
      <c r="Q122" t="s">
        <v>1753</v>
      </c>
    </row>
    <row r="123" spans="1:18" x14ac:dyDescent="0.25">
      <c r="A123" t="s">
        <v>2002</v>
      </c>
      <c r="B123" t="s">
        <v>1781</v>
      </c>
      <c r="C123" t="s">
        <v>4</v>
      </c>
      <c r="D123" t="s">
        <v>1303</v>
      </c>
      <c r="E123" s="2">
        <v>43732</v>
      </c>
      <c r="F123">
        <v>1879</v>
      </c>
      <c r="G123" t="s">
        <v>1746</v>
      </c>
      <c r="H123" t="s">
        <v>1747</v>
      </c>
      <c r="I123" t="b">
        <v>1</v>
      </c>
      <c r="J123" t="s">
        <v>1748</v>
      </c>
      <c r="K123" t="s">
        <v>1774</v>
      </c>
      <c r="L123" t="s">
        <v>1756</v>
      </c>
      <c r="M123">
        <v>3218</v>
      </c>
      <c r="N123" t="b">
        <v>0</v>
      </c>
      <c r="O123">
        <v>2024</v>
      </c>
      <c r="P123" t="s">
        <v>1752</v>
      </c>
      <c r="Q123" t="s">
        <v>1753</v>
      </c>
      <c r="R123" t="s">
        <v>1759</v>
      </c>
    </row>
    <row r="124" spans="1:18" x14ac:dyDescent="0.25">
      <c r="A124" t="s">
        <v>2004</v>
      </c>
      <c r="B124" t="s">
        <v>1840</v>
      </c>
      <c r="C124" t="s">
        <v>4</v>
      </c>
      <c r="D124" t="s">
        <v>2003</v>
      </c>
      <c r="E124" s="2">
        <v>43392</v>
      </c>
      <c r="F124">
        <v>2219</v>
      </c>
      <c r="G124" t="s">
        <v>1746</v>
      </c>
      <c r="H124" t="s">
        <v>1747</v>
      </c>
      <c r="I124" t="b">
        <v>0</v>
      </c>
      <c r="J124" t="s">
        <v>1748</v>
      </c>
      <c r="K124" t="s">
        <v>1770</v>
      </c>
      <c r="L124" t="s">
        <v>1750</v>
      </c>
      <c r="M124">
        <v>3200</v>
      </c>
      <c r="N124" t="b">
        <v>1</v>
      </c>
      <c r="O124">
        <v>2808</v>
      </c>
      <c r="P124" t="s">
        <v>1752</v>
      </c>
      <c r="Q124" t="s">
        <v>1753</v>
      </c>
      <c r="R124" t="s">
        <v>1772</v>
      </c>
    </row>
    <row r="125" spans="1:18" x14ac:dyDescent="0.25">
      <c r="A125" t="s">
        <v>2006</v>
      </c>
      <c r="B125" t="s">
        <v>1803</v>
      </c>
      <c r="C125" t="s">
        <v>572</v>
      </c>
      <c r="D125" t="s">
        <v>2005</v>
      </c>
      <c r="E125" s="2">
        <v>43347</v>
      </c>
      <c r="F125">
        <v>2264</v>
      </c>
      <c r="G125" t="s">
        <v>1746</v>
      </c>
      <c r="H125" t="s">
        <v>1798</v>
      </c>
      <c r="I125" t="b">
        <v>0</v>
      </c>
      <c r="J125" t="s">
        <v>1761</v>
      </c>
      <c r="K125" t="s">
        <v>1922</v>
      </c>
      <c r="L125" t="s">
        <v>1750</v>
      </c>
      <c r="M125">
        <v>3164</v>
      </c>
      <c r="N125" t="b">
        <v>0</v>
      </c>
      <c r="O125">
        <v>1403</v>
      </c>
      <c r="P125" t="s">
        <v>1752</v>
      </c>
      <c r="Q125" t="s">
        <v>1753</v>
      </c>
      <c r="R125" t="s">
        <v>1759</v>
      </c>
    </row>
    <row r="126" spans="1:18" x14ac:dyDescent="0.25">
      <c r="A126" t="s">
        <v>2008</v>
      </c>
      <c r="B126" t="s">
        <v>1763</v>
      </c>
      <c r="C126" t="s">
        <v>4</v>
      </c>
      <c r="D126" t="s">
        <v>1304</v>
      </c>
      <c r="E126" s="2">
        <v>41912</v>
      </c>
      <c r="F126">
        <v>3699</v>
      </c>
      <c r="G126" t="s">
        <v>1746</v>
      </c>
      <c r="H126" t="s">
        <v>1747</v>
      </c>
      <c r="I126" t="b">
        <v>1</v>
      </c>
      <c r="J126" t="s">
        <v>1761</v>
      </c>
      <c r="K126" t="s">
        <v>1774</v>
      </c>
      <c r="L126" t="s">
        <v>1756</v>
      </c>
      <c r="M126">
        <v>3144</v>
      </c>
      <c r="N126" t="b">
        <v>0</v>
      </c>
      <c r="O126">
        <v>2024</v>
      </c>
      <c r="P126" t="s">
        <v>1752</v>
      </c>
      <c r="Q126" t="s">
        <v>1753</v>
      </c>
      <c r="R126" t="s">
        <v>1759</v>
      </c>
    </row>
    <row r="127" spans="1:18" x14ac:dyDescent="0.25">
      <c r="A127" t="s">
        <v>2010</v>
      </c>
      <c r="B127" t="s">
        <v>2011</v>
      </c>
      <c r="C127" t="s">
        <v>4</v>
      </c>
      <c r="D127" t="s">
        <v>2009</v>
      </c>
      <c r="E127" s="2">
        <v>45530</v>
      </c>
      <c r="F127">
        <v>81</v>
      </c>
      <c r="G127" t="s">
        <v>1746</v>
      </c>
      <c r="H127" t="s">
        <v>1747</v>
      </c>
      <c r="I127" t="b">
        <v>0</v>
      </c>
      <c r="J127" t="s">
        <v>1748</v>
      </c>
      <c r="K127" t="s">
        <v>1822</v>
      </c>
      <c r="L127" t="s">
        <v>1750</v>
      </c>
      <c r="M127">
        <v>3121</v>
      </c>
      <c r="N127" t="b">
        <v>1</v>
      </c>
      <c r="O127">
        <v>294</v>
      </c>
      <c r="P127" t="s">
        <v>1752</v>
      </c>
      <c r="Q127" t="s">
        <v>1753</v>
      </c>
    </row>
    <row r="128" spans="1:18" x14ac:dyDescent="0.25">
      <c r="A128" t="s">
        <v>2013</v>
      </c>
      <c r="B128" t="s">
        <v>2014</v>
      </c>
      <c r="C128" t="s">
        <v>11</v>
      </c>
      <c r="D128" t="s">
        <v>2012</v>
      </c>
      <c r="E128" s="2">
        <v>36873</v>
      </c>
      <c r="F128">
        <v>8738</v>
      </c>
      <c r="G128" t="s">
        <v>1746</v>
      </c>
      <c r="H128" t="s">
        <v>1798</v>
      </c>
      <c r="I128" t="b">
        <v>1</v>
      </c>
      <c r="J128" t="s">
        <v>1761</v>
      </c>
      <c r="K128" t="s">
        <v>1776</v>
      </c>
      <c r="L128" t="s">
        <v>1750</v>
      </c>
      <c r="M128">
        <v>3116</v>
      </c>
      <c r="N128" t="b">
        <v>0</v>
      </c>
      <c r="O128">
        <v>43</v>
      </c>
      <c r="P128" t="s">
        <v>1752</v>
      </c>
      <c r="Q128" t="s">
        <v>1753</v>
      </c>
    </row>
    <row r="129" spans="1:18" x14ac:dyDescent="0.25">
      <c r="A129" t="s">
        <v>2015</v>
      </c>
      <c r="B129" t="s">
        <v>1945</v>
      </c>
      <c r="C129" t="s">
        <v>6</v>
      </c>
      <c r="D129" t="s">
        <v>20</v>
      </c>
      <c r="E129" s="2">
        <v>39986</v>
      </c>
      <c r="F129">
        <v>5625</v>
      </c>
      <c r="G129" t="s">
        <v>1746</v>
      </c>
      <c r="H129" t="s">
        <v>1798</v>
      </c>
      <c r="I129" t="b">
        <v>0</v>
      </c>
      <c r="J129" t="s">
        <v>1748</v>
      </c>
      <c r="K129" t="s">
        <v>1934</v>
      </c>
      <c r="L129" t="s">
        <v>1817</v>
      </c>
      <c r="M129">
        <v>3088</v>
      </c>
      <c r="N129" t="b">
        <v>1</v>
      </c>
      <c r="O129">
        <v>381</v>
      </c>
      <c r="P129" t="s">
        <v>1819</v>
      </c>
      <c r="Q129" t="s">
        <v>1753</v>
      </c>
      <c r="R129" t="s">
        <v>1828</v>
      </c>
    </row>
    <row r="130" spans="1:18" x14ac:dyDescent="0.25">
      <c r="A130" t="s">
        <v>2016</v>
      </c>
      <c r="B130" t="s">
        <v>1945</v>
      </c>
      <c r="C130" t="s">
        <v>11</v>
      </c>
      <c r="D130" t="s">
        <v>145</v>
      </c>
      <c r="E130" s="2">
        <v>41533</v>
      </c>
      <c r="F130">
        <v>4078</v>
      </c>
      <c r="G130" t="s">
        <v>1746</v>
      </c>
      <c r="H130" t="s">
        <v>1798</v>
      </c>
      <c r="I130" t="b">
        <v>0</v>
      </c>
      <c r="J130" t="s">
        <v>1748</v>
      </c>
      <c r="K130" t="s">
        <v>1774</v>
      </c>
      <c r="L130" t="s">
        <v>1766</v>
      </c>
      <c r="M130">
        <v>3055</v>
      </c>
      <c r="N130" t="b">
        <v>0</v>
      </c>
      <c r="P130" t="s">
        <v>1752</v>
      </c>
      <c r="Q130" t="s">
        <v>1753</v>
      </c>
    </row>
    <row r="131" spans="1:18" x14ac:dyDescent="0.25">
      <c r="A131" t="s">
        <v>2018</v>
      </c>
      <c r="B131" t="s">
        <v>2019</v>
      </c>
      <c r="C131" t="s">
        <v>6</v>
      </c>
      <c r="D131" t="s">
        <v>2017</v>
      </c>
      <c r="E131" s="2">
        <v>42860</v>
      </c>
      <c r="F131">
        <v>2751</v>
      </c>
      <c r="G131" t="s">
        <v>1746</v>
      </c>
      <c r="H131" t="s">
        <v>1798</v>
      </c>
      <c r="I131" t="b">
        <v>1</v>
      </c>
      <c r="J131" t="s">
        <v>1748</v>
      </c>
      <c r="K131" t="s">
        <v>1770</v>
      </c>
      <c r="L131" t="s">
        <v>1750</v>
      </c>
      <c r="M131">
        <v>3025</v>
      </c>
      <c r="N131" t="b">
        <v>0</v>
      </c>
      <c r="O131">
        <v>1283</v>
      </c>
      <c r="P131" t="s">
        <v>1752</v>
      </c>
      <c r="Q131" t="s">
        <v>1753</v>
      </c>
      <c r="R131" t="s">
        <v>1772</v>
      </c>
    </row>
    <row r="132" spans="1:18" x14ac:dyDescent="0.25">
      <c r="A132" t="s">
        <v>2020</v>
      </c>
      <c r="B132" t="s">
        <v>1810</v>
      </c>
      <c r="C132" t="s">
        <v>4</v>
      </c>
      <c r="D132" t="s">
        <v>526</v>
      </c>
      <c r="E132" s="2">
        <v>40799</v>
      </c>
      <c r="F132">
        <v>4812</v>
      </c>
      <c r="G132" t="s">
        <v>1746</v>
      </c>
      <c r="H132" t="s">
        <v>1747</v>
      </c>
      <c r="I132" t="b">
        <v>1</v>
      </c>
      <c r="J132" t="s">
        <v>1761</v>
      </c>
      <c r="K132" t="s">
        <v>1868</v>
      </c>
      <c r="L132" t="s">
        <v>1817</v>
      </c>
      <c r="M132">
        <v>3015</v>
      </c>
      <c r="N132" t="b">
        <v>0</v>
      </c>
      <c r="O132">
        <v>1243</v>
      </c>
      <c r="P132" t="s">
        <v>1819</v>
      </c>
      <c r="Q132" t="s">
        <v>1753</v>
      </c>
      <c r="R132" t="s">
        <v>1759</v>
      </c>
    </row>
    <row r="133" spans="1:18" x14ac:dyDescent="0.25">
      <c r="A133" t="s">
        <v>2022</v>
      </c>
      <c r="B133" t="s">
        <v>1754</v>
      </c>
      <c r="C133" t="s">
        <v>4</v>
      </c>
      <c r="D133" t="s">
        <v>562</v>
      </c>
      <c r="E133" s="2">
        <v>42621</v>
      </c>
      <c r="F133">
        <v>2990</v>
      </c>
      <c r="G133" t="s">
        <v>1746</v>
      </c>
      <c r="H133" t="s">
        <v>1747</v>
      </c>
      <c r="I133" t="b">
        <v>1</v>
      </c>
      <c r="J133" t="s">
        <v>1748</v>
      </c>
      <c r="K133" t="s">
        <v>2021</v>
      </c>
      <c r="L133" t="s">
        <v>1756</v>
      </c>
      <c r="M133">
        <v>2975</v>
      </c>
      <c r="N133" t="b">
        <v>1</v>
      </c>
      <c r="O133">
        <v>151</v>
      </c>
      <c r="P133" t="s">
        <v>1752</v>
      </c>
      <c r="Q133" t="s">
        <v>1753</v>
      </c>
      <c r="R133" t="s">
        <v>1759</v>
      </c>
    </row>
    <row r="134" spans="1:18" x14ac:dyDescent="0.25">
      <c r="A134" t="s">
        <v>2023</v>
      </c>
      <c r="B134" t="s">
        <v>1998</v>
      </c>
      <c r="C134" t="s">
        <v>4</v>
      </c>
      <c r="D134" t="s">
        <v>972</v>
      </c>
      <c r="E134" s="2">
        <v>40596</v>
      </c>
      <c r="F134">
        <v>5015</v>
      </c>
      <c r="G134" t="s">
        <v>1833</v>
      </c>
      <c r="H134" t="s">
        <v>1747</v>
      </c>
      <c r="I134" t="b">
        <v>0</v>
      </c>
      <c r="J134" t="s">
        <v>1761</v>
      </c>
      <c r="K134" t="s">
        <v>1880</v>
      </c>
      <c r="L134" t="s">
        <v>1756</v>
      </c>
      <c r="M134">
        <v>2962</v>
      </c>
      <c r="N134" t="b">
        <v>0</v>
      </c>
      <c r="O134">
        <v>416</v>
      </c>
      <c r="P134" t="s">
        <v>1827</v>
      </c>
      <c r="Q134" t="s">
        <v>1753</v>
      </c>
    </row>
    <row r="135" spans="1:18" x14ac:dyDescent="0.25">
      <c r="A135" t="s">
        <v>2024</v>
      </c>
      <c r="B135" t="s">
        <v>1754</v>
      </c>
      <c r="C135" t="s">
        <v>4</v>
      </c>
      <c r="D135" t="s">
        <v>661</v>
      </c>
      <c r="E135" s="2">
        <v>42562</v>
      </c>
      <c r="F135">
        <v>3049</v>
      </c>
      <c r="G135" t="s">
        <v>1746</v>
      </c>
      <c r="H135" t="s">
        <v>1747</v>
      </c>
      <c r="I135" t="b">
        <v>0</v>
      </c>
      <c r="J135" t="s">
        <v>1748</v>
      </c>
      <c r="K135" t="s">
        <v>1776</v>
      </c>
      <c r="L135" t="s">
        <v>1750</v>
      </c>
      <c r="M135">
        <v>2942</v>
      </c>
      <c r="N135" t="b">
        <v>1</v>
      </c>
      <c r="O135">
        <v>224</v>
      </c>
      <c r="P135" t="s">
        <v>1752</v>
      </c>
      <c r="Q135" t="s">
        <v>1753</v>
      </c>
      <c r="R135" t="s">
        <v>1772</v>
      </c>
    </row>
    <row r="136" spans="1:18" x14ac:dyDescent="0.25">
      <c r="A136" t="s">
        <v>2025</v>
      </c>
      <c r="B136" t="s">
        <v>1781</v>
      </c>
      <c r="C136" t="s">
        <v>186</v>
      </c>
      <c r="D136" t="s">
        <v>1435</v>
      </c>
      <c r="E136" s="2">
        <v>40163</v>
      </c>
      <c r="F136">
        <v>5448</v>
      </c>
      <c r="G136" t="s">
        <v>1746</v>
      </c>
      <c r="H136" t="s">
        <v>1747</v>
      </c>
      <c r="I136" t="b">
        <v>0</v>
      </c>
      <c r="J136" t="s">
        <v>1748</v>
      </c>
      <c r="K136" t="s">
        <v>1824</v>
      </c>
      <c r="L136" t="s">
        <v>1775</v>
      </c>
      <c r="M136">
        <v>2913</v>
      </c>
      <c r="N136" t="b">
        <v>0</v>
      </c>
      <c r="P136" t="s">
        <v>1778</v>
      </c>
      <c r="Q136" t="s">
        <v>1779</v>
      </c>
    </row>
    <row r="137" spans="1:18" x14ac:dyDescent="0.25">
      <c r="A137" t="s">
        <v>2026</v>
      </c>
      <c r="B137" t="s">
        <v>1763</v>
      </c>
      <c r="C137" t="s">
        <v>4</v>
      </c>
      <c r="D137" t="s">
        <v>1302</v>
      </c>
      <c r="E137" s="2">
        <v>41415</v>
      </c>
      <c r="F137">
        <v>4196</v>
      </c>
      <c r="G137" t="s">
        <v>1746</v>
      </c>
      <c r="H137" t="s">
        <v>1798</v>
      </c>
      <c r="I137" t="b">
        <v>1</v>
      </c>
      <c r="J137" t="s">
        <v>1761</v>
      </c>
      <c r="K137" t="s">
        <v>1822</v>
      </c>
      <c r="L137" t="s">
        <v>1750</v>
      </c>
      <c r="M137">
        <v>2913</v>
      </c>
      <c r="N137" t="b">
        <v>0</v>
      </c>
      <c r="O137">
        <v>532</v>
      </c>
      <c r="P137" t="s">
        <v>1752</v>
      </c>
      <c r="Q137" t="s">
        <v>1753</v>
      </c>
      <c r="R137" t="s">
        <v>1828</v>
      </c>
    </row>
    <row r="138" spans="1:18" x14ac:dyDescent="0.25">
      <c r="A138" t="s">
        <v>2027</v>
      </c>
      <c r="B138" t="s">
        <v>1810</v>
      </c>
      <c r="C138" t="s">
        <v>4</v>
      </c>
      <c r="D138" t="s">
        <v>657</v>
      </c>
      <c r="E138" s="2">
        <v>40396</v>
      </c>
      <c r="F138">
        <v>5215</v>
      </c>
      <c r="G138" t="s">
        <v>1746</v>
      </c>
      <c r="H138" t="s">
        <v>1747</v>
      </c>
      <c r="I138" t="b">
        <v>1</v>
      </c>
      <c r="J138" t="s">
        <v>1748</v>
      </c>
      <c r="K138" t="s">
        <v>1755</v>
      </c>
      <c r="L138" t="s">
        <v>1750</v>
      </c>
      <c r="M138">
        <v>2893</v>
      </c>
      <c r="N138" t="b">
        <v>0</v>
      </c>
      <c r="O138">
        <v>1033</v>
      </c>
      <c r="P138" t="s">
        <v>1752</v>
      </c>
      <c r="Q138" t="s">
        <v>1753</v>
      </c>
      <c r="R138" t="s">
        <v>2028</v>
      </c>
    </row>
    <row r="139" spans="1:18" x14ac:dyDescent="0.25">
      <c r="A139" t="s">
        <v>2029</v>
      </c>
      <c r="B139" t="s">
        <v>1754</v>
      </c>
      <c r="C139" t="s">
        <v>4</v>
      </c>
      <c r="D139" t="s">
        <v>557</v>
      </c>
      <c r="E139" s="2">
        <v>41563</v>
      </c>
      <c r="F139">
        <v>4048</v>
      </c>
      <c r="G139" t="s">
        <v>1746</v>
      </c>
      <c r="H139" t="s">
        <v>1798</v>
      </c>
      <c r="I139" t="b">
        <v>1</v>
      </c>
      <c r="J139" t="s">
        <v>1761</v>
      </c>
      <c r="K139" t="s">
        <v>1863</v>
      </c>
      <c r="L139" t="s">
        <v>1817</v>
      </c>
      <c r="M139">
        <v>2861</v>
      </c>
      <c r="N139" t="b">
        <v>0</v>
      </c>
      <c r="O139">
        <v>615</v>
      </c>
      <c r="P139" t="s">
        <v>1819</v>
      </c>
      <c r="Q139" t="s">
        <v>1753</v>
      </c>
      <c r="R139" t="s">
        <v>1759</v>
      </c>
    </row>
    <row r="140" spans="1:18" x14ac:dyDescent="0.25">
      <c r="A140" t="s">
        <v>2031</v>
      </c>
      <c r="B140" t="s">
        <v>2032</v>
      </c>
      <c r="C140" t="s">
        <v>6</v>
      </c>
      <c r="D140" t="s">
        <v>2030</v>
      </c>
      <c r="E140" s="2">
        <v>40263</v>
      </c>
      <c r="F140">
        <v>5348</v>
      </c>
      <c r="G140" t="s">
        <v>1746</v>
      </c>
      <c r="H140" t="s">
        <v>1747</v>
      </c>
      <c r="I140" t="b">
        <v>0</v>
      </c>
      <c r="J140" t="s">
        <v>1761</v>
      </c>
      <c r="K140" t="s">
        <v>1765</v>
      </c>
      <c r="L140" t="s">
        <v>1766</v>
      </c>
      <c r="M140">
        <v>2859</v>
      </c>
      <c r="N140" t="b">
        <v>0</v>
      </c>
      <c r="P140" t="s">
        <v>1752</v>
      </c>
      <c r="Q140" t="s">
        <v>1753</v>
      </c>
    </row>
    <row r="141" spans="1:18" x14ac:dyDescent="0.25">
      <c r="A141" t="s">
        <v>2033</v>
      </c>
      <c r="B141" t="s">
        <v>1781</v>
      </c>
      <c r="C141" t="s">
        <v>186</v>
      </c>
      <c r="D141" t="s">
        <v>296</v>
      </c>
      <c r="E141" s="2">
        <v>38077</v>
      </c>
      <c r="F141">
        <v>7534</v>
      </c>
      <c r="G141" t="s">
        <v>1746</v>
      </c>
      <c r="H141" t="s">
        <v>1747</v>
      </c>
      <c r="I141" t="b">
        <v>0</v>
      </c>
      <c r="J141" t="s">
        <v>1748</v>
      </c>
      <c r="K141" t="s">
        <v>2021</v>
      </c>
      <c r="L141" t="s">
        <v>1775</v>
      </c>
      <c r="M141">
        <v>2821</v>
      </c>
      <c r="N141" t="b">
        <v>0</v>
      </c>
      <c r="P141" t="s">
        <v>1778</v>
      </c>
      <c r="Q141" t="s">
        <v>1779</v>
      </c>
    </row>
    <row r="142" spans="1:18" x14ac:dyDescent="0.25">
      <c r="A142" t="s">
        <v>2034</v>
      </c>
      <c r="B142" t="s">
        <v>2035</v>
      </c>
      <c r="C142" t="s">
        <v>6</v>
      </c>
      <c r="D142" t="s">
        <v>935</v>
      </c>
      <c r="E142" s="2">
        <v>40263</v>
      </c>
      <c r="F142">
        <v>5348</v>
      </c>
      <c r="G142" t="s">
        <v>1746</v>
      </c>
      <c r="H142" t="s">
        <v>1798</v>
      </c>
      <c r="I142" t="b">
        <v>0</v>
      </c>
      <c r="J142" t="s">
        <v>1761</v>
      </c>
      <c r="K142" t="s">
        <v>1765</v>
      </c>
      <c r="L142" t="s">
        <v>1766</v>
      </c>
      <c r="M142">
        <v>2812</v>
      </c>
      <c r="N142" t="b">
        <v>0</v>
      </c>
      <c r="P142" t="s">
        <v>1752</v>
      </c>
      <c r="Q142" t="s">
        <v>1753</v>
      </c>
    </row>
    <row r="143" spans="1:18" x14ac:dyDescent="0.25">
      <c r="A143" t="s">
        <v>2037</v>
      </c>
      <c r="B143" t="s">
        <v>2011</v>
      </c>
      <c r="C143" t="s">
        <v>4</v>
      </c>
      <c r="D143" t="s">
        <v>2036</v>
      </c>
      <c r="E143" s="2">
        <v>45530</v>
      </c>
      <c r="F143">
        <v>81</v>
      </c>
      <c r="G143" t="s">
        <v>1746</v>
      </c>
      <c r="H143" t="s">
        <v>1747</v>
      </c>
      <c r="I143" t="b">
        <v>0</v>
      </c>
      <c r="J143" t="s">
        <v>1748</v>
      </c>
      <c r="K143" t="s">
        <v>1863</v>
      </c>
      <c r="L143" t="s">
        <v>1750</v>
      </c>
      <c r="M143">
        <v>2785</v>
      </c>
      <c r="N143" t="b">
        <v>0</v>
      </c>
      <c r="O143">
        <v>593</v>
      </c>
      <c r="P143" t="s">
        <v>1752</v>
      </c>
      <c r="Q143" t="s">
        <v>1753</v>
      </c>
    </row>
    <row r="144" spans="1:18" x14ac:dyDescent="0.25">
      <c r="A144" t="s">
        <v>2039</v>
      </c>
      <c r="B144" t="s">
        <v>2040</v>
      </c>
      <c r="C144" t="s">
        <v>4</v>
      </c>
      <c r="D144" t="s">
        <v>2038</v>
      </c>
      <c r="E144" s="2">
        <v>41318</v>
      </c>
      <c r="F144">
        <v>4293</v>
      </c>
      <c r="G144" t="s">
        <v>1746</v>
      </c>
      <c r="H144" t="s">
        <v>1798</v>
      </c>
      <c r="I144" t="b">
        <v>0</v>
      </c>
      <c r="J144" t="s">
        <v>1748</v>
      </c>
      <c r="K144" t="s">
        <v>1749</v>
      </c>
      <c r="L144" t="s">
        <v>1750</v>
      </c>
      <c r="M144">
        <v>2782</v>
      </c>
      <c r="N144" t="b">
        <v>1</v>
      </c>
      <c r="O144">
        <v>530</v>
      </c>
      <c r="P144" t="s">
        <v>1752</v>
      </c>
      <c r="Q144" t="s">
        <v>1753</v>
      </c>
    </row>
    <row r="145" spans="1:18" x14ac:dyDescent="0.25">
      <c r="A145" t="s">
        <v>2041</v>
      </c>
      <c r="B145" t="s">
        <v>1810</v>
      </c>
      <c r="C145" t="s">
        <v>4</v>
      </c>
      <c r="D145" t="s">
        <v>449</v>
      </c>
      <c r="E145" s="2">
        <v>43629</v>
      </c>
      <c r="F145">
        <v>1982</v>
      </c>
      <c r="G145" t="s">
        <v>1746</v>
      </c>
      <c r="H145" t="s">
        <v>1747</v>
      </c>
      <c r="I145" t="b">
        <v>0</v>
      </c>
      <c r="J145" t="s">
        <v>1748</v>
      </c>
      <c r="K145" t="s">
        <v>1863</v>
      </c>
      <c r="L145" t="s">
        <v>1756</v>
      </c>
      <c r="M145">
        <v>2776</v>
      </c>
      <c r="N145" t="b">
        <v>1</v>
      </c>
      <c r="O145">
        <v>551</v>
      </c>
      <c r="P145" t="s">
        <v>1752</v>
      </c>
      <c r="Q145" t="s">
        <v>1753</v>
      </c>
    </row>
    <row r="146" spans="1:18" x14ac:dyDescent="0.25">
      <c r="A146" t="s">
        <v>2044</v>
      </c>
      <c r="B146" t="s">
        <v>1840</v>
      </c>
      <c r="C146" t="s">
        <v>4</v>
      </c>
      <c r="D146" t="s">
        <v>2043</v>
      </c>
      <c r="E146" s="2">
        <v>43392</v>
      </c>
      <c r="F146">
        <v>2219</v>
      </c>
      <c r="G146" t="s">
        <v>1746</v>
      </c>
      <c r="H146" t="s">
        <v>1798</v>
      </c>
      <c r="I146" t="b">
        <v>0</v>
      </c>
      <c r="J146" t="s">
        <v>1748</v>
      </c>
      <c r="K146" t="s">
        <v>1774</v>
      </c>
      <c r="L146" t="s">
        <v>1756</v>
      </c>
      <c r="M146">
        <v>2769</v>
      </c>
      <c r="N146" t="b">
        <v>1</v>
      </c>
      <c r="O146">
        <v>384</v>
      </c>
      <c r="P146" t="s">
        <v>1752</v>
      </c>
      <c r="Q146" t="s">
        <v>1753</v>
      </c>
      <c r="R146" t="s">
        <v>1828</v>
      </c>
    </row>
    <row r="147" spans="1:18" x14ac:dyDescent="0.25">
      <c r="A147" t="s">
        <v>2045</v>
      </c>
      <c r="B147" t="s">
        <v>2046</v>
      </c>
      <c r="C147" t="s">
        <v>6</v>
      </c>
      <c r="D147" t="s">
        <v>1168</v>
      </c>
      <c r="E147" s="2">
        <v>43269</v>
      </c>
      <c r="F147">
        <v>2342</v>
      </c>
      <c r="G147" t="s">
        <v>1746</v>
      </c>
      <c r="H147" t="s">
        <v>1747</v>
      </c>
      <c r="I147" t="b">
        <v>1</v>
      </c>
      <c r="J147" t="s">
        <v>1748</v>
      </c>
      <c r="K147" t="s">
        <v>1770</v>
      </c>
      <c r="L147" t="s">
        <v>1756</v>
      </c>
      <c r="M147">
        <v>2765</v>
      </c>
      <c r="N147" t="b">
        <v>0</v>
      </c>
      <c r="O147">
        <v>1163</v>
      </c>
      <c r="P147" t="s">
        <v>1752</v>
      </c>
      <c r="Q147" t="s">
        <v>1753</v>
      </c>
      <c r="R147" t="s">
        <v>1772</v>
      </c>
    </row>
    <row r="148" spans="1:18" x14ac:dyDescent="0.25">
      <c r="A148" t="s">
        <v>2048</v>
      </c>
      <c r="B148" t="s">
        <v>1876</v>
      </c>
      <c r="C148" t="s">
        <v>4</v>
      </c>
      <c r="D148" t="s">
        <v>2047</v>
      </c>
      <c r="E148" s="2">
        <v>42999</v>
      </c>
      <c r="F148">
        <v>2612</v>
      </c>
      <c r="G148" t="s">
        <v>1746</v>
      </c>
      <c r="H148" t="s">
        <v>1798</v>
      </c>
      <c r="I148" t="b">
        <v>1</v>
      </c>
      <c r="J148" t="s">
        <v>1748</v>
      </c>
      <c r="K148" t="s">
        <v>1755</v>
      </c>
      <c r="L148" t="s">
        <v>1817</v>
      </c>
      <c r="M148">
        <v>2744</v>
      </c>
      <c r="N148" t="b">
        <v>0</v>
      </c>
      <c r="O148">
        <v>3729</v>
      </c>
      <c r="P148" t="s">
        <v>1819</v>
      </c>
      <c r="Q148" t="s">
        <v>1753</v>
      </c>
      <c r="R148" t="s">
        <v>1759</v>
      </c>
    </row>
    <row r="149" spans="1:18" x14ac:dyDescent="0.25">
      <c r="A149" t="s">
        <v>2050</v>
      </c>
      <c r="B149" t="s">
        <v>2051</v>
      </c>
      <c r="C149" t="s">
        <v>4</v>
      </c>
      <c r="D149" t="s">
        <v>2049</v>
      </c>
      <c r="E149" s="2">
        <v>42102</v>
      </c>
      <c r="F149">
        <v>3509</v>
      </c>
      <c r="G149" t="s">
        <v>1746</v>
      </c>
      <c r="H149" t="s">
        <v>1747</v>
      </c>
      <c r="I149" t="b">
        <v>0</v>
      </c>
      <c r="J149" t="s">
        <v>1748</v>
      </c>
      <c r="K149" t="s">
        <v>2021</v>
      </c>
      <c r="L149" t="s">
        <v>1750</v>
      </c>
      <c r="M149">
        <v>2741</v>
      </c>
      <c r="N149" t="b">
        <v>0</v>
      </c>
      <c r="O149">
        <v>433</v>
      </c>
      <c r="P149" t="s">
        <v>1752</v>
      </c>
      <c r="Q149" t="s">
        <v>1753</v>
      </c>
    </row>
    <row r="150" spans="1:18" x14ac:dyDescent="0.25">
      <c r="A150" t="s">
        <v>2052</v>
      </c>
      <c r="B150" t="s">
        <v>1810</v>
      </c>
      <c r="C150" t="s">
        <v>4</v>
      </c>
      <c r="D150" t="s">
        <v>608</v>
      </c>
      <c r="E150" s="2">
        <v>41243</v>
      </c>
      <c r="F150">
        <v>4368</v>
      </c>
      <c r="G150" t="s">
        <v>1746</v>
      </c>
      <c r="H150" t="s">
        <v>1747</v>
      </c>
      <c r="I150" t="b">
        <v>1</v>
      </c>
      <c r="J150" t="s">
        <v>1748</v>
      </c>
      <c r="K150" t="s">
        <v>1853</v>
      </c>
      <c r="L150" t="s">
        <v>1756</v>
      </c>
      <c r="M150">
        <v>2737</v>
      </c>
      <c r="N150" t="b">
        <v>0</v>
      </c>
      <c r="O150">
        <v>262</v>
      </c>
      <c r="P150" t="s">
        <v>1752</v>
      </c>
      <c r="Q150" t="s">
        <v>1753</v>
      </c>
      <c r="R150" t="s">
        <v>1759</v>
      </c>
    </row>
    <row r="151" spans="1:18" x14ac:dyDescent="0.25">
      <c r="A151" t="s">
        <v>2054</v>
      </c>
      <c r="B151" t="s">
        <v>1945</v>
      </c>
      <c r="C151" t="s">
        <v>11</v>
      </c>
      <c r="D151" t="s">
        <v>865</v>
      </c>
      <c r="E151" s="2">
        <v>36941</v>
      </c>
      <c r="F151">
        <v>8670</v>
      </c>
      <c r="G151" t="s">
        <v>1746</v>
      </c>
      <c r="H151" t="s">
        <v>1798</v>
      </c>
      <c r="I151" t="b">
        <v>0</v>
      </c>
      <c r="J151" t="s">
        <v>1748</v>
      </c>
      <c r="K151" t="s">
        <v>1988</v>
      </c>
      <c r="L151" t="s">
        <v>1750</v>
      </c>
      <c r="M151">
        <v>2689</v>
      </c>
      <c r="N151" t="b">
        <v>0</v>
      </c>
      <c r="O151">
        <v>52</v>
      </c>
      <c r="P151" t="s">
        <v>1752</v>
      </c>
      <c r="Q151" t="s">
        <v>1753</v>
      </c>
      <c r="R151" t="s">
        <v>1828</v>
      </c>
    </row>
    <row r="152" spans="1:18" x14ac:dyDescent="0.25">
      <c r="A152" t="s">
        <v>2056</v>
      </c>
      <c r="B152" t="s">
        <v>2057</v>
      </c>
      <c r="C152" t="s">
        <v>4</v>
      </c>
      <c r="D152" t="s">
        <v>2055</v>
      </c>
      <c r="E152" s="2">
        <v>44775</v>
      </c>
      <c r="F152">
        <v>836</v>
      </c>
      <c r="G152" t="s">
        <v>1746</v>
      </c>
      <c r="H152" t="s">
        <v>1747</v>
      </c>
      <c r="I152" t="b">
        <v>0</v>
      </c>
      <c r="J152" t="s">
        <v>1748</v>
      </c>
      <c r="K152" t="s">
        <v>1755</v>
      </c>
      <c r="L152" t="s">
        <v>1750</v>
      </c>
      <c r="M152">
        <v>2685</v>
      </c>
      <c r="N152" t="b">
        <v>0</v>
      </c>
      <c r="O152">
        <v>504</v>
      </c>
      <c r="P152" t="s">
        <v>1752</v>
      </c>
      <c r="Q152" t="s">
        <v>1753</v>
      </c>
    </row>
    <row r="153" spans="1:18" x14ac:dyDescent="0.25">
      <c r="A153" t="s">
        <v>2058</v>
      </c>
      <c r="B153" t="s">
        <v>1810</v>
      </c>
      <c r="C153" t="s">
        <v>4</v>
      </c>
      <c r="D153" t="s">
        <v>646</v>
      </c>
      <c r="E153" s="2">
        <v>40714</v>
      </c>
      <c r="F153">
        <v>4897</v>
      </c>
      <c r="G153" t="s">
        <v>1746</v>
      </c>
      <c r="H153" t="s">
        <v>1747</v>
      </c>
      <c r="I153" t="b">
        <v>1</v>
      </c>
      <c r="J153" t="s">
        <v>1761</v>
      </c>
      <c r="K153" t="s">
        <v>1868</v>
      </c>
      <c r="L153" t="s">
        <v>1817</v>
      </c>
      <c r="M153">
        <v>2685</v>
      </c>
      <c r="N153" t="b">
        <v>0</v>
      </c>
      <c r="O153">
        <v>336</v>
      </c>
      <c r="P153" t="s">
        <v>1819</v>
      </c>
      <c r="Q153" t="s">
        <v>1753</v>
      </c>
      <c r="R153" t="s">
        <v>1772</v>
      </c>
    </row>
    <row r="154" spans="1:18" x14ac:dyDescent="0.25">
      <c r="A154" t="s">
        <v>2059</v>
      </c>
      <c r="B154" t="s">
        <v>2060</v>
      </c>
      <c r="C154" t="s">
        <v>6</v>
      </c>
      <c r="D154" t="s">
        <v>1690</v>
      </c>
      <c r="E154" s="2">
        <v>39833</v>
      </c>
      <c r="F154">
        <v>5778</v>
      </c>
      <c r="G154" t="s">
        <v>1746</v>
      </c>
      <c r="H154" t="s">
        <v>1798</v>
      </c>
      <c r="I154" t="b">
        <v>1</v>
      </c>
      <c r="J154" t="s">
        <v>1748</v>
      </c>
      <c r="K154" t="s">
        <v>1755</v>
      </c>
      <c r="L154" t="s">
        <v>1750</v>
      </c>
      <c r="M154">
        <v>2676</v>
      </c>
      <c r="N154" t="b">
        <v>0</v>
      </c>
      <c r="O154">
        <v>601</v>
      </c>
      <c r="P154" t="s">
        <v>1752</v>
      </c>
      <c r="Q154" t="s">
        <v>1753</v>
      </c>
      <c r="R154" t="s">
        <v>1828</v>
      </c>
    </row>
    <row r="155" spans="1:18" x14ac:dyDescent="0.25">
      <c r="A155" t="s">
        <v>2061</v>
      </c>
      <c r="B155" t="s">
        <v>1860</v>
      </c>
      <c r="C155" t="s">
        <v>4</v>
      </c>
      <c r="D155" t="s">
        <v>390</v>
      </c>
      <c r="E155" s="2">
        <v>43367</v>
      </c>
      <c r="F155">
        <v>2244</v>
      </c>
      <c r="G155" t="s">
        <v>1746</v>
      </c>
      <c r="H155" t="s">
        <v>1747</v>
      </c>
      <c r="I155" t="b">
        <v>1</v>
      </c>
      <c r="J155" t="s">
        <v>1748</v>
      </c>
      <c r="K155" t="s">
        <v>1853</v>
      </c>
      <c r="L155" t="s">
        <v>1750</v>
      </c>
      <c r="M155">
        <v>2655</v>
      </c>
      <c r="N155" t="b">
        <v>0</v>
      </c>
      <c r="O155">
        <v>101</v>
      </c>
      <c r="P155" t="s">
        <v>1752</v>
      </c>
      <c r="Q155" t="s">
        <v>1753</v>
      </c>
    </row>
    <row r="156" spans="1:18" x14ac:dyDescent="0.25">
      <c r="A156" t="s">
        <v>2062</v>
      </c>
      <c r="B156" t="s">
        <v>1754</v>
      </c>
      <c r="C156" t="s">
        <v>4</v>
      </c>
      <c r="D156" t="s">
        <v>587</v>
      </c>
      <c r="E156" s="2">
        <v>40190</v>
      </c>
      <c r="F156">
        <v>5421</v>
      </c>
      <c r="G156" t="s">
        <v>1746</v>
      </c>
      <c r="H156" t="s">
        <v>1747</v>
      </c>
      <c r="I156" t="b">
        <v>1</v>
      </c>
      <c r="J156" t="s">
        <v>1748</v>
      </c>
      <c r="K156" t="s">
        <v>1755</v>
      </c>
      <c r="L156" t="s">
        <v>1750</v>
      </c>
      <c r="M156">
        <v>2651</v>
      </c>
      <c r="N156" t="b">
        <v>0</v>
      </c>
      <c r="O156">
        <v>105</v>
      </c>
      <c r="P156" t="s">
        <v>1752</v>
      </c>
      <c r="Q156" t="s">
        <v>1753</v>
      </c>
      <c r="R156" t="s">
        <v>2028</v>
      </c>
    </row>
    <row r="157" spans="1:18" x14ac:dyDescent="0.25">
      <c r="A157" t="s">
        <v>2064</v>
      </c>
      <c r="B157" t="s">
        <v>2051</v>
      </c>
      <c r="C157" t="s">
        <v>4</v>
      </c>
      <c r="D157" t="s">
        <v>2063</v>
      </c>
      <c r="E157" s="2">
        <v>40204</v>
      </c>
      <c r="F157">
        <v>5407</v>
      </c>
      <c r="G157" t="s">
        <v>1746</v>
      </c>
      <c r="H157" t="s">
        <v>1805</v>
      </c>
      <c r="I157" t="b">
        <v>1</v>
      </c>
      <c r="J157" t="s">
        <v>1748</v>
      </c>
      <c r="K157" t="s">
        <v>1749</v>
      </c>
      <c r="L157" t="s">
        <v>1750</v>
      </c>
      <c r="M157">
        <v>2651</v>
      </c>
      <c r="N157" t="b">
        <v>0</v>
      </c>
      <c r="O157">
        <v>103</v>
      </c>
      <c r="P157" t="s">
        <v>1752</v>
      </c>
      <c r="Q157" t="s">
        <v>1753</v>
      </c>
    </row>
    <row r="158" spans="1:18" x14ac:dyDescent="0.25">
      <c r="A158" t="s">
        <v>2066</v>
      </c>
      <c r="B158" t="s">
        <v>1840</v>
      </c>
      <c r="C158" t="s">
        <v>4</v>
      </c>
      <c r="D158" t="s">
        <v>2065</v>
      </c>
      <c r="E158" s="2">
        <v>39577</v>
      </c>
      <c r="F158">
        <v>6034</v>
      </c>
      <c r="G158" t="s">
        <v>1746</v>
      </c>
      <c r="H158" t="s">
        <v>1747</v>
      </c>
      <c r="I158" t="b">
        <v>1</v>
      </c>
      <c r="J158" t="s">
        <v>1761</v>
      </c>
      <c r="K158" t="s">
        <v>1853</v>
      </c>
      <c r="L158" t="s">
        <v>1756</v>
      </c>
      <c r="M158">
        <v>2629</v>
      </c>
      <c r="N158" t="b">
        <v>0</v>
      </c>
      <c r="O158">
        <v>605</v>
      </c>
      <c r="P158" t="s">
        <v>1752</v>
      </c>
      <c r="Q158" t="s">
        <v>1753</v>
      </c>
    </row>
    <row r="159" spans="1:18" x14ac:dyDescent="0.25">
      <c r="A159" t="s">
        <v>2067</v>
      </c>
      <c r="B159" t="s">
        <v>1810</v>
      </c>
      <c r="C159" t="s">
        <v>4</v>
      </c>
      <c r="D159" t="s">
        <v>537</v>
      </c>
      <c r="E159" s="2">
        <v>42376</v>
      </c>
      <c r="F159">
        <v>3235</v>
      </c>
      <c r="G159" t="s">
        <v>1746</v>
      </c>
      <c r="H159" t="s">
        <v>1798</v>
      </c>
      <c r="I159" t="b">
        <v>0</v>
      </c>
      <c r="J159" t="s">
        <v>1761</v>
      </c>
      <c r="K159" t="s">
        <v>1774</v>
      </c>
      <c r="L159" t="s">
        <v>1817</v>
      </c>
      <c r="M159">
        <v>2573</v>
      </c>
      <c r="N159" t="b">
        <v>1</v>
      </c>
      <c r="O159">
        <v>1281</v>
      </c>
      <c r="P159" t="s">
        <v>1819</v>
      </c>
      <c r="Q159" t="s">
        <v>1753</v>
      </c>
      <c r="R159" t="s">
        <v>1759</v>
      </c>
    </row>
    <row r="160" spans="1:18" x14ac:dyDescent="0.25">
      <c r="A160" t="s">
        <v>2068</v>
      </c>
      <c r="B160" t="s">
        <v>1754</v>
      </c>
      <c r="C160" t="s">
        <v>4</v>
      </c>
      <c r="D160" t="s">
        <v>530</v>
      </c>
      <c r="E160" s="2">
        <v>38870</v>
      </c>
      <c r="F160">
        <v>6741</v>
      </c>
      <c r="G160" t="s">
        <v>1746</v>
      </c>
      <c r="H160" t="s">
        <v>1747</v>
      </c>
      <c r="I160" t="b">
        <v>1</v>
      </c>
      <c r="J160" t="s">
        <v>1761</v>
      </c>
      <c r="K160" t="s">
        <v>1749</v>
      </c>
      <c r="L160" t="s">
        <v>1817</v>
      </c>
      <c r="M160">
        <v>2567</v>
      </c>
      <c r="N160" t="b">
        <v>0</v>
      </c>
      <c r="O160">
        <v>92</v>
      </c>
      <c r="P160" t="s">
        <v>1819</v>
      </c>
      <c r="Q160" t="s">
        <v>1753</v>
      </c>
    </row>
    <row r="161" spans="1:18" x14ac:dyDescent="0.25">
      <c r="A161" t="s">
        <v>2069</v>
      </c>
      <c r="B161" t="s">
        <v>2071</v>
      </c>
      <c r="C161" t="s">
        <v>4</v>
      </c>
      <c r="D161" t="s">
        <v>383</v>
      </c>
      <c r="E161" s="2">
        <v>42744</v>
      </c>
      <c r="F161">
        <v>2867</v>
      </c>
      <c r="G161" t="s">
        <v>1746</v>
      </c>
      <c r="H161" t="s">
        <v>1747</v>
      </c>
      <c r="I161" t="b">
        <v>0</v>
      </c>
      <c r="J161" t="s">
        <v>1748</v>
      </c>
      <c r="K161" t="s">
        <v>1809</v>
      </c>
      <c r="L161" t="s">
        <v>1766</v>
      </c>
      <c r="M161">
        <v>2554</v>
      </c>
      <c r="N161" t="b">
        <v>0</v>
      </c>
      <c r="P161" t="s">
        <v>2070</v>
      </c>
      <c r="Q161" t="s">
        <v>1753</v>
      </c>
    </row>
    <row r="162" spans="1:18" x14ac:dyDescent="0.25">
      <c r="A162" t="s">
        <v>2073</v>
      </c>
      <c r="B162" t="s">
        <v>1866</v>
      </c>
      <c r="C162" t="s">
        <v>572</v>
      </c>
      <c r="D162" t="s">
        <v>2072</v>
      </c>
      <c r="E162" s="2">
        <v>40081</v>
      </c>
      <c r="F162">
        <v>5530</v>
      </c>
      <c r="G162" t="s">
        <v>1746</v>
      </c>
      <c r="H162" t="s">
        <v>1798</v>
      </c>
      <c r="I162" t="b">
        <v>0</v>
      </c>
      <c r="J162" t="s">
        <v>1761</v>
      </c>
      <c r="K162" t="s">
        <v>1912</v>
      </c>
      <c r="L162" t="s">
        <v>1750</v>
      </c>
      <c r="M162">
        <v>2545</v>
      </c>
      <c r="N162" t="b">
        <v>0</v>
      </c>
      <c r="O162">
        <v>100</v>
      </c>
      <c r="P162" t="s">
        <v>1752</v>
      </c>
      <c r="Q162" t="s">
        <v>1753</v>
      </c>
      <c r="R162" t="s">
        <v>1759</v>
      </c>
    </row>
    <row r="163" spans="1:18" x14ac:dyDescent="0.25">
      <c r="A163" t="s">
        <v>2074</v>
      </c>
      <c r="B163" t="s">
        <v>2075</v>
      </c>
      <c r="C163" t="s">
        <v>4</v>
      </c>
      <c r="D163" t="s">
        <v>554</v>
      </c>
      <c r="E163" s="2">
        <v>43781</v>
      </c>
      <c r="F163">
        <v>1830</v>
      </c>
      <c r="G163" t="s">
        <v>1746</v>
      </c>
      <c r="H163" t="s">
        <v>1798</v>
      </c>
      <c r="I163" t="b">
        <v>0</v>
      </c>
      <c r="J163" t="s">
        <v>1748</v>
      </c>
      <c r="K163" t="s">
        <v>1776</v>
      </c>
      <c r="L163" t="s">
        <v>1817</v>
      </c>
      <c r="M163">
        <v>2538</v>
      </c>
      <c r="N163" t="b">
        <v>1</v>
      </c>
      <c r="O163">
        <v>376</v>
      </c>
      <c r="P163" t="s">
        <v>1819</v>
      </c>
      <c r="Q163" t="s">
        <v>1753</v>
      </c>
      <c r="R163" t="s">
        <v>1759</v>
      </c>
    </row>
    <row r="164" spans="1:18" x14ac:dyDescent="0.25">
      <c r="A164" t="s">
        <v>2076</v>
      </c>
      <c r="B164" t="s">
        <v>1945</v>
      </c>
      <c r="C164" t="s">
        <v>6</v>
      </c>
      <c r="D164" t="s">
        <v>102</v>
      </c>
      <c r="E164" s="2">
        <v>40337</v>
      </c>
      <c r="F164">
        <v>5274</v>
      </c>
      <c r="G164" t="s">
        <v>1746</v>
      </c>
      <c r="H164" t="s">
        <v>1798</v>
      </c>
      <c r="I164" t="b">
        <v>0</v>
      </c>
      <c r="J164" t="s">
        <v>1748</v>
      </c>
      <c r="K164" t="s">
        <v>1824</v>
      </c>
      <c r="L164" t="s">
        <v>1766</v>
      </c>
      <c r="M164">
        <v>2522</v>
      </c>
      <c r="N164" t="b">
        <v>0</v>
      </c>
      <c r="P164" t="s">
        <v>1752</v>
      </c>
      <c r="Q164" t="s">
        <v>1753</v>
      </c>
    </row>
    <row r="165" spans="1:18" x14ac:dyDescent="0.25">
      <c r="A165" t="s">
        <v>2078</v>
      </c>
      <c r="B165" t="s">
        <v>1704</v>
      </c>
      <c r="C165" t="s">
        <v>4</v>
      </c>
      <c r="D165" t="s">
        <v>2077</v>
      </c>
      <c r="E165" s="2">
        <v>44449</v>
      </c>
      <c r="F165">
        <v>1162</v>
      </c>
      <c r="G165" t="s">
        <v>1746</v>
      </c>
      <c r="H165" t="s">
        <v>1747</v>
      </c>
      <c r="I165" t="b">
        <v>0</v>
      </c>
      <c r="J165" t="s">
        <v>1761</v>
      </c>
      <c r="K165" t="s">
        <v>1749</v>
      </c>
      <c r="L165" t="s">
        <v>1750</v>
      </c>
      <c r="M165">
        <v>2493</v>
      </c>
      <c r="N165" t="b">
        <v>1</v>
      </c>
      <c r="O165">
        <v>287</v>
      </c>
      <c r="P165" t="s">
        <v>1752</v>
      </c>
      <c r="Q165" t="s">
        <v>1753</v>
      </c>
    </row>
    <row r="166" spans="1:18" x14ac:dyDescent="0.25">
      <c r="A166" t="s">
        <v>2079</v>
      </c>
      <c r="B166" t="s">
        <v>2046</v>
      </c>
      <c r="C166" t="s">
        <v>6</v>
      </c>
      <c r="D166" t="s">
        <v>1172</v>
      </c>
      <c r="E166" s="2">
        <v>42930</v>
      </c>
      <c r="F166">
        <v>2681</v>
      </c>
      <c r="G166" t="s">
        <v>1746</v>
      </c>
      <c r="H166" t="s">
        <v>2001</v>
      </c>
      <c r="I166" t="b">
        <v>1</v>
      </c>
      <c r="J166" t="s">
        <v>1748</v>
      </c>
      <c r="K166" t="s">
        <v>1774</v>
      </c>
      <c r="L166" t="s">
        <v>1750</v>
      </c>
      <c r="M166">
        <v>2488</v>
      </c>
      <c r="N166" t="b">
        <v>0</v>
      </c>
      <c r="O166">
        <v>198</v>
      </c>
      <c r="P166" t="s">
        <v>1752</v>
      </c>
      <c r="Q166" t="s">
        <v>1753</v>
      </c>
    </row>
    <row r="167" spans="1:18" x14ac:dyDescent="0.25">
      <c r="A167" t="s">
        <v>2081</v>
      </c>
      <c r="B167" t="s">
        <v>2082</v>
      </c>
      <c r="C167" t="s">
        <v>572</v>
      </c>
      <c r="D167" t="s">
        <v>2080</v>
      </c>
      <c r="E167" s="2">
        <v>43397</v>
      </c>
      <c r="F167">
        <v>2214</v>
      </c>
      <c r="G167" t="s">
        <v>1746</v>
      </c>
      <c r="H167" t="s">
        <v>1747</v>
      </c>
      <c r="I167" t="b">
        <v>0</v>
      </c>
      <c r="J167" t="s">
        <v>1748</v>
      </c>
      <c r="K167" t="s">
        <v>1922</v>
      </c>
      <c r="L167" t="s">
        <v>1750</v>
      </c>
      <c r="M167">
        <v>2471</v>
      </c>
      <c r="N167" t="b">
        <v>0</v>
      </c>
      <c r="O167">
        <v>53</v>
      </c>
      <c r="P167" t="s">
        <v>1752</v>
      </c>
      <c r="Q167" t="s">
        <v>1753</v>
      </c>
    </row>
    <row r="168" spans="1:18" x14ac:dyDescent="0.25">
      <c r="A168" t="s">
        <v>2084</v>
      </c>
      <c r="B168" t="s">
        <v>2085</v>
      </c>
      <c r="C168" t="s">
        <v>4</v>
      </c>
      <c r="D168" t="s">
        <v>2083</v>
      </c>
      <c r="E168" s="2">
        <v>43230</v>
      </c>
      <c r="F168">
        <v>2381</v>
      </c>
      <c r="G168" t="s">
        <v>1746</v>
      </c>
      <c r="H168" t="s">
        <v>1747</v>
      </c>
      <c r="I168" t="b">
        <v>1</v>
      </c>
      <c r="J168" t="s">
        <v>1748</v>
      </c>
      <c r="K168" t="s">
        <v>1749</v>
      </c>
      <c r="L168" t="s">
        <v>1817</v>
      </c>
      <c r="M168">
        <v>2451</v>
      </c>
      <c r="N168" t="b">
        <v>0</v>
      </c>
      <c r="O168">
        <v>41</v>
      </c>
      <c r="P168" t="s">
        <v>1819</v>
      </c>
      <c r="Q168" t="s">
        <v>1753</v>
      </c>
    </row>
    <row r="169" spans="1:18" x14ac:dyDescent="0.25">
      <c r="A169" t="s">
        <v>2086</v>
      </c>
      <c r="B169" t="s">
        <v>1829</v>
      </c>
      <c r="C169" t="s">
        <v>6</v>
      </c>
      <c r="D169" t="s">
        <v>1510</v>
      </c>
      <c r="E169" s="2">
        <v>40469</v>
      </c>
      <c r="F169">
        <v>5142</v>
      </c>
      <c r="G169" t="s">
        <v>1746</v>
      </c>
      <c r="H169" t="s">
        <v>1798</v>
      </c>
      <c r="I169" t="b">
        <v>0</v>
      </c>
      <c r="J169" t="s">
        <v>1761</v>
      </c>
      <c r="K169" t="s">
        <v>1826</v>
      </c>
      <c r="L169" t="s">
        <v>1756</v>
      </c>
      <c r="M169">
        <v>2449</v>
      </c>
      <c r="N169" t="b">
        <v>1</v>
      </c>
      <c r="O169">
        <v>2642</v>
      </c>
      <c r="P169" t="s">
        <v>1819</v>
      </c>
      <c r="Q169" t="s">
        <v>1753</v>
      </c>
      <c r="R169" t="s">
        <v>1759</v>
      </c>
    </row>
    <row r="170" spans="1:18" x14ac:dyDescent="0.25">
      <c r="A170" t="s">
        <v>2088</v>
      </c>
      <c r="B170" t="s">
        <v>1840</v>
      </c>
      <c r="C170" t="s">
        <v>4</v>
      </c>
      <c r="D170" t="s">
        <v>2087</v>
      </c>
      <c r="E170" s="2">
        <v>41912</v>
      </c>
      <c r="F170">
        <v>3699</v>
      </c>
      <c r="G170" t="s">
        <v>1746</v>
      </c>
      <c r="H170" t="s">
        <v>1805</v>
      </c>
      <c r="I170" t="b">
        <v>1</v>
      </c>
      <c r="J170" t="s">
        <v>1761</v>
      </c>
      <c r="K170" t="s">
        <v>1822</v>
      </c>
      <c r="L170" t="s">
        <v>1750</v>
      </c>
      <c r="M170">
        <v>2440</v>
      </c>
      <c r="N170" t="b">
        <v>0</v>
      </c>
      <c r="O170">
        <v>252</v>
      </c>
      <c r="P170" t="s">
        <v>1752</v>
      </c>
      <c r="Q170" t="s">
        <v>1753</v>
      </c>
    </row>
    <row r="171" spans="1:18" x14ac:dyDescent="0.25">
      <c r="A171" t="s">
        <v>2089</v>
      </c>
      <c r="B171" t="s">
        <v>1876</v>
      </c>
      <c r="C171" t="s">
        <v>4</v>
      </c>
      <c r="D171" t="s">
        <v>1328</v>
      </c>
      <c r="E171" s="2">
        <v>43515</v>
      </c>
      <c r="F171">
        <v>2096</v>
      </c>
      <c r="G171" t="s">
        <v>1746</v>
      </c>
      <c r="H171" t="s">
        <v>1747</v>
      </c>
      <c r="I171" t="b">
        <v>0</v>
      </c>
      <c r="J171" t="s">
        <v>1748</v>
      </c>
      <c r="K171" t="s">
        <v>1863</v>
      </c>
      <c r="L171" t="s">
        <v>1817</v>
      </c>
      <c r="M171">
        <v>2434</v>
      </c>
      <c r="N171" t="b">
        <v>0</v>
      </c>
      <c r="O171">
        <v>7086</v>
      </c>
      <c r="P171" t="s">
        <v>1819</v>
      </c>
      <c r="Q171" t="s">
        <v>1753</v>
      </c>
      <c r="R171" t="s">
        <v>1759</v>
      </c>
    </row>
    <row r="172" spans="1:18" x14ac:dyDescent="0.25">
      <c r="A172" t="s">
        <v>2091</v>
      </c>
      <c r="B172" t="s">
        <v>2093</v>
      </c>
      <c r="C172" t="s">
        <v>4</v>
      </c>
      <c r="D172" t="s">
        <v>2090</v>
      </c>
      <c r="E172" s="2">
        <v>41912</v>
      </c>
      <c r="F172">
        <v>3699</v>
      </c>
      <c r="G172" t="s">
        <v>1746</v>
      </c>
      <c r="H172" t="s">
        <v>1747</v>
      </c>
      <c r="I172" t="b">
        <v>1</v>
      </c>
      <c r="J172" t="s">
        <v>1761</v>
      </c>
      <c r="K172" t="s">
        <v>1822</v>
      </c>
      <c r="L172" t="s">
        <v>1750</v>
      </c>
      <c r="M172">
        <v>2426</v>
      </c>
      <c r="N172" t="b">
        <v>0</v>
      </c>
      <c r="O172">
        <v>579</v>
      </c>
      <c r="P172" t="s">
        <v>1752</v>
      </c>
      <c r="Q172" t="s">
        <v>1753</v>
      </c>
      <c r="R172" t="s">
        <v>2092</v>
      </c>
    </row>
    <row r="173" spans="1:18" x14ac:dyDescent="0.25">
      <c r="A173" t="s">
        <v>338</v>
      </c>
      <c r="B173" t="s">
        <v>1876</v>
      </c>
      <c r="C173" t="s">
        <v>4</v>
      </c>
      <c r="D173" t="s">
        <v>339</v>
      </c>
      <c r="E173" s="2">
        <v>40791</v>
      </c>
      <c r="F173">
        <v>4820</v>
      </c>
      <c r="G173" t="s">
        <v>1746</v>
      </c>
      <c r="H173" t="s">
        <v>1747</v>
      </c>
      <c r="I173" t="b">
        <v>1</v>
      </c>
      <c r="J173" t="s">
        <v>1761</v>
      </c>
      <c r="K173" t="s">
        <v>1824</v>
      </c>
      <c r="L173" t="s">
        <v>1750</v>
      </c>
      <c r="M173">
        <v>2417</v>
      </c>
      <c r="N173" t="b">
        <v>0</v>
      </c>
      <c r="O173">
        <v>1284</v>
      </c>
      <c r="P173" t="s">
        <v>1752</v>
      </c>
      <c r="Q173" t="s">
        <v>1753</v>
      </c>
      <c r="R173" t="s">
        <v>1772</v>
      </c>
    </row>
    <row r="174" spans="1:18" x14ac:dyDescent="0.25">
      <c r="A174" t="s">
        <v>2095</v>
      </c>
      <c r="B174" t="s">
        <v>2096</v>
      </c>
      <c r="C174" t="s">
        <v>4</v>
      </c>
      <c r="D174" t="s">
        <v>2094</v>
      </c>
      <c r="E174" s="2">
        <v>38799</v>
      </c>
      <c r="F174">
        <v>6812</v>
      </c>
      <c r="G174" t="s">
        <v>1746</v>
      </c>
      <c r="H174" t="s">
        <v>1798</v>
      </c>
      <c r="I174" t="b">
        <v>0</v>
      </c>
      <c r="J174" t="s">
        <v>1761</v>
      </c>
      <c r="K174" t="s">
        <v>1749</v>
      </c>
      <c r="L174" t="s">
        <v>1750</v>
      </c>
      <c r="M174">
        <v>2404</v>
      </c>
      <c r="N174" t="b">
        <v>1</v>
      </c>
      <c r="O174">
        <v>530</v>
      </c>
      <c r="P174" t="s">
        <v>1752</v>
      </c>
      <c r="Q174" t="s">
        <v>1753</v>
      </c>
    </row>
    <row r="175" spans="1:18" x14ac:dyDescent="0.25">
      <c r="A175" t="s">
        <v>2097</v>
      </c>
      <c r="B175" t="s">
        <v>1876</v>
      </c>
      <c r="C175" t="s">
        <v>4</v>
      </c>
      <c r="D175" t="s">
        <v>1265</v>
      </c>
      <c r="E175" s="2">
        <v>44166</v>
      </c>
      <c r="F175">
        <v>1445</v>
      </c>
      <c r="G175" t="s">
        <v>1746</v>
      </c>
      <c r="H175" t="s">
        <v>1747</v>
      </c>
      <c r="I175" t="b">
        <v>0</v>
      </c>
      <c r="J175" t="s">
        <v>1748</v>
      </c>
      <c r="K175" t="s">
        <v>1880</v>
      </c>
      <c r="L175" t="s">
        <v>1750</v>
      </c>
      <c r="M175">
        <v>2402</v>
      </c>
      <c r="N175" t="b">
        <v>1</v>
      </c>
      <c r="O175">
        <v>25</v>
      </c>
      <c r="P175" t="s">
        <v>1752</v>
      </c>
      <c r="Q175" t="s">
        <v>1753</v>
      </c>
      <c r="R175" t="s">
        <v>1759</v>
      </c>
    </row>
    <row r="176" spans="1:18" x14ac:dyDescent="0.25">
      <c r="A176" t="s">
        <v>2099</v>
      </c>
      <c r="B176" t="s">
        <v>1840</v>
      </c>
      <c r="C176" t="s">
        <v>4</v>
      </c>
      <c r="D176" t="s">
        <v>2098</v>
      </c>
      <c r="E176" s="2">
        <v>42328</v>
      </c>
      <c r="F176">
        <v>3283</v>
      </c>
      <c r="G176" t="s">
        <v>1746</v>
      </c>
      <c r="H176" t="s">
        <v>1747</v>
      </c>
      <c r="I176" t="b">
        <v>1</v>
      </c>
      <c r="J176" t="s">
        <v>1748</v>
      </c>
      <c r="K176" t="s">
        <v>1824</v>
      </c>
      <c r="L176" t="s">
        <v>1750</v>
      </c>
      <c r="M176">
        <v>2397</v>
      </c>
      <c r="N176" t="b">
        <v>0</v>
      </c>
      <c r="O176">
        <v>62</v>
      </c>
      <c r="P176" t="s">
        <v>1752</v>
      </c>
      <c r="Q176" t="s">
        <v>1753</v>
      </c>
    </row>
    <row r="177" spans="1:18" x14ac:dyDescent="0.25">
      <c r="A177" t="s">
        <v>2101</v>
      </c>
      <c r="B177" t="s">
        <v>1978</v>
      </c>
      <c r="C177" t="s">
        <v>6</v>
      </c>
      <c r="D177" t="s">
        <v>2100</v>
      </c>
      <c r="E177" s="2">
        <v>42177</v>
      </c>
      <c r="F177">
        <v>3434</v>
      </c>
      <c r="G177" t="s">
        <v>1746</v>
      </c>
      <c r="H177" t="s">
        <v>1747</v>
      </c>
      <c r="I177" t="b">
        <v>0</v>
      </c>
      <c r="J177" t="s">
        <v>1748</v>
      </c>
      <c r="K177" t="s">
        <v>1757</v>
      </c>
      <c r="L177" t="s">
        <v>2102</v>
      </c>
      <c r="M177">
        <v>2391</v>
      </c>
      <c r="N177" t="b">
        <v>0</v>
      </c>
      <c r="P177" t="s">
        <v>1752</v>
      </c>
      <c r="Q177" t="s">
        <v>1753</v>
      </c>
    </row>
    <row r="178" spans="1:18" x14ac:dyDescent="0.25">
      <c r="A178" t="s">
        <v>2103</v>
      </c>
      <c r="B178" t="s">
        <v>1945</v>
      </c>
      <c r="C178" t="s">
        <v>6</v>
      </c>
      <c r="D178" t="s">
        <v>70</v>
      </c>
      <c r="E178" s="2">
        <v>40512</v>
      </c>
      <c r="F178">
        <v>5099</v>
      </c>
      <c r="G178" t="s">
        <v>1746</v>
      </c>
      <c r="H178" t="s">
        <v>1798</v>
      </c>
      <c r="I178" t="b">
        <v>0</v>
      </c>
      <c r="J178" t="s">
        <v>1748</v>
      </c>
      <c r="K178" t="s">
        <v>1755</v>
      </c>
      <c r="L178" t="s">
        <v>1766</v>
      </c>
      <c r="M178">
        <v>2357</v>
      </c>
      <c r="N178" t="b">
        <v>0</v>
      </c>
      <c r="P178" t="s">
        <v>1752</v>
      </c>
      <c r="Q178" t="s">
        <v>1753</v>
      </c>
      <c r="R178" t="s">
        <v>1772</v>
      </c>
    </row>
    <row r="179" spans="1:18" x14ac:dyDescent="0.25">
      <c r="A179" t="s">
        <v>2104</v>
      </c>
      <c r="B179" t="s">
        <v>1754</v>
      </c>
      <c r="C179" t="s">
        <v>4</v>
      </c>
      <c r="D179" t="s">
        <v>528</v>
      </c>
      <c r="E179" s="2">
        <v>39059</v>
      </c>
      <c r="F179">
        <v>6552</v>
      </c>
      <c r="G179" t="s">
        <v>1746</v>
      </c>
      <c r="H179" t="s">
        <v>1747</v>
      </c>
      <c r="I179" t="b">
        <v>1</v>
      </c>
      <c r="J179" t="s">
        <v>1748</v>
      </c>
      <c r="K179" t="s">
        <v>1822</v>
      </c>
      <c r="L179" t="s">
        <v>1817</v>
      </c>
      <c r="M179">
        <v>2346</v>
      </c>
      <c r="N179" t="b">
        <v>0</v>
      </c>
      <c r="O179">
        <v>48</v>
      </c>
      <c r="P179" t="s">
        <v>1819</v>
      </c>
      <c r="Q179" t="s">
        <v>1753</v>
      </c>
    </row>
    <row r="180" spans="1:18" x14ac:dyDescent="0.25">
      <c r="A180" t="s">
        <v>2105</v>
      </c>
      <c r="B180" t="s">
        <v>2106</v>
      </c>
      <c r="C180" t="s">
        <v>6</v>
      </c>
      <c r="D180" t="s">
        <v>937</v>
      </c>
      <c r="E180" s="2">
        <v>42065</v>
      </c>
      <c r="F180">
        <v>3546</v>
      </c>
      <c r="G180" t="s">
        <v>1833</v>
      </c>
      <c r="H180" t="s">
        <v>1798</v>
      </c>
      <c r="I180" t="b">
        <v>0</v>
      </c>
      <c r="J180" t="s">
        <v>1748</v>
      </c>
      <c r="K180" t="s">
        <v>1822</v>
      </c>
      <c r="L180" t="s">
        <v>1766</v>
      </c>
      <c r="M180">
        <v>2340</v>
      </c>
      <c r="N180" t="b">
        <v>0</v>
      </c>
      <c r="P180" t="s">
        <v>1827</v>
      </c>
      <c r="Q180" t="s">
        <v>1753</v>
      </c>
      <c r="R180" t="s">
        <v>1759</v>
      </c>
    </row>
    <row r="181" spans="1:18" x14ac:dyDescent="0.25">
      <c r="A181" t="s">
        <v>2107</v>
      </c>
      <c r="B181" t="s">
        <v>1754</v>
      </c>
      <c r="C181" t="s">
        <v>4</v>
      </c>
      <c r="D181" t="s">
        <v>543</v>
      </c>
      <c r="E181" s="2">
        <v>37697</v>
      </c>
      <c r="F181">
        <v>7914</v>
      </c>
      <c r="G181" t="s">
        <v>1746</v>
      </c>
      <c r="H181" t="s">
        <v>1798</v>
      </c>
      <c r="I181" t="b">
        <v>1</v>
      </c>
      <c r="J181" t="s">
        <v>1761</v>
      </c>
      <c r="K181" t="s">
        <v>1755</v>
      </c>
      <c r="L181" t="s">
        <v>1817</v>
      </c>
      <c r="M181">
        <v>2339</v>
      </c>
      <c r="N181" t="b">
        <v>0</v>
      </c>
      <c r="O181">
        <v>2447</v>
      </c>
      <c r="P181" t="s">
        <v>1819</v>
      </c>
      <c r="Q181" t="s">
        <v>1753</v>
      </c>
      <c r="R181" t="s">
        <v>1759</v>
      </c>
    </row>
    <row r="182" spans="1:18" x14ac:dyDescent="0.25">
      <c r="A182" t="s">
        <v>1635</v>
      </c>
      <c r="B182" t="s">
        <v>1810</v>
      </c>
      <c r="C182" t="s">
        <v>4</v>
      </c>
      <c r="D182" t="s">
        <v>1636</v>
      </c>
      <c r="E182" s="2">
        <v>42433</v>
      </c>
      <c r="F182">
        <v>3178</v>
      </c>
      <c r="G182" t="s">
        <v>1746</v>
      </c>
      <c r="H182" t="s">
        <v>1747</v>
      </c>
      <c r="I182" t="b">
        <v>1</v>
      </c>
      <c r="J182" t="s">
        <v>1748</v>
      </c>
      <c r="K182" t="s">
        <v>1776</v>
      </c>
      <c r="L182" t="s">
        <v>1750</v>
      </c>
      <c r="M182">
        <v>2330</v>
      </c>
      <c r="N182" t="b">
        <v>0</v>
      </c>
      <c r="O182">
        <v>136</v>
      </c>
      <c r="P182" t="s">
        <v>1752</v>
      </c>
      <c r="Q182" t="s">
        <v>1753</v>
      </c>
      <c r="R182" t="s">
        <v>1759</v>
      </c>
    </row>
    <row r="183" spans="1:18" x14ac:dyDescent="0.25">
      <c r="A183" t="s">
        <v>2108</v>
      </c>
      <c r="B183" t="s">
        <v>1768</v>
      </c>
      <c r="C183" t="s">
        <v>4</v>
      </c>
      <c r="D183" t="s">
        <v>786</v>
      </c>
      <c r="E183" s="2">
        <v>42269</v>
      </c>
      <c r="F183">
        <v>3342</v>
      </c>
      <c r="G183" t="s">
        <v>1746</v>
      </c>
      <c r="H183" t="s">
        <v>1747</v>
      </c>
      <c r="I183" t="b">
        <v>0</v>
      </c>
      <c r="J183" t="s">
        <v>1748</v>
      </c>
      <c r="K183" t="s">
        <v>1906</v>
      </c>
      <c r="L183" t="s">
        <v>1750</v>
      </c>
      <c r="M183">
        <v>2321</v>
      </c>
      <c r="N183" t="b">
        <v>0</v>
      </c>
      <c r="O183">
        <v>36</v>
      </c>
      <c r="P183" t="s">
        <v>1752</v>
      </c>
      <c r="Q183" t="s">
        <v>1753</v>
      </c>
      <c r="R183" t="s">
        <v>1759</v>
      </c>
    </row>
    <row r="184" spans="1:18" x14ac:dyDescent="0.25">
      <c r="A184" t="s">
        <v>2110</v>
      </c>
      <c r="B184" t="s">
        <v>1803</v>
      </c>
      <c r="C184" t="s">
        <v>572</v>
      </c>
      <c r="D184" t="s">
        <v>2109</v>
      </c>
      <c r="E184" s="2">
        <v>37117</v>
      </c>
      <c r="F184">
        <v>8494</v>
      </c>
      <c r="G184" t="s">
        <v>1746</v>
      </c>
      <c r="H184" t="s">
        <v>1798</v>
      </c>
      <c r="I184" t="b">
        <v>0</v>
      </c>
      <c r="J184" t="s">
        <v>1761</v>
      </c>
      <c r="K184" t="s">
        <v>1788</v>
      </c>
      <c r="L184" t="s">
        <v>1756</v>
      </c>
      <c r="M184">
        <v>2314</v>
      </c>
      <c r="N184" t="b">
        <v>0</v>
      </c>
      <c r="O184">
        <v>53</v>
      </c>
      <c r="P184" t="s">
        <v>1752</v>
      </c>
      <c r="Q184" t="s">
        <v>1753</v>
      </c>
      <c r="R184" t="s">
        <v>1759</v>
      </c>
    </row>
    <row r="185" spans="1:18" x14ac:dyDescent="0.25">
      <c r="A185" t="s">
        <v>2111</v>
      </c>
      <c r="B185" t="s">
        <v>1810</v>
      </c>
      <c r="C185" t="s">
        <v>4</v>
      </c>
      <c r="D185" t="s">
        <v>609</v>
      </c>
      <c r="E185" s="2">
        <v>41915</v>
      </c>
      <c r="F185">
        <v>3696</v>
      </c>
      <c r="G185" t="s">
        <v>1746</v>
      </c>
      <c r="H185" t="s">
        <v>1747</v>
      </c>
      <c r="I185" t="b">
        <v>1</v>
      </c>
      <c r="J185" t="s">
        <v>1748</v>
      </c>
      <c r="K185" t="s">
        <v>1776</v>
      </c>
      <c r="L185" t="s">
        <v>1756</v>
      </c>
      <c r="M185">
        <v>2313</v>
      </c>
      <c r="N185" t="b">
        <v>0</v>
      </c>
      <c r="O185">
        <v>352</v>
      </c>
      <c r="P185" t="s">
        <v>1752</v>
      </c>
      <c r="Q185" t="s">
        <v>1753</v>
      </c>
      <c r="R185" t="s">
        <v>1759</v>
      </c>
    </row>
    <row r="186" spans="1:18" x14ac:dyDescent="0.25">
      <c r="A186" t="s">
        <v>2112</v>
      </c>
      <c r="B186" t="s">
        <v>1763</v>
      </c>
      <c r="C186" t="s">
        <v>4</v>
      </c>
      <c r="D186" t="s">
        <v>1308</v>
      </c>
      <c r="E186" s="2">
        <v>41051</v>
      </c>
      <c r="F186">
        <v>4560</v>
      </c>
      <c r="G186" t="s">
        <v>1746</v>
      </c>
      <c r="H186" t="s">
        <v>1747</v>
      </c>
      <c r="I186" t="b">
        <v>1</v>
      </c>
      <c r="J186" t="s">
        <v>1761</v>
      </c>
      <c r="K186" t="s">
        <v>1793</v>
      </c>
      <c r="L186" t="s">
        <v>1750</v>
      </c>
      <c r="M186">
        <v>2300</v>
      </c>
      <c r="N186" t="b">
        <v>0</v>
      </c>
      <c r="O186">
        <v>2199</v>
      </c>
      <c r="P186" t="s">
        <v>1752</v>
      </c>
      <c r="Q186" t="s">
        <v>1753</v>
      </c>
      <c r="R186" t="s">
        <v>1772</v>
      </c>
    </row>
    <row r="187" spans="1:18" x14ac:dyDescent="0.25">
      <c r="A187" t="s">
        <v>2113</v>
      </c>
      <c r="B187" t="s">
        <v>1876</v>
      </c>
      <c r="C187" t="s">
        <v>4</v>
      </c>
      <c r="D187" t="s">
        <v>1295</v>
      </c>
      <c r="E187" s="2">
        <v>43515</v>
      </c>
      <c r="F187">
        <v>2096</v>
      </c>
      <c r="G187" t="s">
        <v>1746</v>
      </c>
      <c r="H187" t="s">
        <v>1798</v>
      </c>
      <c r="I187" t="b">
        <v>0</v>
      </c>
      <c r="J187" t="s">
        <v>1748</v>
      </c>
      <c r="K187" t="s">
        <v>1749</v>
      </c>
      <c r="L187" t="s">
        <v>1817</v>
      </c>
      <c r="M187">
        <v>2271</v>
      </c>
      <c r="N187" t="b">
        <v>0</v>
      </c>
      <c r="O187">
        <v>462</v>
      </c>
      <c r="P187" t="s">
        <v>1819</v>
      </c>
      <c r="Q187" t="s">
        <v>1753</v>
      </c>
      <c r="R187" t="s">
        <v>1828</v>
      </c>
    </row>
    <row r="188" spans="1:18" x14ac:dyDescent="0.25">
      <c r="A188" t="s">
        <v>2114</v>
      </c>
      <c r="B188" t="s">
        <v>1876</v>
      </c>
      <c r="C188" t="s">
        <v>6</v>
      </c>
      <c r="D188" t="s">
        <v>69</v>
      </c>
      <c r="E188" s="2">
        <v>45009</v>
      </c>
      <c r="F188">
        <v>602</v>
      </c>
      <c r="G188" t="s">
        <v>1746</v>
      </c>
      <c r="H188" t="s">
        <v>1747</v>
      </c>
      <c r="I188" t="b">
        <v>0</v>
      </c>
      <c r="J188" t="s">
        <v>1761</v>
      </c>
      <c r="K188" t="s">
        <v>1934</v>
      </c>
      <c r="L188" t="s">
        <v>1766</v>
      </c>
      <c r="M188">
        <v>2218</v>
      </c>
      <c r="N188" t="b">
        <v>0</v>
      </c>
      <c r="P188" t="s">
        <v>1752</v>
      </c>
      <c r="Q188" t="s">
        <v>1753</v>
      </c>
      <c r="R188" t="s">
        <v>1772</v>
      </c>
    </row>
    <row r="189" spans="1:18" x14ac:dyDescent="0.25">
      <c r="A189" t="s">
        <v>2116</v>
      </c>
      <c r="B189" t="s">
        <v>1820</v>
      </c>
      <c r="C189" t="s">
        <v>4</v>
      </c>
      <c r="D189" t="s">
        <v>2115</v>
      </c>
      <c r="E189" s="2">
        <v>38075</v>
      </c>
      <c r="F189">
        <v>7536</v>
      </c>
      <c r="G189" t="s">
        <v>1746</v>
      </c>
      <c r="H189" t="s">
        <v>1805</v>
      </c>
      <c r="I189" t="b">
        <v>1</v>
      </c>
      <c r="J189" t="s">
        <v>1761</v>
      </c>
      <c r="K189" t="s">
        <v>1755</v>
      </c>
      <c r="L189" t="s">
        <v>1817</v>
      </c>
      <c r="M189">
        <v>2215</v>
      </c>
      <c r="N189" t="b">
        <v>0</v>
      </c>
      <c r="O189">
        <v>508</v>
      </c>
      <c r="P189" t="s">
        <v>1819</v>
      </c>
      <c r="Q189" t="s">
        <v>1753</v>
      </c>
      <c r="R189" t="s">
        <v>1759</v>
      </c>
    </row>
    <row r="190" spans="1:18" x14ac:dyDescent="0.25">
      <c r="A190" t="s">
        <v>2117</v>
      </c>
      <c r="B190" t="s">
        <v>1814</v>
      </c>
      <c r="C190" t="s">
        <v>6</v>
      </c>
      <c r="D190" t="s">
        <v>24</v>
      </c>
      <c r="E190" s="2">
        <v>39707</v>
      </c>
      <c r="F190">
        <v>5904</v>
      </c>
      <c r="G190" t="s">
        <v>1746</v>
      </c>
      <c r="H190" t="s">
        <v>1798</v>
      </c>
      <c r="I190" t="b">
        <v>1</v>
      </c>
      <c r="J190" t="s">
        <v>1748</v>
      </c>
      <c r="K190" t="s">
        <v>1863</v>
      </c>
      <c r="L190" t="s">
        <v>1750</v>
      </c>
      <c r="M190">
        <v>2211</v>
      </c>
      <c r="N190" t="b">
        <v>0</v>
      </c>
      <c r="O190">
        <v>50</v>
      </c>
      <c r="P190" t="s">
        <v>1752</v>
      </c>
      <c r="Q190" t="s">
        <v>1753</v>
      </c>
      <c r="R190" t="s">
        <v>1828</v>
      </c>
    </row>
    <row r="191" spans="1:18" x14ac:dyDescent="0.25">
      <c r="A191" t="s">
        <v>2118</v>
      </c>
      <c r="B191" t="s">
        <v>1810</v>
      </c>
      <c r="C191" t="s">
        <v>4</v>
      </c>
      <c r="D191" t="s">
        <v>634</v>
      </c>
      <c r="E191" s="2">
        <v>39157</v>
      </c>
      <c r="F191">
        <v>6454</v>
      </c>
      <c r="G191" t="s">
        <v>1746</v>
      </c>
      <c r="H191" t="s">
        <v>1747</v>
      </c>
      <c r="I191" t="b">
        <v>1</v>
      </c>
      <c r="J191" t="s">
        <v>1761</v>
      </c>
      <c r="K191" t="s">
        <v>1757</v>
      </c>
      <c r="L191" t="s">
        <v>1750</v>
      </c>
      <c r="M191">
        <v>2164</v>
      </c>
      <c r="N191" t="b">
        <v>0</v>
      </c>
      <c r="O191">
        <v>64</v>
      </c>
      <c r="P191" t="s">
        <v>1752</v>
      </c>
      <c r="Q191" t="s">
        <v>1753</v>
      </c>
      <c r="R191" t="s">
        <v>1759</v>
      </c>
    </row>
    <row r="192" spans="1:18" x14ac:dyDescent="0.25">
      <c r="A192" t="s">
        <v>2120</v>
      </c>
      <c r="B192" t="s">
        <v>1894</v>
      </c>
      <c r="C192" t="s">
        <v>4</v>
      </c>
      <c r="D192" t="s">
        <v>2119</v>
      </c>
      <c r="E192" s="2">
        <v>45308</v>
      </c>
      <c r="F192">
        <v>303</v>
      </c>
      <c r="G192" t="s">
        <v>1746</v>
      </c>
      <c r="H192" t="s">
        <v>1747</v>
      </c>
      <c r="I192" t="b">
        <v>1</v>
      </c>
      <c r="J192" t="s">
        <v>1748</v>
      </c>
      <c r="K192" t="s">
        <v>1774</v>
      </c>
      <c r="L192" t="s">
        <v>1750</v>
      </c>
      <c r="M192">
        <v>2164</v>
      </c>
      <c r="N192" t="b">
        <v>0</v>
      </c>
      <c r="O192">
        <v>1403</v>
      </c>
      <c r="P192" t="s">
        <v>1752</v>
      </c>
      <c r="Q192" t="s">
        <v>1753</v>
      </c>
      <c r="R192" t="s">
        <v>1759</v>
      </c>
    </row>
    <row r="193" spans="1:18" x14ac:dyDescent="0.25">
      <c r="A193" t="s">
        <v>629</v>
      </c>
      <c r="B193" t="s">
        <v>1810</v>
      </c>
      <c r="C193" t="s">
        <v>4</v>
      </c>
      <c r="D193" t="s">
        <v>630</v>
      </c>
      <c r="E193" s="2">
        <v>39269</v>
      </c>
      <c r="F193">
        <v>6342</v>
      </c>
      <c r="G193" t="s">
        <v>1746</v>
      </c>
      <c r="H193" t="s">
        <v>1747</v>
      </c>
      <c r="I193" t="b">
        <v>1</v>
      </c>
      <c r="J193" t="s">
        <v>1761</v>
      </c>
      <c r="K193" t="s">
        <v>1757</v>
      </c>
      <c r="L193" t="s">
        <v>1750</v>
      </c>
      <c r="M193">
        <v>2162</v>
      </c>
      <c r="N193" t="b">
        <v>1</v>
      </c>
      <c r="O193">
        <v>101</v>
      </c>
      <c r="P193" t="s">
        <v>1752</v>
      </c>
      <c r="Q193" t="s">
        <v>1753</v>
      </c>
      <c r="R193" t="s">
        <v>1759</v>
      </c>
    </row>
    <row r="194" spans="1:18" x14ac:dyDescent="0.25">
      <c r="A194" t="s">
        <v>2121</v>
      </c>
      <c r="B194" t="s">
        <v>2035</v>
      </c>
      <c r="C194" t="s">
        <v>6</v>
      </c>
      <c r="D194" t="s">
        <v>922</v>
      </c>
      <c r="E194" s="2">
        <v>40406</v>
      </c>
      <c r="F194">
        <v>5205</v>
      </c>
      <c r="G194" t="s">
        <v>1746</v>
      </c>
      <c r="H194" t="s">
        <v>1798</v>
      </c>
      <c r="I194" t="b">
        <v>0</v>
      </c>
      <c r="J194" t="s">
        <v>1748</v>
      </c>
      <c r="K194" t="s">
        <v>1853</v>
      </c>
      <c r="L194" t="s">
        <v>1766</v>
      </c>
      <c r="M194">
        <v>2097</v>
      </c>
      <c r="N194" t="b">
        <v>0</v>
      </c>
      <c r="P194" t="s">
        <v>1752</v>
      </c>
      <c r="Q194" t="s">
        <v>1753</v>
      </c>
      <c r="R194" t="s">
        <v>1759</v>
      </c>
    </row>
    <row r="195" spans="1:18" x14ac:dyDescent="0.25">
      <c r="A195" t="s">
        <v>2122</v>
      </c>
      <c r="B195" t="s">
        <v>1814</v>
      </c>
      <c r="C195" t="s">
        <v>6</v>
      </c>
      <c r="D195" t="s">
        <v>52</v>
      </c>
      <c r="E195" s="2">
        <v>43368</v>
      </c>
      <c r="F195">
        <v>2243</v>
      </c>
      <c r="G195" t="s">
        <v>1746</v>
      </c>
      <c r="H195" t="s">
        <v>1798</v>
      </c>
      <c r="I195" t="b">
        <v>0</v>
      </c>
      <c r="J195" t="s">
        <v>1748</v>
      </c>
      <c r="K195" t="s">
        <v>1770</v>
      </c>
      <c r="L195" t="s">
        <v>1750</v>
      </c>
      <c r="M195">
        <v>2073</v>
      </c>
      <c r="N195" t="b">
        <v>1</v>
      </c>
      <c r="O195">
        <v>105</v>
      </c>
      <c r="P195" t="s">
        <v>1752</v>
      </c>
      <c r="Q195" t="s">
        <v>1753</v>
      </c>
      <c r="R195" t="s">
        <v>1828</v>
      </c>
    </row>
    <row r="196" spans="1:18" x14ac:dyDescent="0.25">
      <c r="A196" t="s">
        <v>2124</v>
      </c>
      <c r="B196" t="s">
        <v>2125</v>
      </c>
      <c r="C196" t="s">
        <v>4</v>
      </c>
      <c r="D196" t="s">
        <v>2123</v>
      </c>
      <c r="E196" s="2">
        <v>41912</v>
      </c>
      <c r="F196">
        <v>3699</v>
      </c>
      <c r="G196" t="s">
        <v>1746</v>
      </c>
      <c r="H196" t="s">
        <v>1798</v>
      </c>
      <c r="I196" t="b">
        <v>1</v>
      </c>
      <c r="J196" t="s">
        <v>1761</v>
      </c>
      <c r="K196" t="s">
        <v>1822</v>
      </c>
      <c r="L196" t="s">
        <v>1750</v>
      </c>
      <c r="M196">
        <v>2073</v>
      </c>
      <c r="N196" t="b">
        <v>0</v>
      </c>
      <c r="O196">
        <v>431</v>
      </c>
      <c r="P196" t="s">
        <v>1752</v>
      </c>
      <c r="Q196" t="s">
        <v>1753</v>
      </c>
      <c r="R196" t="s">
        <v>1828</v>
      </c>
    </row>
    <row r="197" spans="1:18" x14ac:dyDescent="0.25">
      <c r="A197" t="s">
        <v>2126</v>
      </c>
      <c r="B197" t="s">
        <v>1814</v>
      </c>
      <c r="C197" t="s">
        <v>4</v>
      </c>
      <c r="D197" t="s">
        <v>1016</v>
      </c>
      <c r="E197" s="2">
        <v>40676</v>
      </c>
      <c r="F197">
        <v>4935</v>
      </c>
      <c r="G197" t="s">
        <v>1746</v>
      </c>
      <c r="H197" t="s">
        <v>1747</v>
      </c>
      <c r="I197" t="b">
        <v>1</v>
      </c>
      <c r="J197" t="s">
        <v>1748</v>
      </c>
      <c r="K197" t="s">
        <v>1825</v>
      </c>
      <c r="L197" t="s">
        <v>1756</v>
      </c>
      <c r="M197">
        <v>2069</v>
      </c>
      <c r="N197" t="b">
        <v>0</v>
      </c>
      <c r="O197">
        <v>3553</v>
      </c>
      <c r="P197" t="s">
        <v>1752</v>
      </c>
      <c r="Q197" t="s">
        <v>1753</v>
      </c>
      <c r="R197" t="s">
        <v>1759</v>
      </c>
    </row>
    <row r="198" spans="1:18" x14ac:dyDescent="0.25">
      <c r="A198" t="s">
        <v>2128</v>
      </c>
      <c r="B198" t="s">
        <v>1840</v>
      </c>
      <c r="C198" t="s">
        <v>4</v>
      </c>
      <c r="D198" t="s">
        <v>2127</v>
      </c>
      <c r="E198" s="2">
        <v>42656</v>
      </c>
      <c r="F198">
        <v>2955</v>
      </c>
      <c r="G198" t="s">
        <v>1746</v>
      </c>
      <c r="H198" t="s">
        <v>1747</v>
      </c>
      <c r="I198" t="b">
        <v>1</v>
      </c>
      <c r="J198" t="s">
        <v>1748</v>
      </c>
      <c r="K198" t="s">
        <v>1755</v>
      </c>
      <c r="L198" t="s">
        <v>1750</v>
      </c>
      <c r="M198">
        <v>2065</v>
      </c>
      <c r="N198" t="b">
        <v>0</v>
      </c>
      <c r="O198">
        <v>124</v>
      </c>
      <c r="P198" t="s">
        <v>1752</v>
      </c>
      <c r="Q198" t="s">
        <v>1753</v>
      </c>
    </row>
    <row r="199" spans="1:18" x14ac:dyDescent="0.25">
      <c r="A199" t="s">
        <v>2129</v>
      </c>
      <c r="B199" t="s">
        <v>1763</v>
      </c>
      <c r="C199" t="s">
        <v>4</v>
      </c>
      <c r="D199" t="s">
        <v>1311</v>
      </c>
      <c r="E199" s="2">
        <v>41415</v>
      </c>
      <c r="F199">
        <v>4196</v>
      </c>
      <c r="G199" t="s">
        <v>1746</v>
      </c>
      <c r="H199" t="s">
        <v>1747</v>
      </c>
      <c r="I199" t="b">
        <v>1</v>
      </c>
      <c r="J199" t="s">
        <v>1761</v>
      </c>
      <c r="K199" t="s">
        <v>1824</v>
      </c>
      <c r="L199" t="s">
        <v>1750</v>
      </c>
      <c r="M199">
        <v>2050</v>
      </c>
      <c r="N199" t="b">
        <v>0</v>
      </c>
      <c r="O199">
        <v>495</v>
      </c>
      <c r="P199" t="s">
        <v>1752</v>
      </c>
      <c r="Q199" t="s">
        <v>1753</v>
      </c>
    </row>
    <row r="200" spans="1:18" x14ac:dyDescent="0.25">
      <c r="A200" t="s">
        <v>2130</v>
      </c>
      <c r="B200" t="s">
        <v>1860</v>
      </c>
      <c r="C200" t="s">
        <v>4</v>
      </c>
      <c r="D200" t="s">
        <v>1105</v>
      </c>
      <c r="E200" s="2">
        <v>42629</v>
      </c>
      <c r="F200">
        <v>2982</v>
      </c>
      <c r="G200" t="s">
        <v>1746</v>
      </c>
      <c r="H200" t="s">
        <v>1747</v>
      </c>
      <c r="I200" t="b">
        <v>1</v>
      </c>
      <c r="J200" t="s">
        <v>1748</v>
      </c>
      <c r="K200" t="s">
        <v>1749</v>
      </c>
      <c r="L200" t="s">
        <v>1750</v>
      </c>
      <c r="M200">
        <v>2045</v>
      </c>
      <c r="N200" t="b">
        <v>0</v>
      </c>
      <c r="O200">
        <v>595</v>
      </c>
      <c r="P200" t="s">
        <v>1752</v>
      </c>
      <c r="Q200" t="s">
        <v>1753</v>
      </c>
    </row>
    <row r="201" spans="1:18" x14ac:dyDescent="0.25">
      <c r="A201" t="s">
        <v>2132</v>
      </c>
      <c r="B201" t="s">
        <v>2133</v>
      </c>
      <c r="C201" t="s">
        <v>6</v>
      </c>
      <c r="D201" t="s">
        <v>2131</v>
      </c>
      <c r="E201" s="2">
        <v>44258</v>
      </c>
      <c r="F201">
        <v>1353</v>
      </c>
      <c r="G201" t="s">
        <v>1746</v>
      </c>
      <c r="H201" t="s">
        <v>1747</v>
      </c>
      <c r="I201" t="b">
        <v>0</v>
      </c>
      <c r="J201" t="s">
        <v>1761</v>
      </c>
      <c r="K201" t="s">
        <v>1809</v>
      </c>
      <c r="L201" t="s">
        <v>1766</v>
      </c>
      <c r="M201">
        <v>2029</v>
      </c>
      <c r="N201" t="b">
        <v>0</v>
      </c>
      <c r="P201" t="s">
        <v>1752</v>
      </c>
      <c r="Q201" t="s">
        <v>1753</v>
      </c>
      <c r="R201" t="s">
        <v>1759</v>
      </c>
    </row>
    <row r="202" spans="1:18" x14ac:dyDescent="0.25">
      <c r="A202" t="s">
        <v>2134</v>
      </c>
      <c r="B202" t="s">
        <v>1763</v>
      </c>
      <c r="C202" t="s">
        <v>4</v>
      </c>
      <c r="D202" t="s">
        <v>1294</v>
      </c>
      <c r="E202" s="2">
        <v>42424</v>
      </c>
      <c r="F202">
        <v>3187</v>
      </c>
      <c r="G202" t="s">
        <v>1746</v>
      </c>
      <c r="H202" t="s">
        <v>1798</v>
      </c>
      <c r="I202" t="b">
        <v>0</v>
      </c>
      <c r="J202" t="s">
        <v>1761</v>
      </c>
      <c r="K202" t="s">
        <v>1863</v>
      </c>
      <c r="L202" t="s">
        <v>1817</v>
      </c>
      <c r="M202">
        <v>2027</v>
      </c>
      <c r="N202" t="b">
        <v>0</v>
      </c>
      <c r="O202">
        <v>3437</v>
      </c>
      <c r="P202" t="s">
        <v>1819</v>
      </c>
      <c r="Q202" t="s">
        <v>1753</v>
      </c>
      <c r="R202" t="s">
        <v>1759</v>
      </c>
    </row>
    <row r="203" spans="1:18" x14ac:dyDescent="0.25">
      <c r="A203" t="s">
        <v>2135</v>
      </c>
      <c r="B203" t="s">
        <v>1810</v>
      </c>
      <c r="C203" t="s">
        <v>4</v>
      </c>
      <c r="D203" t="s">
        <v>692</v>
      </c>
      <c r="E203" s="2">
        <v>39995</v>
      </c>
      <c r="F203">
        <v>5616</v>
      </c>
      <c r="G203" t="s">
        <v>1746</v>
      </c>
      <c r="H203" t="s">
        <v>1747</v>
      </c>
      <c r="I203" t="b">
        <v>1</v>
      </c>
      <c r="J203" t="s">
        <v>1748</v>
      </c>
      <c r="K203" t="s">
        <v>1857</v>
      </c>
      <c r="L203" t="s">
        <v>1756</v>
      </c>
      <c r="M203">
        <v>2026</v>
      </c>
      <c r="N203" t="b">
        <v>1</v>
      </c>
      <c r="O203">
        <v>1606</v>
      </c>
      <c r="P203" t="s">
        <v>1752</v>
      </c>
      <c r="Q203" t="s">
        <v>1753</v>
      </c>
    </row>
    <row r="204" spans="1:18" x14ac:dyDescent="0.25">
      <c r="A204" t="s">
        <v>2136</v>
      </c>
      <c r="B204" t="s">
        <v>1754</v>
      </c>
      <c r="C204" t="s">
        <v>4</v>
      </c>
      <c r="D204" t="s">
        <v>548</v>
      </c>
      <c r="E204" s="2">
        <v>39059</v>
      </c>
      <c r="F204">
        <v>6552</v>
      </c>
      <c r="G204" t="s">
        <v>1746</v>
      </c>
      <c r="H204" t="s">
        <v>1798</v>
      </c>
      <c r="I204" t="b">
        <v>1</v>
      </c>
      <c r="J204" t="s">
        <v>1761</v>
      </c>
      <c r="K204" t="s">
        <v>1824</v>
      </c>
      <c r="L204" t="s">
        <v>1817</v>
      </c>
      <c r="M204">
        <v>2017</v>
      </c>
      <c r="N204" t="b">
        <v>0</v>
      </c>
      <c r="O204">
        <v>16</v>
      </c>
      <c r="P204" t="s">
        <v>1819</v>
      </c>
      <c r="Q204" t="s">
        <v>1753</v>
      </c>
      <c r="R204" t="s">
        <v>1828</v>
      </c>
    </row>
    <row r="205" spans="1:18" x14ac:dyDescent="0.25">
      <c r="A205" t="s">
        <v>2137</v>
      </c>
      <c r="B205" t="s">
        <v>2138</v>
      </c>
      <c r="C205" t="s">
        <v>6</v>
      </c>
      <c r="D205" t="s">
        <v>54</v>
      </c>
      <c r="E205" s="2">
        <v>42550</v>
      </c>
      <c r="F205">
        <v>3061</v>
      </c>
      <c r="G205" t="s">
        <v>1746</v>
      </c>
      <c r="H205" t="s">
        <v>1798</v>
      </c>
      <c r="I205" t="b">
        <v>1</v>
      </c>
      <c r="J205" t="s">
        <v>1748</v>
      </c>
      <c r="K205" t="s">
        <v>1774</v>
      </c>
      <c r="L205" t="s">
        <v>1750</v>
      </c>
      <c r="M205">
        <v>2013</v>
      </c>
      <c r="N205" t="b">
        <v>0</v>
      </c>
      <c r="O205">
        <v>417</v>
      </c>
      <c r="P205" t="s">
        <v>1752</v>
      </c>
      <c r="Q205" t="s">
        <v>1753</v>
      </c>
      <c r="R205" t="s">
        <v>1828</v>
      </c>
    </row>
    <row r="206" spans="1:18" x14ac:dyDescent="0.25">
      <c r="A206" t="s">
        <v>1524</v>
      </c>
      <c r="B206" t="s">
        <v>2060</v>
      </c>
      <c r="C206" t="s">
        <v>6</v>
      </c>
      <c r="D206" t="s">
        <v>1525</v>
      </c>
      <c r="E206" s="2">
        <v>39224</v>
      </c>
      <c r="F206">
        <v>6387</v>
      </c>
      <c r="G206" t="s">
        <v>1746</v>
      </c>
      <c r="H206" t="s">
        <v>1798</v>
      </c>
      <c r="I206" t="b">
        <v>1</v>
      </c>
      <c r="J206" t="s">
        <v>1748</v>
      </c>
      <c r="K206" t="s">
        <v>1863</v>
      </c>
      <c r="L206" t="s">
        <v>1817</v>
      </c>
      <c r="M206">
        <v>2008</v>
      </c>
      <c r="N206" t="b">
        <v>0</v>
      </c>
      <c r="O206">
        <v>519</v>
      </c>
      <c r="P206" t="s">
        <v>1819</v>
      </c>
      <c r="Q206" t="s">
        <v>1753</v>
      </c>
      <c r="R206" t="s">
        <v>1828</v>
      </c>
    </row>
    <row r="207" spans="1:18" x14ac:dyDescent="0.25">
      <c r="A207" t="s">
        <v>1598</v>
      </c>
      <c r="B207" t="s">
        <v>1810</v>
      </c>
      <c r="C207" t="s">
        <v>4</v>
      </c>
      <c r="D207" t="s">
        <v>1599</v>
      </c>
      <c r="E207" s="2">
        <v>43214</v>
      </c>
      <c r="F207">
        <v>2397</v>
      </c>
      <c r="G207" t="s">
        <v>1746</v>
      </c>
      <c r="H207" t="s">
        <v>1747</v>
      </c>
      <c r="I207" t="b">
        <v>0</v>
      </c>
      <c r="J207" t="s">
        <v>1748</v>
      </c>
      <c r="K207" t="s">
        <v>1755</v>
      </c>
      <c r="L207" t="s">
        <v>1750</v>
      </c>
      <c r="M207">
        <v>2003</v>
      </c>
      <c r="N207" t="b">
        <v>1</v>
      </c>
      <c r="O207">
        <v>108</v>
      </c>
      <c r="P207" t="s">
        <v>1752</v>
      </c>
      <c r="Q207" t="s">
        <v>1753</v>
      </c>
    </row>
    <row r="208" spans="1:18" x14ac:dyDescent="0.25">
      <c r="A208" t="s">
        <v>621</v>
      </c>
      <c r="B208" t="s">
        <v>1829</v>
      </c>
      <c r="C208" t="s">
        <v>572</v>
      </c>
      <c r="D208" t="s">
        <v>622</v>
      </c>
      <c r="E208" s="2">
        <v>38475</v>
      </c>
      <c r="F208">
        <v>7136</v>
      </c>
      <c r="G208" t="s">
        <v>1746</v>
      </c>
      <c r="H208" t="s">
        <v>1798</v>
      </c>
      <c r="I208" t="b">
        <v>0</v>
      </c>
      <c r="J208" t="s">
        <v>1761</v>
      </c>
      <c r="K208" t="s">
        <v>1755</v>
      </c>
      <c r="L208" t="s">
        <v>1750</v>
      </c>
      <c r="M208">
        <v>2003</v>
      </c>
      <c r="N208" t="b">
        <v>0</v>
      </c>
      <c r="O208">
        <v>297</v>
      </c>
      <c r="P208" t="s">
        <v>1752</v>
      </c>
      <c r="Q208" t="s">
        <v>1753</v>
      </c>
      <c r="R208" t="s">
        <v>1828</v>
      </c>
    </row>
    <row r="209" spans="1:18" x14ac:dyDescent="0.25">
      <c r="A209" t="s">
        <v>2139</v>
      </c>
      <c r="B209" t="s">
        <v>1860</v>
      </c>
      <c r="C209" t="s">
        <v>4</v>
      </c>
      <c r="D209" t="s">
        <v>84</v>
      </c>
      <c r="E209" s="2">
        <v>45113</v>
      </c>
      <c r="F209">
        <v>498</v>
      </c>
      <c r="G209" t="s">
        <v>1746</v>
      </c>
      <c r="H209" t="s">
        <v>1747</v>
      </c>
      <c r="I209" t="b">
        <v>0</v>
      </c>
      <c r="J209" t="s">
        <v>1748</v>
      </c>
      <c r="K209" t="s">
        <v>1770</v>
      </c>
      <c r="L209" t="s">
        <v>1750</v>
      </c>
      <c r="M209">
        <v>1998</v>
      </c>
      <c r="N209" t="b">
        <v>1</v>
      </c>
      <c r="O209">
        <v>704</v>
      </c>
      <c r="P209" t="s">
        <v>1752</v>
      </c>
      <c r="Q209" t="s">
        <v>1753</v>
      </c>
      <c r="R209" t="s">
        <v>1759</v>
      </c>
    </row>
    <row r="210" spans="1:18" x14ac:dyDescent="0.25">
      <c r="A210" t="s">
        <v>2141</v>
      </c>
      <c r="B210" t="s">
        <v>2085</v>
      </c>
      <c r="C210" t="s">
        <v>4</v>
      </c>
      <c r="D210" t="s">
        <v>2140</v>
      </c>
      <c r="E210" s="2">
        <v>43179</v>
      </c>
      <c r="F210">
        <v>2432</v>
      </c>
      <c r="G210" t="s">
        <v>1746</v>
      </c>
      <c r="H210" t="s">
        <v>1747</v>
      </c>
      <c r="I210" t="b">
        <v>1</v>
      </c>
      <c r="J210" t="s">
        <v>1748</v>
      </c>
      <c r="K210" t="s">
        <v>1822</v>
      </c>
      <c r="L210" t="s">
        <v>1817</v>
      </c>
      <c r="M210">
        <v>1997</v>
      </c>
      <c r="N210" t="b">
        <v>0</v>
      </c>
      <c r="O210">
        <v>375</v>
      </c>
      <c r="P210" t="s">
        <v>1819</v>
      </c>
      <c r="Q210" t="s">
        <v>1753</v>
      </c>
    </row>
    <row r="211" spans="1:18" x14ac:dyDescent="0.25">
      <c r="A211" t="s">
        <v>2143</v>
      </c>
      <c r="B211" t="s">
        <v>2144</v>
      </c>
      <c r="C211" t="s">
        <v>4</v>
      </c>
      <c r="D211" t="s">
        <v>2142</v>
      </c>
      <c r="E211" s="2">
        <v>44705</v>
      </c>
      <c r="F211">
        <v>906</v>
      </c>
      <c r="G211" t="s">
        <v>1746</v>
      </c>
      <c r="H211" t="s">
        <v>1747</v>
      </c>
      <c r="I211" t="b">
        <v>0</v>
      </c>
      <c r="J211" t="s">
        <v>1748</v>
      </c>
      <c r="K211" t="s">
        <v>1770</v>
      </c>
      <c r="L211" t="s">
        <v>1750</v>
      </c>
      <c r="M211">
        <v>1992</v>
      </c>
      <c r="N211" t="b">
        <v>1</v>
      </c>
      <c r="O211">
        <v>182</v>
      </c>
      <c r="P211" t="s">
        <v>1752</v>
      </c>
      <c r="Q211" t="s">
        <v>1753</v>
      </c>
    </row>
    <row r="212" spans="1:18" x14ac:dyDescent="0.25">
      <c r="A212" t="s">
        <v>2145</v>
      </c>
      <c r="B212" t="s">
        <v>1810</v>
      </c>
      <c r="C212" t="s">
        <v>4</v>
      </c>
      <c r="D212" t="s">
        <v>1643</v>
      </c>
      <c r="E212" s="2">
        <v>41893</v>
      </c>
      <c r="F212">
        <v>3718</v>
      </c>
      <c r="G212" t="s">
        <v>1746</v>
      </c>
      <c r="H212" t="s">
        <v>1747</v>
      </c>
      <c r="I212" t="b">
        <v>1</v>
      </c>
      <c r="J212" t="s">
        <v>1748</v>
      </c>
      <c r="K212" t="s">
        <v>1776</v>
      </c>
      <c r="L212" t="s">
        <v>1756</v>
      </c>
      <c r="M212">
        <v>1990</v>
      </c>
      <c r="N212" t="b">
        <v>0</v>
      </c>
      <c r="O212">
        <v>294</v>
      </c>
      <c r="P212" t="s">
        <v>1752</v>
      </c>
      <c r="Q212" t="s">
        <v>1753</v>
      </c>
      <c r="R212" t="s">
        <v>1759</v>
      </c>
    </row>
    <row r="213" spans="1:18" x14ac:dyDescent="0.25">
      <c r="A213" t="s">
        <v>2146</v>
      </c>
      <c r="B213" t="s">
        <v>1876</v>
      </c>
      <c r="C213" t="s">
        <v>4</v>
      </c>
      <c r="D213" t="s">
        <v>1688</v>
      </c>
      <c r="E213" s="2">
        <v>44901</v>
      </c>
      <c r="F213">
        <v>710</v>
      </c>
      <c r="G213" t="s">
        <v>1746</v>
      </c>
      <c r="H213" t="s">
        <v>1747</v>
      </c>
      <c r="I213" t="b">
        <v>0</v>
      </c>
      <c r="J213" t="s">
        <v>1748</v>
      </c>
      <c r="K213" t="s">
        <v>1825</v>
      </c>
      <c r="L213" t="s">
        <v>1750</v>
      </c>
      <c r="M213">
        <v>1972</v>
      </c>
      <c r="N213" t="b">
        <v>1</v>
      </c>
      <c r="O213">
        <v>285</v>
      </c>
      <c r="P213" t="s">
        <v>1752</v>
      </c>
      <c r="Q213" t="s">
        <v>1753</v>
      </c>
    </row>
    <row r="214" spans="1:18" x14ac:dyDescent="0.25">
      <c r="A214" t="s">
        <v>2147</v>
      </c>
      <c r="B214" t="s">
        <v>1810</v>
      </c>
      <c r="C214" t="s">
        <v>4</v>
      </c>
      <c r="D214" t="s">
        <v>643</v>
      </c>
      <c r="E214" s="2">
        <v>41463</v>
      </c>
      <c r="F214">
        <v>4148</v>
      </c>
      <c r="G214" t="s">
        <v>1746</v>
      </c>
      <c r="H214" t="s">
        <v>1798</v>
      </c>
      <c r="I214" t="b">
        <v>1</v>
      </c>
      <c r="J214" t="s">
        <v>1761</v>
      </c>
      <c r="K214" t="s">
        <v>1868</v>
      </c>
      <c r="L214" t="s">
        <v>1817</v>
      </c>
      <c r="M214">
        <v>1967</v>
      </c>
      <c r="N214" t="b">
        <v>0</v>
      </c>
      <c r="O214">
        <v>639</v>
      </c>
      <c r="P214" t="s">
        <v>1819</v>
      </c>
      <c r="Q214" t="s">
        <v>1753</v>
      </c>
      <c r="R214" t="s">
        <v>1772</v>
      </c>
    </row>
    <row r="215" spans="1:18" x14ac:dyDescent="0.25">
      <c r="A215" t="s">
        <v>2149</v>
      </c>
      <c r="B215" t="s">
        <v>2150</v>
      </c>
      <c r="C215" t="s">
        <v>4</v>
      </c>
      <c r="D215" t="s">
        <v>2148</v>
      </c>
      <c r="E215" s="2">
        <v>43634</v>
      </c>
      <c r="F215">
        <v>1977</v>
      </c>
      <c r="G215" t="s">
        <v>1746</v>
      </c>
      <c r="H215" t="s">
        <v>1805</v>
      </c>
      <c r="I215" t="b">
        <v>0</v>
      </c>
      <c r="J215" t="s">
        <v>1748</v>
      </c>
      <c r="K215" t="s">
        <v>1822</v>
      </c>
      <c r="L215" t="s">
        <v>1817</v>
      </c>
      <c r="M215">
        <v>1958</v>
      </c>
      <c r="N215" t="b">
        <v>0</v>
      </c>
      <c r="O215">
        <v>9003</v>
      </c>
      <c r="P215" t="s">
        <v>1819</v>
      </c>
      <c r="Q215" t="s">
        <v>1753</v>
      </c>
      <c r="R215" t="s">
        <v>1759</v>
      </c>
    </row>
    <row r="216" spans="1:18" x14ac:dyDescent="0.25">
      <c r="A216" t="s">
        <v>2151</v>
      </c>
      <c r="B216" t="s">
        <v>1754</v>
      </c>
      <c r="C216" t="s">
        <v>4</v>
      </c>
      <c r="D216" t="s">
        <v>547</v>
      </c>
      <c r="E216" s="2">
        <v>38873</v>
      </c>
      <c r="F216">
        <v>6738</v>
      </c>
      <c r="G216" t="s">
        <v>1746</v>
      </c>
      <c r="H216" t="s">
        <v>1798</v>
      </c>
      <c r="I216" t="b">
        <v>1</v>
      </c>
      <c r="J216" t="s">
        <v>1761</v>
      </c>
      <c r="K216" t="s">
        <v>1824</v>
      </c>
      <c r="L216" t="s">
        <v>1817</v>
      </c>
      <c r="M216">
        <v>1946</v>
      </c>
      <c r="N216" t="b">
        <v>0</v>
      </c>
      <c r="O216">
        <v>16</v>
      </c>
      <c r="P216" t="s">
        <v>1819</v>
      </c>
      <c r="Q216" t="s">
        <v>1753</v>
      </c>
      <c r="R216" t="s">
        <v>1828</v>
      </c>
    </row>
    <row r="217" spans="1:18" x14ac:dyDescent="0.25">
      <c r="A217" t="s">
        <v>2153</v>
      </c>
      <c r="B217" t="s">
        <v>1847</v>
      </c>
      <c r="C217" t="s">
        <v>11</v>
      </c>
      <c r="D217" t="s">
        <v>864</v>
      </c>
      <c r="E217" s="2">
        <v>39338</v>
      </c>
      <c r="F217">
        <v>6273</v>
      </c>
      <c r="G217" t="s">
        <v>1746</v>
      </c>
      <c r="H217" t="s">
        <v>1798</v>
      </c>
      <c r="I217" t="b">
        <v>0</v>
      </c>
      <c r="J217" t="s">
        <v>1748</v>
      </c>
      <c r="K217" t="s">
        <v>1822</v>
      </c>
      <c r="L217" t="s">
        <v>1766</v>
      </c>
      <c r="M217">
        <v>1946</v>
      </c>
      <c r="N217" t="b">
        <v>0</v>
      </c>
      <c r="P217" t="s">
        <v>1827</v>
      </c>
      <c r="Q217" t="s">
        <v>1753</v>
      </c>
      <c r="R217" t="s">
        <v>1828</v>
      </c>
    </row>
    <row r="218" spans="1:18" x14ac:dyDescent="0.25">
      <c r="A218" t="s">
        <v>2155</v>
      </c>
      <c r="B218" t="s">
        <v>2144</v>
      </c>
      <c r="C218" t="s">
        <v>4</v>
      </c>
      <c r="D218" t="s">
        <v>2154</v>
      </c>
      <c r="E218" s="2">
        <v>45343</v>
      </c>
      <c r="F218">
        <v>268</v>
      </c>
      <c r="G218" t="s">
        <v>1746</v>
      </c>
      <c r="H218" t="s">
        <v>1747</v>
      </c>
      <c r="I218" t="b">
        <v>0</v>
      </c>
      <c r="J218" t="s">
        <v>1761</v>
      </c>
      <c r="K218" t="s">
        <v>1749</v>
      </c>
      <c r="L218" t="s">
        <v>1750</v>
      </c>
      <c r="M218">
        <v>1946</v>
      </c>
      <c r="N218" t="b">
        <v>0</v>
      </c>
      <c r="O218">
        <v>2229</v>
      </c>
      <c r="P218" t="s">
        <v>1752</v>
      </c>
      <c r="Q218" t="s">
        <v>1753</v>
      </c>
      <c r="R218" t="s">
        <v>1759</v>
      </c>
    </row>
    <row r="219" spans="1:18" x14ac:dyDescent="0.25">
      <c r="A219" t="s">
        <v>2156</v>
      </c>
      <c r="B219" t="s">
        <v>2157</v>
      </c>
      <c r="C219" t="s">
        <v>4</v>
      </c>
      <c r="D219" t="s">
        <v>1723</v>
      </c>
      <c r="E219" s="2">
        <v>44027</v>
      </c>
      <c r="F219">
        <v>1584</v>
      </c>
      <c r="G219" t="s">
        <v>1746</v>
      </c>
      <c r="H219" t="s">
        <v>1747</v>
      </c>
      <c r="I219" t="b">
        <v>0</v>
      </c>
      <c r="J219" t="s">
        <v>1748</v>
      </c>
      <c r="K219" t="s">
        <v>1749</v>
      </c>
      <c r="L219" t="s">
        <v>1750</v>
      </c>
      <c r="M219">
        <v>1941</v>
      </c>
      <c r="N219" t="b">
        <v>1</v>
      </c>
      <c r="O219">
        <v>287</v>
      </c>
      <c r="P219" t="s">
        <v>1752</v>
      </c>
      <c r="Q219" t="s">
        <v>1753</v>
      </c>
    </row>
    <row r="220" spans="1:18" x14ac:dyDescent="0.25">
      <c r="A220" t="s">
        <v>2158</v>
      </c>
      <c r="B220" t="s">
        <v>1881</v>
      </c>
      <c r="C220" t="s">
        <v>4</v>
      </c>
      <c r="D220" t="s">
        <v>577</v>
      </c>
      <c r="E220" s="2">
        <v>43060</v>
      </c>
      <c r="F220">
        <v>2551</v>
      </c>
      <c r="G220" t="s">
        <v>1746</v>
      </c>
      <c r="H220" t="s">
        <v>1798</v>
      </c>
      <c r="I220" t="b">
        <v>1</v>
      </c>
      <c r="J220" t="s">
        <v>1748</v>
      </c>
      <c r="K220" t="s">
        <v>1822</v>
      </c>
      <c r="L220" t="s">
        <v>1817</v>
      </c>
      <c r="M220">
        <v>1941</v>
      </c>
      <c r="N220" t="b">
        <v>0</v>
      </c>
      <c r="O220">
        <v>15637</v>
      </c>
      <c r="P220" t="s">
        <v>1819</v>
      </c>
      <c r="Q220" t="s">
        <v>1753</v>
      </c>
      <c r="R220" t="s">
        <v>1759</v>
      </c>
    </row>
    <row r="221" spans="1:18" x14ac:dyDescent="0.25">
      <c r="A221" t="s">
        <v>2159</v>
      </c>
      <c r="B221" t="s">
        <v>1874</v>
      </c>
      <c r="C221" t="s">
        <v>6</v>
      </c>
      <c r="D221" t="s">
        <v>930</v>
      </c>
      <c r="E221" s="2">
        <v>44018</v>
      </c>
      <c r="F221">
        <v>1593</v>
      </c>
      <c r="G221" t="s">
        <v>1746</v>
      </c>
      <c r="H221" t="s">
        <v>1798</v>
      </c>
      <c r="I221" t="b">
        <v>1</v>
      </c>
      <c r="J221" t="s">
        <v>1748</v>
      </c>
      <c r="K221" t="s">
        <v>1755</v>
      </c>
      <c r="L221" t="s">
        <v>1750</v>
      </c>
      <c r="M221">
        <v>1940</v>
      </c>
      <c r="N221" t="b">
        <v>1</v>
      </c>
      <c r="O221">
        <v>102</v>
      </c>
      <c r="P221" t="s">
        <v>1752</v>
      </c>
      <c r="Q221" t="s">
        <v>1753</v>
      </c>
      <c r="R221" t="s">
        <v>1828</v>
      </c>
    </row>
    <row r="222" spans="1:18" x14ac:dyDescent="0.25">
      <c r="A222" t="s">
        <v>2160</v>
      </c>
      <c r="B222" t="s">
        <v>1829</v>
      </c>
      <c r="C222" t="s">
        <v>4</v>
      </c>
      <c r="D222" t="s">
        <v>970</v>
      </c>
      <c r="E222" s="2">
        <v>40554</v>
      </c>
      <c r="F222">
        <v>5057</v>
      </c>
      <c r="G222" t="s">
        <v>1833</v>
      </c>
      <c r="H222" t="s">
        <v>1798</v>
      </c>
      <c r="I222" t="b">
        <v>0</v>
      </c>
      <c r="J222" t="s">
        <v>1761</v>
      </c>
      <c r="K222" t="s">
        <v>1809</v>
      </c>
      <c r="L222" t="s">
        <v>1817</v>
      </c>
      <c r="M222">
        <v>1929</v>
      </c>
      <c r="N222" t="b">
        <v>1</v>
      </c>
      <c r="O222">
        <v>313</v>
      </c>
      <c r="P222" t="s">
        <v>1819</v>
      </c>
      <c r="Q222" t="s">
        <v>1753</v>
      </c>
      <c r="R222" t="s">
        <v>1828</v>
      </c>
    </row>
    <row r="223" spans="1:18" x14ac:dyDescent="0.25">
      <c r="A223" t="s">
        <v>664</v>
      </c>
      <c r="B223" t="s">
        <v>1860</v>
      </c>
      <c r="C223" t="s">
        <v>4</v>
      </c>
      <c r="D223" t="s">
        <v>665</v>
      </c>
      <c r="E223" s="2">
        <v>43571</v>
      </c>
      <c r="F223">
        <v>2040</v>
      </c>
      <c r="G223" t="s">
        <v>1746</v>
      </c>
      <c r="H223" t="s">
        <v>1798</v>
      </c>
      <c r="I223" t="b">
        <v>0</v>
      </c>
      <c r="J223" t="s">
        <v>1748</v>
      </c>
      <c r="K223" t="s">
        <v>1774</v>
      </c>
      <c r="L223" t="s">
        <v>1756</v>
      </c>
      <c r="M223">
        <v>1927</v>
      </c>
      <c r="N223" t="b">
        <v>1</v>
      </c>
      <c r="O223">
        <v>205</v>
      </c>
      <c r="P223" t="s">
        <v>1752</v>
      </c>
      <c r="Q223" t="s">
        <v>1753</v>
      </c>
      <c r="R223" t="s">
        <v>1828</v>
      </c>
    </row>
    <row r="224" spans="1:18" x14ac:dyDescent="0.25">
      <c r="A224" t="s">
        <v>2162</v>
      </c>
      <c r="B224" t="s">
        <v>2133</v>
      </c>
      <c r="C224" t="s">
        <v>4</v>
      </c>
      <c r="D224" t="s">
        <v>2161</v>
      </c>
      <c r="E224" s="2">
        <v>43200</v>
      </c>
      <c r="F224">
        <v>2411</v>
      </c>
      <c r="G224" t="s">
        <v>1746</v>
      </c>
      <c r="H224" t="s">
        <v>1798</v>
      </c>
      <c r="I224" t="b">
        <v>1</v>
      </c>
      <c r="J224" t="s">
        <v>1748</v>
      </c>
      <c r="K224" t="s">
        <v>1822</v>
      </c>
      <c r="L224" t="s">
        <v>1817</v>
      </c>
      <c r="M224">
        <v>1926</v>
      </c>
      <c r="N224" t="b">
        <v>0</v>
      </c>
      <c r="O224">
        <v>92</v>
      </c>
      <c r="P224" t="s">
        <v>1819</v>
      </c>
      <c r="Q224" t="s">
        <v>1753</v>
      </c>
    </row>
    <row r="225" spans="1:18" x14ac:dyDescent="0.25">
      <c r="A225" t="s">
        <v>1600</v>
      </c>
      <c r="B225" t="s">
        <v>1810</v>
      </c>
      <c r="C225" t="s">
        <v>6</v>
      </c>
      <c r="D225" t="s">
        <v>1601</v>
      </c>
      <c r="E225" s="2">
        <v>39091</v>
      </c>
      <c r="F225">
        <v>6520</v>
      </c>
      <c r="G225" t="s">
        <v>1746</v>
      </c>
      <c r="H225" t="s">
        <v>1747</v>
      </c>
      <c r="I225" t="b">
        <v>1</v>
      </c>
      <c r="J225" t="s">
        <v>1748</v>
      </c>
      <c r="K225" t="s">
        <v>1774</v>
      </c>
      <c r="L225" t="s">
        <v>1750</v>
      </c>
      <c r="M225">
        <v>1926</v>
      </c>
      <c r="N225" t="b">
        <v>0</v>
      </c>
      <c r="O225">
        <v>198</v>
      </c>
      <c r="P225" t="s">
        <v>1752</v>
      </c>
      <c r="Q225" t="s">
        <v>1753</v>
      </c>
    </row>
    <row r="226" spans="1:18" x14ac:dyDescent="0.25">
      <c r="A226" t="s">
        <v>2164</v>
      </c>
      <c r="B226" t="s">
        <v>1840</v>
      </c>
      <c r="C226" t="s">
        <v>4</v>
      </c>
      <c r="D226" t="s">
        <v>2163</v>
      </c>
      <c r="E226" s="2">
        <v>42656</v>
      </c>
      <c r="F226">
        <v>2955</v>
      </c>
      <c r="G226" t="s">
        <v>1746</v>
      </c>
      <c r="H226" t="s">
        <v>1747</v>
      </c>
      <c r="I226" t="b">
        <v>1</v>
      </c>
      <c r="J226" t="s">
        <v>1748</v>
      </c>
      <c r="K226" t="s">
        <v>1755</v>
      </c>
      <c r="L226" t="s">
        <v>1750</v>
      </c>
      <c r="M226">
        <v>1904</v>
      </c>
      <c r="N226" t="b">
        <v>0</v>
      </c>
      <c r="O226">
        <v>149</v>
      </c>
      <c r="P226" t="s">
        <v>1752</v>
      </c>
      <c r="Q226" t="s">
        <v>1753</v>
      </c>
    </row>
    <row r="227" spans="1:18" x14ac:dyDescent="0.25">
      <c r="A227" t="s">
        <v>2165</v>
      </c>
      <c r="B227" t="s">
        <v>2106</v>
      </c>
      <c r="C227" t="s">
        <v>6</v>
      </c>
      <c r="D227" t="s">
        <v>39</v>
      </c>
      <c r="E227" s="2">
        <v>43711</v>
      </c>
      <c r="F227">
        <v>1900</v>
      </c>
      <c r="G227" t="s">
        <v>1746</v>
      </c>
      <c r="H227" t="s">
        <v>1798</v>
      </c>
      <c r="I227" t="b">
        <v>0</v>
      </c>
      <c r="J227" t="s">
        <v>1748</v>
      </c>
      <c r="K227" t="s">
        <v>1774</v>
      </c>
      <c r="L227" t="s">
        <v>1817</v>
      </c>
      <c r="M227">
        <v>1893</v>
      </c>
      <c r="N227" t="b">
        <v>1</v>
      </c>
      <c r="O227">
        <v>1210</v>
      </c>
      <c r="P227" t="s">
        <v>1819</v>
      </c>
      <c r="Q227" t="s">
        <v>1753</v>
      </c>
      <c r="R227" t="s">
        <v>1828</v>
      </c>
    </row>
    <row r="228" spans="1:18" x14ac:dyDescent="0.25">
      <c r="A228" t="s">
        <v>2167</v>
      </c>
      <c r="B228" t="s">
        <v>1820</v>
      </c>
      <c r="C228" t="s">
        <v>4</v>
      </c>
      <c r="D228" t="s">
        <v>2166</v>
      </c>
      <c r="E228" s="2">
        <v>42838</v>
      </c>
      <c r="F228">
        <v>2773</v>
      </c>
      <c r="G228" t="s">
        <v>1746</v>
      </c>
      <c r="H228" t="s">
        <v>1747</v>
      </c>
      <c r="I228" t="b">
        <v>1</v>
      </c>
      <c r="J228" t="s">
        <v>1748</v>
      </c>
      <c r="K228" t="s">
        <v>1868</v>
      </c>
      <c r="L228" t="s">
        <v>1817</v>
      </c>
      <c r="M228">
        <v>1882</v>
      </c>
      <c r="N228" t="b">
        <v>0</v>
      </c>
      <c r="O228">
        <v>1243</v>
      </c>
      <c r="P228" t="s">
        <v>1819</v>
      </c>
      <c r="Q228" t="s">
        <v>1753</v>
      </c>
      <c r="R228" t="s">
        <v>1759</v>
      </c>
    </row>
    <row r="229" spans="1:18" x14ac:dyDescent="0.25">
      <c r="A229" t="s">
        <v>2168</v>
      </c>
      <c r="B229" t="s">
        <v>2046</v>
      </c>
      <c r="C229" t="s">
        <v>6</v>
      </c>
      <c r="D229" t="s">
        <v>1152</v>
      </c>
      <c r="E229" s="2">
        <v>42594</v>
      </c>
      <c r="F229">
        <v>3017</v>
      </c>
      <c r="G229" t="s">
        <v>1746</v>
      </c>
      <c r="H229" t="s">
        <v>1798</v>
      </c>
      <c r="I229" t="b">
        <v>1</v>
      </c>
      <c r="J229" t="s">
        <v>1748</v>
      </c>
      <c r="K229" t="s">
        <v>1774</v>
      </c>
      <c r="L229" t="s">
        <v>1750</v>
      </c>
      <c r="M229">
        <v>1866</v>
      </c>
      <c r="N229" t="b">
        <v>0</v>
      </c>
      <c r="O229">
        <v>221</v>
      </c>
      <c r="P229" t="s">
        <v>1752</v>
      </c>
      <c r="Q229" t="s">
        <v>1753</v>
      </c>
      <c r="R229" t="s">
        <v>1828</v>
      </c>
    </row>
    <row r="230" spans="1:18" x14ac:dyDescent="0.25">
      <c r="A230" t="s">
        <v>2169</v>
      </c>
      <c r="B230" t="s">
        <v>1876</v>
      </c>
      <c r="C230" t="s">
        <v>4</v>
      </c>
      <c r="D230" t="s">
        <v>214</v>
      </c>
      <c r="E230" s="2">
        <v>44159</v>
      </c>
      <c r="F230">
        <v>1452</v>
      </c>
      <c r="G230" t="s">
        <v>1833</v>
      </c>
      <c r="H230" t="s">
        <v>1747</v>
      </c>
      <c r="I230" t="b">
        <v>0</v>
      </c>
      <c r="J230" t="s">
        <v>1748</v>
      </c>
      <c r="K230" t="s">
        <v>1853</v>
      </c>
      <c r="L230" t="s">
        <v>1750</v>
      </c>
      <c r="M230">
        <v>1854</v>
      </c>
      <c r="N230" t="b">
        <v>1</v>
      </c>
      <c r="O230">
        <v>263</v>
      </c>
      <c r="P230" t="s">
        <v>1752</v>
      </c>
      <c r="Q230" t="s">
        <v>1753</v>
      </c>
      <c r="R230" t="s">
        <v>1772</v>
      </c>
    </row>
    <row r="231" spans="1:18" x14ac:dyDescent="0.25">
      <c r="A231" t="s">
        <v>2170</v>
      </c>
      <c r="B231" t="s">
        <v>1860</v>
      </c>
      <c r="C231" t="s">
        <v>4</v>
      </c>
      <c r="D231" t="s">
        <v>551</v>
      </c>
      <c r="E231" s="2">
        <v>44105</v>
      </c>
      <c r="F231">
        <v>1506</v>
      </c>
      <c r="G231" t="s">
        <v>1746</v>
      </c>
      <c r="H231" t="s">
        <v>1798</v>
      </c>
      <c r="I231" t="b">
        <v>0</v>
      </c>
      <c r="J231" t="s">
        <v>1748</v>
      </c>
      <c r="K231" t="s">
        <v>1863</v>
      </c>
      <c r="L231" t="s">
        <v>1756</v>
      </c>
      <c r="M231">
        <v>1851</v>
      </c>
      <c r="N231" t="b">
        <v>1</v>
      </c>
      <c r="O231">
        <v>360</v>
      </c>
      <c r="P231" t="s">
        <v>1819</v>
      </c>
      <c r="Q231" t="s">
        <v>1753</v>
      </c>
      <c r="R231" t="s">
        <v>1828</v>
      </c>
    </row>
    <row r="232" spans="1:18" x14ac:dyDescent="0.25">
      <c r="A232" t="s">
        <v>2172</v>
      </c>
      <c r="B232" t="s">
        <v>2173</v>
      </c>
      <c r="C232" t="s">
        <v>4</v>
      </c>
      <c r="D232" t="s">
        <v>2171</v>
      </c>
      <c r="E232" s="2">
        <v>42227</v>
      </c>
      <c r="F232">
        <v>3384</v>
      </c>
      <c r="G232" t="s">
        <v>1746</v>
      </c>
      <c r="H232" t="s">
        <v>1747</v>
      </c>
      <c r="I232" t="b">
        <v>0</v>
      </c>
      <c r="J232" t="s">
        <v>1748</v>
      </c>
      <c r="K232" t="s">
        <v>1943</v>
      </c>
      <c r="L232" t="s">
        <v>2102</v>
      </c>
      <c r="M232">
        <v>1850</v>
      </c>
      <c r="N232" t="b">
        <v>0</v>
      </c>
      <c r="P232" t="s">
        <v>1752</v>
      </c>
      <c r="Q232" t="s">
        <v>1753</v>
      </c>
      <c r="R232" t="s">
        <v>1759</v>
      </c>
    </row>
    <row r="233" spans="1:18" x14ac:dyDescent="0.25">
      <c r="A233" t="s">
        <v>2174</v>
      </c>
      <c r="B233" t="s">
        <v>1810</v>
      </c>
      <c r="C233" t="s">
        <v>4</v>
      </c>
      <c r="D233" t="s">
        <v>1651</v>
      </c>
      <c r="E233" s="2">
        <v>41893</v>
      </c>
      <c r="F233">
        <v>3718</v>
      </c>
      <c r="G233" t="s">
        <v>1746</v>
      </c>
      <c r="H233" t="s">
        <v>1747</v>
      </c>
      <c r="I233" t="b">
        <v>1</v>
      </c>
      <c r="J233" t="s">
        <v>1748</v>
      </c>
      <c r="K233" t="s">
        <v>1776</v>
      </c>
      <c r="L233" t="s">
        <v>1756</v>
      </c>
      <c r="M233">
        <v>1828</v>
      </c>
      <c r="N233" t="b">
        <v>0</v>
      </c>
      <c r="O233">
        <v>394</v>
      </c>
      <c r="P233" t="s">
        <v>1752</v>
      </c>
      <c r="Q233" t="s">
        <v>1753</v>
      </c>
      <c r="R233" t="s">
        <v>1759</v>
      </c>
    </row>
    <row r="234" spans="1:18" x14ac:dyDescent="0.25">
      <c r="A234" t="s">
        <v>2176</v>
      </c>
      <c r="B234" t="s">
        <v>2177</v>
      </c>
      <c r="C234" t="s">
        <v>4</v>
      </c>
      <c r="D234" t="s">
        <v>2175</v>
      </c>
      <c r="E234" s="2">
        <v>40632</v>
      </c>
      <c r="F234">
        <v>4979</v>
      </c>
      <c r="G234" t="s">
        <v>1746</v>
      </c>
      <c r="H234" t="s">
        <v>1805</v>
      </c>
      <c r="I234" t="b">
        <v>1</v>
      </c>
      <c r="J234" t="s">
        <v>1761</v>
      </c>
      <c r="K234" t="s">
        <v>1755</v>
      </c>
      <c r="L234" t="s">
        <v>1817</v>
      </c>
      <c r="M234">
        <v>1816</v>
      </c>
      <c r="N234" t="b">
        <v>0</v>
      </c>
      <c r="O234">
        <v>457</v>
      </c>
      <c r="P234" t="s">
        <v>1819</v>
      </c>
      <c r="Q234" t="s">
        <v>1753</v>
      </c>
    </row>
    <row r="235" spans="1:18" x14ac:dyDescent="0.25">
      <c r="A235" t="s">
        <v>2178</v>
      </c>
      <c r="B235" t="s">
        <v>1754</v>
      </c>
      <c r="C235" t="s">
        <v>4</v>
      </c>
      <c r="D235" t="s">
        <v>535</v>
      </c>
      <c r="E235" s="2">
        <v>39878</v>
      </c>
      <c r="F235">
        <v>5733</v>
      </c>
      <c r="G235" t="s">
        <v>1746</v>
      </c>
      <c r="H235" t="s">
        <v>1798</v>
      </c>
      <c r="I235" t="b">
        <v>1</v>
      </c>
      <c r="J235" t="s">
        <v>1761</v>
      </c>
      <c r="K235" t="s">
        <v>1826</v>
      </c>
      <c r="L235" t="s">
        <v>1817</v>
      </c>
      <c r="M235">
        <v>1793</v>
      </c>
      <c r="N235" t="b">
        <v>1</v>
      </c>
      <c r="O235">
        <v>4586</v>
      </c>
      <c r="P235" t="s">
        <v>1819</v>
      </c>
      <c r="Q235" t="s">
        <v>1753</v>
      </c>
      <c r="R235" t="s">
        <v>1759</v>
      </c>
    </row>
    <row r="236" spans="1:18" x14ac:dyDescent="0.25">
      <c r="A236" t="s">
        <v>1666</v>
      </c>
      <c r="B236" t="s">
        <v>1810</v>
      </c>
      <c r="C236" t="s">
        <v>4</v>
      </c>
      <c r="D236" t="s">
        <v>1667</v>
      </c>
      <c r="E236" s="2">
        <v>42069</v>
      </c>
      <c r="F236">
        <v>3542</v>
      </c>
      <c r="G236" t="s">
        <v>1746</v>
      </c>
      <c r="H236" t="s">
        <v>1747</v>
      </c>
      <c r="I236" t="b">
        <v>1</v>
      </c>
      <c r="J236" t="s">
        <v>1748</v>
      </c>
      <c r="K236" t="s">
        <v>1853</v>
      </c>
      <c r="L236" t="s">
        <v>1750</v>
      </c>
      <c r="M236">
        <v>1776</v>
      </c>
      <c r="N236" t="b">
        <v>0</v>
      </c>
      <c r="O236">
        <v>1497</v>
      </c>
      <c r="P236" t="s">
        <v>1752</v>
      </c>
      <c r="Q236" t="s">
        <v>1753</v>
      </c>
    </row>
    <row r="237" spans="1:18" x14ac:dyDescent="0.25">
      <c r="A237" t="s">
        <v>2179</v>
      </c>
      <c r="B237" t="s">
        <v>2180</v>
      </c>
      <c r="C237" t="s">
        <v>6</v>
      </c>
      <c r="D237" t="s">
        <v>162</v>
      </c>
      <c r="E237" s="2">
        <v>44217</v>
      </c>
      <c r="F237">
        <v>1394</v>
      </c>
      <c r="G237" t="s">
        <v>1746</v>
      </c>
      <c r="H237" t="s">
        <v>1798</v>
      </c>
      <c r="I237" t="b">
        <v>0</v>
      </c>
      <c r="J237" t="s">
        <v>1748</v>
      </c>
      <c r="K237" t="s">
        <v>1824</v>
      </c>
      <c r="L237" t="s">
        <v>1750</v>
      </c>
      <c r="M237">
        <v>1772</v>
      </c>
      <c r="N237" t="b">
        <v>1</v>
      </c>
      <c r="O237">
        <v>67</v>
      </c>
      <c r="P237" t="s">
        <v>1819</v>
      </c>
      <c r="Q237" t="s">
        <v>1753</v>
      </c>
      <c r="R237" t="s">
        <v>1828</v>
      </c>
    </row>
    <row r="238" spans="1:18" x14ac:dyDescent="0.25">
      <c r="A238" t="s">
        <v>2182</v>
      </c>
      <c r="B238" t="s">
        <v>2183</v>
      </c>
      <c r="C238" t="s">
        <v>572</v>
      </c>
      <c r="D238" t="s">
        <v>2181</v>
      </c>
      <c r="E238" s="2">
        <v>43017</v>
      </c>
      <c r="F238">
        <v>2594</v>
      </c>
      <c r="G238" t="s">
        <v>1746</v>
      </c>
      <c r="H238" t="s">
        <v>1798</v>
      </c>
      <c r="I238" t="b">
        <v>0</v>
      </c>
      <c r="J238" t="s">
        <v>1748</v>
      </c>
      <c r="K238" t="s">
        <v>1799</v>
      </c>
      <c r="L238" t="s">
        <v>1775</v>
      </c>
      <c r="M238">
        <v>1770</v>
      </c>
      <c r="N238" t="b">
        <v>0</v>
      </c>
      <c r="P238" t="s">
        <v>1778</v>
      </c>
      <c r="Q238" t="s">
        <v>1779</v>
      </c>
    </row>
    <row r="239" spans="1:18" x14ac:dyDescent="0.25">
      <c r="A239" t="s">
        <v>1579</v>
      </c>
      <c r="B239" t="s">
        <v>2060</v>
      </c>
      <c r="C239" t="s">
        <v>6</v>
      </c>
      <c r="D239" t="s">
        <v>1580</v>
      </c>
      <c r="E239" s="2">
        <v>39464</v>
      </c>
      <c r="F239">
        <v>6147</v>
      </c>
      <c r="G239" t="s">
        <v>1746</v>
      </c>
      <c r="H239" t="s">
        <v>1747</v>
      </c>
      <c r="I239" t="b">
        <v>1</v>
      </c>
      <c r="J239" t="s">
        <v>1748</v>
      </c>
      <c r="K239" t="s">
        <v>1853</v>
      </c>
      <c r="L239" t="s">
        <v>1756</v>
      </c>
      <c r="M239">
        <v>1768</v>
      </c>
      <c r="N239" t="b">
        <v>0</v>
      </c>
      <c r="O239">
        <v>898</v>
      </c>
      <c r="P239" t="s">
        <v>1752</v>
      </c>
      <c r="Q239" t="s">
        <v>1753</v>
      </c>
      <c r="R239" t="s">
        <v>1828</v>
      </c>
    </row>
    <row r="240" spans="1:18" x14ac:dyDescent="0.25">
      <c r="A240" t="s">
        <v>2184</v>
      </c>
      <c r="B240" t="s">
        <v>1810</v>
      </c>
      <c r="C240" t="s">
        <v>4</v>
      </c>
      <c r="D240" t="s">
        <v>750</v>
      </c>
      <c r="E240" s="2">
        <v>43383</v>
      </c>
      <c r="F240">
        <v>2228</v>
      </c>
      <c r="G240" t="s">
        <v>1833</v>
      </c>
      <c r="H240" t="s">
        <v>1798</v>
      </c>
      <c r="I240" t="b">
        <v>0</v>
      </c>
      <c r="J240" t="s">
        <v>1748</v>
      </c>
      <c r="K240" t="s">
        <v>1776</v>
      </c>
      <c r="L240" t="s">
        <v>1750</v>
      </c>
      <c r="M240">
        <v>1761</v>
      </c>
      <c r="N240" t="b">
        <v>1</v>
      </c>
      <c r="O240">
        <v>138</v>
      </c>
      <c r="P240" t="s">
        <v>1752</v>
      </c>
      <c r="Q240" t="s">
        <v>1753</v>
      </c>
      <c r="R240" t="s">
        <v>1828</v>
      </c>
    </row>
    <row r="241" spans="1:18" x14ac:dyDescent="0.25">
      <c r="A241" t="s">
        <v>2185</v>
      </c>
      <c r="B241" t="s">
        <v>1781</v>
      </c>
      <c r="C241" t="s">
        <v>186</v>
      </c>
      <c r="D241" t="s">
        <v>1434</v>
      </c>
      <c r="E241" s="2">
        <v>39196</v>
      </c>
      <c r="F241">
        <v>6415</v>
      </c>
      <c r="G241" t="s">
        <v>1746</v>
      </c>
      <c r="H241" t="s">
        <v>1747</v>
      </c>
      <c r="I241" t="b">
        <v>0</v>
      </c>
      <c r="J241" t="s">
        <v>1748</v>
      </c>
      <c r="K241" t="s">
        <v>1830</v>
      </c>
      <c r="L241" t="s">
        <v>1775</v>
      </c>
      <c r="M241">
        <v>1736</v>
      </c>
      <c r="N241" t="b">
        <v>0</v>
      </c>
      <c r="P241" t="s">
        <v>1778</v>
      </c>
      <c r="Q241" t="s">
        <v>1779</v>
      </c>
    </row>
    <row r="242" spans="1:18" x14ac:dyDescent="0.25">
      <c r="A242" t="s">
        <v>2186</v>
      </c>
      <c r="B242" t="s">
        <v>1945</v>
      </c>
      <c r="C242" t="s">
        <v>6</v>
      </c>
      <c r="D242" t="s">
        <v>161</v>
      </c>
      <c r="E242" s="2">
        <v>42886</v>
      </c>
      <c r="F242">
        <v>2725</v>
      </c>
      <c r="G242" t="s">
        <v>1746</v>
      </c>
      <c r="H242" t="s">
        <v>1798</v>
      </c>
      <c r="I242" t="b">
        <v>0</v>
      </c>
      <c r="J242" t="s">
        <v>1748</v>
      </c>
      <c r="K242" t="s">
        <v>1824</v>
      </c>
      <c r="L242" t="s">
        <v>1750</v>
      </c>
      <c r="M242">
        <v>1731</v>
      </c>
      <c r="N242" t="b">
        <v>1</v>
      </c>
      <c r="O242">
        <v>161</v>
      </c>
      <c r="P242" t="s">
        <v>1819</v>
      </c>
      <c r="Q242" t="s">
        <v>1753</v>
      </c>
      <c r="R242" t="s">
        <v>1828</v>
      </c>
    </row>
    <row r="243" spans="1:18" x14ac:dyDescent="0.25">
      <c r="A243" t="s">
        <v>2188</v>
      </c>
      <c r="B243" t="s">
        <v>2133</v>
      </c>
      <c r="C243" t="s">
        <v>6</v>
      </c>
      <c r="D243" t="s">
        <v>2187</v>
      </c>
      <c r="E243" s="2">
        <v>44993</v>
      </c>
      <c r="F243">
        <v>618</v>
      </c>
      <c r="G243" t="s">
        <v>1746</v>
      </c>
      <c r="H243" t="s">
        <v>1747</v>
      </c>
      <c r="I243" t="b">
        <v>0</v>
      </c>
      <c r="J243" t="s">
        <v>1761</v>
      </c>
      <c r="K243" t="s">
        <v>1749</v>
      </c>
      <c r="L243" t="s">
        <v>1766</v>
      </c>
      <c r="M243">
        <v>1708</v>
      </c>
      <c r="N243" t="b">
        <v>0</v>
      </c>
      <c r="P243" t="s">
        <v>1752</v>
      </c>
      <c r="Q243" t="s">
        <v>1753</v>
      </c>
    </row>
    <row r="244" spans="1:18" x14ac:dyDescent="0.25">
      <c r="A244" t="s">
        <v>2190</v>
      </c>
      <c r="B244" t="s">
        <v>2133</v>
      </c>
      <c r="C244" t="s">
        <v>4</v>
      </c>
      <c r="D244" t="s">
        <v>2189</v>
      </c>
      <c r="E244" s="2">
        <v>43020</v>
      </c>
      <c r="F244">
        <v>2591</v>
      </c>
      <c r="G244" t="s">
        <v>1746</v>
      </c>
      <c r="H244" t="s">
        <v>1747</v>
      </c>
      <c r="I244" t="b">
        <v>0</v>
      </c>
      <c r="J244" t="s">
        <v>1761</v>
      </c>
      <c r="K244" t="s">
        <v>1755</v>
      </c>
      <c r="L244" t="s">
        <v>1750</v>
      </c>
      <c r="M244">
        <v>1684</v>
      </c>
      <c r="N244" t="b">
        <v>1</v>
      </c>
      <c r="O244">
        <v>402</v>
      </c>
      <c r="P244" t="s">
        <v>1752</v>
      </c>
      <c r="Q244" t="s">
        <v>1753</v>
      </c>
      <c r="R244" t="s">
        <v>1759</v>
      </c>
    </row>
    <row r="245" spans="1:18" x14ac:dyDescent="0.25">
      <c r="A245" t="s">
        <v>2191</v>
      </c>
      <c r="B245" t="s">
        <v>2180</v>
      </c>
      <c r="C245" t="s">
        <v>6</v>
      </c>
      <c r="D245" t="s">
        <v>135</v>
      </c>
      <c r="E245" s="2">
        <v>43742</v>
      </c>
      <c r="F245">
        <v>1869</v>
      </c>
      <c r="G245" t="s">
        <v>1746</v>
      </c>
      <c r="H245" t="s">
        <v>1798</v>
      </c>
      <c r="I245" t="b">
        <v>0</v>
      </c>
      <c r="J245" t="s">
        <v>1761</v>
      </c>
      <c r="K245" t="s">
        <v>1824</v>
      </c>
      <c r="L245" t="s">
        <v>1750</v>
      </c>
      <c r="M245">
        <v>1673</v>
      </c>
      <c r="N245" t="b">
        <v>1</v>
      </c>
      <c r="O245">
        <v>452</v>
      </c>
      <c r="P245" t="s">
        <v>1819</v>
      </c>
      <c r="Q245" t="s">
        <v>1753</v>
      </c>
      <c r="R245" t="s">
        <v>1828</v>
      </c>
    </row>
    <row r="246" spans="1:18" x14ac:dyDescent="0.25">
      <c r="A246" t="s">
        <v>2192</v>
      </c>
      <c r="B246" t="s">
        <v>1810</v>
      </c>
      <c r="C246" t="s">
        <v>4</v>
      </c>
      <c r="D246" t="s">
        <v>1616</v>
      </c>
      <c r="E246" s="2">
        <v>42990</v>
      </c>
      <c r="F246">
        <v>2621</v>
      </c>
      <c r="G246" t="s">
        <v>1746</v>
      </c>
      <c r="H246" t="s">
        <v>1747</v>
      </c>
      <c r="I246" t="b">
        <v>1</v>
      </c>
      <c r="J246" t="s">
        <v>1761</v>
      </c>
      <c r="K246" t="s">
        <v>1774</v>
      </c>
      <c r="L246" t="s">
        <v>1750</v>
      </c>
      <c r="M246">
        <v>1664</v>
      </c>
      <c r="N246" t="b">
        <v>0</v>
      </c>
      <c r="O246">
        <v>91</v>
      </c>
      <c r="P246" t="s">
        <v>1752</v>
      </c>
      <c r="Q246" t="s">
        <v>1753</v>
      </c>
    </row>
    <row r="247" spans="1:18" x14ac:dyDescent="0.25">
      <c r="A247" t="s">
        <v>2194</v>
      </c>
      <c r="B247" t="s">
        <v>2177</v>
      </c>
      <c r="C247" t="s">
        <v>4</v>
      </c>
      <c r="D247" t="s">
        <v>2193</v>
      </c>
      <c r="E247" s="2">
        <v>42838</v>
      </c>
      <c r="F247">
        <v>2773</v>
      </c>
      <c r="G247" t="s">
        <v>1746</v>
      </c>
      <c r="H247" t="s">
        <v>1747</v>
      </c>
      <c r="I247" t="b">
        <v>0</v>
      </c>
      <c r="J247" t="s">
        <v>1748</v>
      </c>
      <c r="K247" t="s">
        <v>1846</v>
      </c>
      <c r="L247" t="s">
        <v>1817</v>
      </c>
      <c r="M247">
        <v>1653</v>
      </c>
      <c r="N247" t="b">
        <v>0</v>
      </c>
      <c r="O247">
        <v>33</v>
      </c>
      <c r="P247" t="s">
        <v>1819</v>
      </c>
      <c r="Q247" t="s">
        <v>1753</v>
      </c>
    </row>
    <row r="248" spans="1:18" x14ac:dyDescent="0.25">
      <c r="A248" t="s">
        <v>2195</v>
      </c>
      <c r="B248" t="s">
        <v>1876</v>
      </c>
      <c r="C248" t="s">
        <v>4</v>
      </c>
      <c r="D248" t="s">
        <v>1293</v>
      </c>
      <c r="E248" s="2">
        <v>43515</v>
      </c>
      <c r="F248">
        <v>2096</v>
      </c>
      <c r="G248" t="s">
        <v>1746</v>
      </c>
      <c r="H248" t="s">
        <v>1798</v>
      </c>
      <c r="I248" t="b">
        <v>0</v>
      </c>
      <c r="J248" t="s">
        <v>1748</v>
      </c>
      <c r="K248" t="s">
        <v>1863</v>
      </c>
      <c r="L248" t="s">
        <v>1817</v>
      </c>
      <c r="M248">
        <v>1651</v>
      </c>
      <c r="N248" t="b">
        <v>0</v>
      </c>
      <c r="O248">
        <v>3437</v>
      </c>
      <c r="P248" t="s">
        <v>1819</v>
      </c>
      <c r="Q248" t="s">
        <v>1753</v>
      </c>
      <c r="R248" t="s">
        <v>1759</v>
      </c>
    </row>
    <row r="249" spans="1:18" x14ac:dyDescent="0.25">
      <c r="A249" t="s">
        <v>2196</v>
      </c>
      <c r="B249" t="s">
        <v>2197</v>
      </c>
      <c r="C249" t="s">
        <v>4</v>
      </c>
      <c r="D249" t="s">
        <v>617</v>
      </c>
      <c r="E249" s="2">
        <v>39966</v>
      </c>
      <c r="F249">
        <v>5645</v>
      </c>
      <c r="G249" t="s">
        <v>1746</v>
      </c>
      <c r="H249" t="s">
        <v>1798</v>
      </c>
      <c r="I249" t="b">
        <v>1</v>
      </c>
      <c r="J249" t="s">
        <v>1748</v>
      </c>
      <c r="K249" t="s">
        <v>1824</v>
      </c>
      <c r="L249" t="s">
        <v>1817</v>
      </c>
      <c r="M249">
        <v>1650</v>
      </c>
      <c r="N249" t="b">
        <v>0</v>
      </c>
      <c r="O249">
        <v>16</v>
      </c>
      <c r="P249" t="s">
        <v>1819</v>
      </c>
      <c r="Q249" t="s">
        <v>1753</v>
      </c>
      <c r="R249" t="s">
        <v>1828</v>
      </c>
    </row>
    <row r="250" spans="1:18" x14ac:dyDescent="0.25">
      <c r="A250" t="s">
        <v>2199</v>
      </c>
      <c r="B250" t="s">
        <v>1803</v>
      </c>
      <c r="C250" t="s">
        <v>4</v>
      </c>
      <c r="D250" t="s">
        <v>2198</v>
      </c>
      <c r="E250" s="2">
        <v>43521</v>
      </c>
      <c r="F250">
        <v>2090</v>
      </c>
      <c r="G250" t="s">
        <v>1746</v>
      </c>
      <c r="H250" t="s">
        <v>1798</v>
      </c>
      <c r="I250" t="b">
        <v>1</v>
      </c>
      <c r="J250" t="s">
        <v>1761</v>
      </c>
      <c r="K250" t="s">
        <v>1822</v>
      </c>
      <c r="L250" t="s">
        <v>1817</v>
      </c>
      <c r="M250">
        <v>1636</v>
      </c>
      <c r="N250" t="b">
        <v>0</v>
      </c>
      <c r="O250">
        <v>12</v>
      </c>
      <c r="P250" t="s">
        <v>1819</v>
      </c>
      <c r="Q250" t="s">
        <v>1753</v>
      </c>
    </row>
    <row r="251" spans="1:18" x14ac:dyDescent="0.25">
      <c r="A251" t="s">
        <v>2201</v>
      </c>
      <c r="B251" t="s">
        <v>1840</v>
      </c>
      <c r="C251" t="s">
        <v>4</v>
      </c>
      <c r="D251" t="s">
        <v>2200</v>
      </c>
      <c r="E251" s="2">
        <v>42328</v>
      </c>
      <c r="F251">
        <v>3283</v>
      </c>
      <c r="G251" t="s">
        <v>1746</v>
      </c>
      <c r="H251" t="s">
        <v>1747</v>
      </c>
      <c r="I251" t="b">
        <v>1</v>
      </c>
      <c r="J251" t="s">
        <v>1748</v>
      </c>
      <c r="K251" t="s">
        <v>1824</v>
      </c>
      <c r="L251" t="s">
        <v>1750</v>
      </c>
      <c r="M251">
        <v>1626</v>
      </c>
      <c r="N251" t="b">
        <v>0</v>
      </c>
      <c r="O251">
        <v>72</v>
      </c>
      <c r="P251" t="s">
        <v>1752</v>
      </c>
      <c r="Q251" t="s">
        <v>1753</v>
      </c>
    </row>
    <row r="252" spans="1:18" x14ac:dyDescent="0.25">
      <c r="A252" t="s">
        <v>2202</v>
      </c>
      <c r="B252" t="s">
        <v>2071</v>
      </c>
      <c r="C252" t="s">
        <v>6</v>
      </c>
      <c r="D252" t="s">
        <v>68</v>
      </c>
      <c r="E252" s="2">
        <v>45009</v>
      </c>
      <c r="F252">
        <v>602</v>
      </c>
      <c r="G252" t="s">
        <v>1746</v>
      </c>
      <c r="H252" t="s">
        <v>1747</v>
      </c>
      <c r="I252" t="b">
        <v>0</v>
      </c>
      <c r="J252" t="s">
        <v>1748</v>
      </c>
      <c r="K252" t="s">
        <v>1934</v>
      </c>
      <c r="L252" t="s">
        <v>1766</v>
      </c>
      <c r="M252">
        <v>1620</v>
      </c>
      <c r="N252" t="b">
        <v>0</v>
      </c>
      <c r="P252" t="s">
        <v>1752</v>
      </c>
      <c r="Q252" t="s">
        <v>1753</v>
      </c>
      <c r="R252" t="s">
        <v>1772</v>
      </c>
    </row>
    <row r="253" spans="1:18" x14ac:dyDescent="0.25">
      <c r="A253" t="s">
        <v>2203</v>
      </c>
      <c r="B253" t="s">
        <v>1754</v>
      </c>
      <c r="C253" t="s">
        <v>4</v>
      </c>
      <c r="D253" t="s">
        <v>697</v>
      </c>
      <c r="E253" s="2">
        <v>40190</v>
      </c>
      <c r="F253">
        <v>5421</v>
      </c>
      <c r="G253" t="s">
        <v>1746</v>
      </c>
      <c r="H253" t="s">
        <v>1747</v>
      </c>
      <c r="I253" t="b">
        <v>1</v>
      </c>
      <c r="J253" t="s">
        <v>1748</v>
      </c>
      <c r="K253" t="s">
        <v>1749</v>
      </c>
      <c r="L253" t="s">
        <v>1750</v>
      </c>
      <c r="M253">
        <v>1614</v>
      </c>
      <c r="N253" t="b">
        <v>0</v>
      </c>
      <c r="O253">
        <v>593</v>
      </c>
      <c r="P253" t="s">
        <v>1752</v>
      </c>
      <c r="Q253" t="s">
        <v>1753</v>
      </c>
    </row>
    <row r="254" spans="1:18" x14ac:dyDescent="0.25">
      <c r="A254" t="s">
        <v>2204</v>
      </c>
      <c r="B254" t="s">
        <v>1814</v>
      </c>
      <c r="C254" t="s">
        <v>11</v>
      </c>
      <c r="D254" t="s">
        <v>921</v>
      </c>
      <c r="E254" s="2">
        <v>39364</v>
      </c>
      <c r="F254">
        <v>6247</v>
      </c>
      <c r="G254" t="s">
        <v>1746</v>
      </c>
      <c r="H254" t="s">
        <v>1798</v>
      </c>
      <c r="I254" t="b">
        <v>1</v>
      </c>
      <c r="J254" t="s">
        <v>1761</v>
      </c>
      <c r="K254" t="s">
        <v>2042</v>
      </c>
      <c r="L254" t="s">
        <v>1750</v>
      </c>
      <c r="M254">
        <v>1612</v>
      </c>
      <c r="N254" t="b">
        <v>1</v>
      </c>
      <c r="O254">
        <v>38</v>
      </c>
      <c r="P254" t="s">
        <v>1752</v>
      </c>
      <c r="Q254" t="s">
        <v>1753</v>
      </c>
      <c r="R254" t="s">
        <v>1759</v>
      </c>
    </row>
    <row r="255" spans="1:18" x14ac:dyDescent="0.25">
      <c r="A255" t="s">
        <v>2206</v>
      </c>
      <c r="B255" t="s">
        <v>2133</v>
      </c>
      <c r="C255" t="s">
        <v>4</v>
      </c>
      <c r="D255" t="s">
        <v>2205</v>
      </c>
      <c r="E255" s="2">
        <v>43599</v>
      </c>
      <c r="F255">
        <v>2012</v>
      </c>
      <c r="G255" t="s">
        <v>1746</v>
      </c>
      <c r="H255" t="s">
        <v>1805</v>
      </c>
      <c r="I255" t="b">
        <v>1</v>
      </c>
      <c r="J255" t="s">
        <v>1748</v>
      </c>
      <c r="K255" t="s">
        <v>1863</v>
      </c>
      <c r="L255" t="s">
        <v>1750</v>
      </c>
      <c r="M255">
        <v>1597</v>
      </c>
      <c r="N255" t="b">
        <v>0</v>
      </c>
      <c r="O255">
        <v>102</v>
      </c>
      <c r="P255" t="s">
        <v>1752</v>
      </c>
      <c r="Q255" t="s">
        <v>1753</v>
      </c>
    </row>
    <row r="256" spans="1:18" x14ac:dyDescent="0.25">
      <c r="A256" t="s">
        <v>2208</v>
      </c>
      <c r="B256" t="s">
        <v>1866</v>
      </c>
      <c r="C256" t="s">
        <v>572</v>
      </c>
      <c r="D256" t="s">
        <v>2207</v>
      </c>
      <c r="E256" s="2">
        <v>37006</v>
      </c>
      <c r="F256">
        <v>8605</v>
      </c>
      <c r="G256" t="s">
        <v>1746</v>
      </c>
      <c r="H256" t="s">
        <v>1798</v>
      </c>
      <c r="I256" t="b">
        <v>0</v>
      </c>
      <c r="J256" t="s">
        <v>1761</v>
      </c>
      <c r="K256" t="s">
        <v>2053</v>
      </c>
      <c r="L256" t="s">
        <v>1750</v>
      </c>
      <c r="M256">
        <v>1589</v>
      </c>
      <c r="N256" t="b">
        <v>0</v>
      </c>
      <c r="O256">
        <v>47</v>
      </c>
      <c r="P256" t="s">
        <v>1752</v>
      </c>
      <c r="Q256" t="s">
        <v>1753</v>
      </c>
      <c r="R256" t="s">
        <v>1828</v>
      </c>
    </row>
    <row r="257" spans="1:18" x14ac:dyDescent="0.25">
      <c r="A257" t="s">
        <v>2209</v>
      </c>
      <c r="B257" t="s">
        <v>2035</v>
      </c>
      <c r="C257" t="s">
        <v>6</v>
      </c>
      <c r="D257" t="s">
        <v>860</v>
      </c>
      <c r="E257" s="2">
        <v>38014</v>
      </c>
      <c r="F257">
        <v>7597</v>
      </c>
      <c r="G257" t="s">
        <v>1746</v>
      </c>
      <c r="H257" t="s">
        <v>1798</v>
      </c>
      <c r="I257" t="b">
        <v>1</v>
      </c>
      <c r="J257" t="s">
        <v>1748</v>
      </c>
      <c r="K257" t="s">
        <v>1824</v>
      </c>
      <c r="L257" t="s">
        <v>1750</v>
      </c>
      <c r="M257">
        <v>1580</v>
      </c>
      <c r="N257" t="b">
        <v>0</v>
      </c>
      <c r="O257">
        <v>67</v>
      </c>
      <c r="P257" t="s">
        <v>1819</v>
      </c>
      <c r="Q257" t="s">
        <v>1753</v>
      </c>
      <c r="R257" t="s">
        <v>1828</v>
      </c>
    </row>
    <row r="258" spans="1:18" x14ac:dyDescent="0.25">
      <c r="A258" t="s">
        <v>2211</v>
      </c>
      <c r="B258" t="s">
        <v>2035</v>
      </c>
      <c r="C258" t="s">
        <v>6</v>
      </c>
      <c r="D258" t="s">
        <v>858</v>
      </c>
      <c r="E258" s="2">
        <v>38617</v>
      </c>
      <c r="F258">
        <v>6994</v>
      </c>
      <c r="G258" t="s">
        <v>1746</v>
      </c>
      <c r="H258" t="s">
        <v>1798</v>
      </c>
      <c r="I258" t="b">
        <v>1</v>
      </c>
      <c r="J258" t="s">
        <v>1748</v>
      </c>
      <c r="K258" t="s">
        <v>1824</v>
      </c>
      <c r="L258" t="s">
        <v>1750</v>
      </c>
      <c r="M258">
        <v>1554</v>
      </c>
      <c r="N258" t="b">
        <v>0</v>
      </c>
      <c r="O258">
        <v>78</v>
      </c>
      <c r="P258" t="s">
        <v>1819</v>
      </c>
      <c r="Q258" t="s">
        <v>1753</v>
      </c>
      <c r="R258" t="s">
        <v>1828</v>
      </c>
    </row>
    <row r="259" spans="1:18" x14ac:dyDescent="0.25">
      <c r="A259" t="s">
        <v>2213</v>
      </c>
      <c r="B259" t="s">
        <v>1894</v>
      </c>
      <c r="C259" t="s">
        <v>4</v>
      </c>
      <c r="D259" t="s">
        <v>2212</v>
      </c>
      <c r="E259" s="2">
        <v>43354</v>
      </c>
      <c r="F259">
        <v>2257</v>
      </c>
      <c r="G259" t="s">
        <v>1746</v>
      </c>
      <c r="H259" t="s">
        <v>1798</v>
      </c>
      <c r="I259" t="b">
        <v>0</v>
      </c>
      <c r="J259" t="s">
        <v>1748</v>
      </c>
      <c r="K259" t="s">
        <v>1770</v>
      </c>
      <c r="L259" t="s">
        <v>1750</v>
      </c>
      <c r="M259">
        <v>1552</v>
      </c>
      <c r="N259" t="b">
        <v>1</v>
      </c>
      <c r="O259">
        <v>110</v>
      </c>
      <c r="P259" t="s">
        <v>1752</v>
      </c>
      <c r="Q259" t="s">
        <v>1753</v>
      </c>
    </row>
    <row r="260" spans="1:18" x14ac:dyDescent="0.25">
      <c r="A260" t="s">
        <v>2214</v>
      </c>
      <c r="B260" t="s">
        <v>1754</v>
      </c>
      <c r="C260" t="s">
        <v>6</v>
      </c>
      <c r="D260" t="s">
        <v>1202</v>
      </c>
      <c r="E260" s="2">
        <v>40773</v>
      </c>
      <c r="F260">
        <v>4838</v>
      </c>
      <c r="G260" t="s">
        <v>1746</v>
      </c>
      <c r="H260" t="s">
        <v>1747</v>
      </c>
      <c r="I260" t="b">
        <v>0</v>
      </c>
      <c r="J260" t="s">
        <v>1761</v>
      </c>
      <c r="K260" t="s">
        <v>1793</v>
      </c>
      <c r="L260" t="s">
        <v>1750</v>
      </c>
      <c r="M260">
        <v>1550</v>
      </c>
      <c r="N260" t="b">
        <v>1</v>
      </c>
      <c r="O260">
        <v>197</v>
      </c>
      <c r="P260" t="s">
        <v>1752</v>
      </c>
      <c r="Q260" t="s">
        <v>1753</v>
      </c>
    </row>
    <row r="261" spans="1:18" x14ac:dyDescent="0.25">
      <c r="A261" t="s">
        <v>2215</v>
      </c>
      <c r="B261" t="s">
        <v>2046</v>
      </c>
      <c r="C261" t="s">
        <v>4</v>
      </c>
      <c r="D261" t="s">
        <v>1214</v>
      </c>
      <c r="E261" s="2">
        <v>43641</v>
      </c>
      <c r="F261">
        <v>1970</v>
      </c>
      <c r="G261" t="s">
        <v>1746</v>
      </c>
      <c r="H261" t="s">
        <v>1747</v>
      </c>
      <c r="I261" t="b">
        <v>0</v>
      </c>
      <c r="J261" t="s">
        <v>1761</v>
      </c>
      <c r="K261" t="s">
        <v>1891</v>
      </c>
      <c r="L261" t="s">
        <v>1756</v>
      </c>
      <c r="M261">
        <v>1546</v>
      </c>
      <c r="N261" t="b">
        <v>1</v>
      </c>
      <c r="O261">
        <v>1911</v>
      </c>
      <c r="P261" t="s">
        <v>1752</v>
      </c>
      <c r="Q261" t="s">
        <v>1753</v>
      </c>
      <c r="R261" t="s">
        <v>1759</v>
      </c>
    </row>
    <row r="262" spans="1:18" x14ac:dyDescent="0.25">
      <c r="A262" t="s">
        <v>2217</v>
      </c>
      <c r="B262" t="s">
        <v>1907</v>
      </c>
      <c r="C262" t="s">
        <v>4</v>
      </c>
      <c r="D262" t="s">
        <v>2216</v>
      </c>
      <c r="E262" s="2">
        <v>44721</v>
      </c>
      <c r="F262">
        <v>890</v>
      </c>
      <c r="G262" t="s">
        <v>1746</v>
      </c>
      <c r="H262" t="s">
        <v>1798</v>
      </c>
      <c r="I262" t="b">
        <v>0</v>
      </c>
      <c r="J262" t="s">
        <v>1761</v>
      </c>
      <c r="K262" t="s">
        <v>1824</v>
      </c>
      <c r="L262" t="s">
        <v>1817</v>
      </c>
      <c r="M262">
        <v>1543</v>
      </c>
      <c r="N262" t="b">
        <v>1</v>
      </c>
      <c r="O262">
        <v>2103</v>
      </c>
      <c r="P262" t="s">
        <v>1819</v>
      </c>
      <c r="Q262" t="s">
        <v>1753</v>
      </c>
      <c r="R262" t="s">
        <v>1759</v>
      </c>
    </row>
    <row r="263" spans="1:18" x14ac:dyDescent="0.25">
      <c r="A263" t="s">
        <v>2218</v>
      </c>
      <c r="B263" t="s">
        <v>2220</v>
      </c>
      <c r="C263" t="s">
        <v>6</v>
      </c>
      <c r="D263" t="s">
        <v>1200</v>
      </c>
      <c r="E263" s="2">
        <v>41516</v>
      </c>
      <c r="F263">
        <v>4095</v>
      </c>
      <c r="G263" t="s">
        <v>1746</v>
      </c>
      <c r="H263" t="s">
        <v>1805</v>
      </c>
      <c r="I263" t="b">
        <v>1</v>
      </c>
      <c r="J263" t="s">
        <v>1748</v>
      </c>
      <c r="K263" t="s">
        <v>1755</v>
      </c>
      <c r="L263" t="s">
        <v>1750</v>
      </c>
      <c r="M263">
        <v>1541</v>
      </c>
      <c r="N263" t="b">
        <v>0</v>
      </c>
      <c r="O263">
        <v>77</v>
      </c>
      <c r="P263" t="s">
        <v>1752</v>
      </c>
      <c r="Q263" t="s">
        <v>1753</v>
      </c>
    </row>
    <row r="264" spans="1:18" x14ac:dyDescent="0.25">
      <c r="A264" t="s">
        <v>2222</v>
      </c>
      <c r="B264" t="s">
        <v>1840</v>
      </c>
      <c r="C264" t="s">
        <v>4</v>
      </c>
      <c r="D264" t="s">
        <v>2221</v>
      </c>
      <c r="E264" s="2">
        <v>42024</v>
      </c>
      <c r="F264">
        <v>3587</v>
      </c>
      <c r="G264" t="s">
        <v>1746</v>
      </c>
      <c r="H264" t="s">
        <v>1747</v>
      </c>
      <c r="I264" t="b">
        <v>1</v>
      </c>
      <c r="J264" t="s">
        <v>1761</v>
      </c>
      <c r="K264" t="s">
        <v>1749</v>
      </c>
      <c r="L264" t="s">
        <v>1817</v>
      </c>
      <c r="M264">
        <v>1541</v>
      </c>
      <c r="N264" t="b">
        <v>0</v>
      </c>
      <c r="O264">
        <v>41</v>
      </c>
      <c r="P264" t="s">
        <v>1819</v>
      </c>
      <c r="Q264" t="s">
        <v>1753</v>
      </c>
    </row>
    <row r="265" spans="1:18" x14ac:dyDescent="0.25">
      <c r="A265" t="s">
        <v>2223</v>
      </c>
      <c r="B265" t="s">
        <v>1876</v>
      </c>
      <c r="C265" t="s">
        <v>4</v>
      </c>
      <c r="D265" t="s">
        <v>1325</v>
      </c>
      <c r="E265" s="2">
        <v>43515</v>
      </c>
      <c r="F265">
        <v>2096</v>
      </c>
      <c r="G265" t="s">
        <v>1746</v>
      </c>
      <c r="H265" t="s">
        <v>1747</v>
      </c>
      <c r="I265" t="b">
        <v>0</v>
      </c>
      <c r="J265" t="s">
        <v>1748</v>
      </c>
      <c r="K265" t="s">
        <v>1863</v>
      </c>
      <c r="L265" t="s">
        <v>1817</v>
      </c>
      <c r="M265">
        <v>1535</v>
      </c>
      <c r="N265" t="b">
        <v>0</v>
      </c>
      <c r="O265">
        <v>1528</v>
      </c>
      <c r="P265" t="s">
        <v>1819</v>
      </c>
      <c r="Q265" t="s">
        <v>1753</v>
      </c>
      <c r="R265" t="s">
        <v>1759</v>
      </c>
    </row>
    <row r="266" spans="1:18" x14ac:dyDescent="0.25">
      <c r="A266" t="s">
        <v>2224</v>
      </c>
      <c r="B266" t="s">
        <v>1860</v>
      </c>
      <c r="C266" t="s">
        <v>4</v>
      </c>
      <c r="D266" t="s">
        <v>667</v>
      </c>
      <c r="E266" s="2">
        <v>43571</v>
      </c>
      <c r="F266">
        <v>2040</v>
      </c>
      <c r="G266" t="s">
        <v>1746</v>
      </c>
      <c r="H266" t="s">
        <v>1798</v>
      </c>
      <c r="I266" t="b">
        <v>0</v>
      </c>
      <c r="J266" t="s">
        <v>1748</v>
      </c>
      <c r="K266" t="s">
        <v>1774</v>
      </c>
      <c r="L266" t="s">
        <v>1756</v>
      </c>
      <c r="M266">
        <v>1527</v>
      </c>
      <c r="N266" t="b">
        <v>1</v>
      </c>
      <c r="O266">
        <v>384</v>
      </c>
      <c r="P266" t="s">
        <v>1752</v>
      </c>
      <c r="Q266" t="s">
        <v>1753</v>
      </c>
      <c r="R266" t="s">
        <v>1828</v>
      </c>
    </row>
    <row r="267" spans="1:18" x14ac:dyDescent="0.25">
      <c r="A267" t="s">
        <v>2226</v>
      </c>
      <c r="B267" t="s">
        <v>2032</v>
      </c>
      <c r="C267" t="s">
        <v>4</v>
      </c>
      <c r="D267" t="s">
        <v>2225</v>
      </c>
      <c r="E267" s="2">
        <v>42838</v>
      </c>
      <c r="F267">
        <v>2773</v>
      </c>
      <c r="G267" t="s">
        <v>1746</v>
      </c>
      <c r="H267" t="s">
        <v>1747</v>
      </c>
      <c r="I267" t="b">
        <v>1</v>
      </c>
      <c r="J267" t="s">
        <v>1748</v>
      </c>
      <c r="K267" t="s">
        <v>1856</v>
      </c>
      <c r="L267" t="s">
        <v>1817</v>
      </c>
      <c r="M267">
        <v>1517</v>
      </c>
      <c r="N267" t="b">
        <v>0</v>
      </c>
      <c r="O267">
        <v>638</v>
      </c>
      <c r="P267" t="s">
        <v>1819</v>
      </c>
      <c r="Q267" t="s">
        <v>1753</v>
      </c>
      <c r="R267" t="s">
        <v>1772</v>
      </c>
    </row>
    <row r="268" spans="1:18" x14ac:dyDescent="0.25">
      <c r="A268" t="s">
        <v>2228</v>
      </c>
      <c r="B268" t="s">
        <v>2229</v>
      </c>
      <c r="C268" t="s">
        <v>4</v>
      </c>
      <c r="D268" t="s">
        <v>2227</v>
      </c>
      <c r="E268" s="2">
        <v>43636</v>
      </c>
      <c r="F268">
        <v>1975</v>
      </c>
      <c r="G268" t="s">
        <v>1746</v>
      </c>
      <c r="H268" t="s">
        <v>1747</v>
      </c>
      <c r="I268" t="b">
        <v>1</v>
      </c>
      <c r="J268" t="s">
        <v>1748</v>
      </c>
      <c r="K268" t="s">
        <v>1846</v>
      </c>
      <c r="L268" t="s">
        <v>1750</v>
      </c>
      <c r="M268">
        <v>1509</v>
      </c>
      <c r="N268" t="b">
        <v>0</v>
      </c>
      <c r="O268">
        <v>598</v>
      </c>
      <c r="P268" t="s">
        <v>1752</v>
      </c>
      <c r="Q268" t="s">
        <v>1753</v>
      </c>
    </row>
    <row r="269" spans="1:18" x14ac:dyDescent="0.25">
      <c r="A269" t="s">
        <v>2230</v>
      </c>
      <c r="B269" t="s">
        <v>2046</v>
      </c>
      <c r="C269" t="s">
        <v>6</v>
      </c>
      <c r="D269" t="s">
        <v>1199</v>
      </c>
      <c r="E269" s="2">
        <v>41578</v>
      </c>
      <c r="F269">
        <v>4033</v>
      </c>
      <c r="G269" t="s">
        <v>1746</v>
      </c>
      <c r="H269" t="s">
        <v>2231</v>
      </c>
      <c r="I269" t="b">
        <v>1</v>
      </c>
      <c r="J269" t="s">
        <v>1748</v>
      </c>
      <c r="K269" t="s">
        <v>1755</v>
      </c>
      <c r="L269" t="s">
        <v>1750</v>
      </c>
      <c r="M269">
        <v>1507</v>
      </c>
      <c r="N269" t="b">
        <v>0</v>
      </c>
      <c r="O269">
        <v>46</v>
      </c>
      <c r="P269" t="s">
        <v>1752</v>
      </c>
      <c r="Q269" t="s">
        <v>1753</v>
      </c>
    </row>
    <row r="270" spans="1:18" x14ac:dyDescent="0.25">
      <c r="A270" t="s">
        <v>2232</v>
      </c>
      <c r="B270" t="s">
        <v>1810</v>
      </c>
      <c r="C270" t="s">
        <v>4</v>
      </c>
      <c r="D270" t="s">
        <v>752</v>
      </c>
      <c r="E270" s="2">
        <v>43440</v>
      </c>
      <c r="F270">
        <v>2171</v>
      </c>
      <c r="G270" t="s">
        <v>1833</v>
      </c>
      <c r="H270" t="s">
        <v>1747</v>
      </c>
      <c r="I270" t="b">
        <v>0</v>
      </c>
      <c r="J270" t="s">
        <v>1748</v>
      </c>
      <c r="K270" t="s">
        <v>1853</v>
      </c>
      <c r="L270" t="s">
        <v>1750</v>
      </c>
      <c r="M270">
        <v>1504</v>
      </c>
      <c r="N270" t="b">
        <v>1</v>
      </c>
      <c r="O270">
        <v>386</v>
      </c>
      <c r="P270" t="s">
        <v>1752</v>
      </c>
      <c r="Q270" t="s">
        <v>1753</v>
      </c>
      <c r="R270" t="s">
        <v>1772</v>
      </c>
    </row>
    <row r="271" spans="1:18" x14ac:dyDescent="0.25">
      <c r="A271" t="s">
        <v>2234</v>
      </c>
      <c r="B271" t="s">
        <v>2235</v>
      </c>
      <c r="C271" t="s">
        <v>4</v>
      </c>
      <c r="D271" t="s">
        <v>2233</v>
      </c>
      <c r="E271" s="2">
        <v>44312</v>
      </c>
      <c r="F271">
        <v>1299</v>
      </c>
      <c r="G271" t="s">
        <v>1746</v>
      </c>
      <c r="H271" t="s">
        <v>1747</v>
      </c>
      <c r="I271" t="b">
        <v>0</v>
      </c>
      <c r="J271" t="s">
        <v>1748</v>
      </c>
      <c r="K271" t="s">
        <v>1770</v>
      </c>
      <c r="L271" t="s">
        <v>1750</v>
      </c>
      <c r="M271">
        <v>1491</v>
      </c>
      <c r="N271" t="b">
        <v>0</v>
      </c>
      <c r="O271">
        <v>680</v>
      </c>
      <c r="P271" t="s">
        <v>1752</v>
      </c>
      <c r="Q271" t="s">
        <v>1753</v>
      </c>
      <c r="R271" t="s">
        <v>1772</v>
      </c>
    </row>
    <row r="272" spans="1:18" x14ac:dyDescent="0.25">
      <c r="A272" t="s">
        <v>2236</v>
      </c>
      <c r="B272" t="s">
        <v>1763</v>
      </c>
      <c r="C272" t="s">
        <v>6</v>
      </c>
      <c r="D272" t="s">
        <v>51</v>
      </c>
      <c r="E272" s="2">
        <v>39707</v>
      </c>
      <c r="F272">
        <v>5904</v>
      </c>
      <c r="G272" t="s">
        <v>1746</v>
      </c>
      <c r="H272" t="s">
        <v>1798</v>
      </c>
      <c r="I272" t="b">
        <v>1</v>
      </c>
      <c r="J272" t="s">
        <v>1748</v>
      </c>
      <c r="K272" t="s">
        <v>1774</v>
      </c>
      <c r="L272" t="s">
        <v>1750</v>
      </c>
      <c r="M272">
        <v>1490</v>
      </c>
      <c r="N272" t="b">
        <v>1</v>
      </c>
      <c r="O272">
        <v>381</v>
      </c>
      <c r="P272" t="s">
        <v>1752</v>
      </c>
      <c r="Q272" t="s">
        <v>1753</v>
      </c>
      <c r="R272" t="s">
        <v>1828</v>
      </c>
    </row>
    <row r="273" spans="1:18" x14ac:dyDescent="0.25">
      <c r="A273" t="s">
        <v>2238</v>
      </c>
      <c r="B273" t="s">
        <v>2150</v>
      </c>
      <c r="C273" t="s">
        <v>186</v>
      </c>
      <c r="D273" t="s">
        <v>2237</v>
      </c>
      <c r="E273" s="2">
        <v>41352</v>
      </c>
      <c r="F273">
        <v>4259</v>
      </c>
      <c r="G273" t="s">
        <v>1746</v>
      </c>
      <c r="H273" t="s">
        <v>1805</v>
      </c>
      <c r="I273" t="b">
        <v>0</v>
      </c>
      <c r="J273" t="s">
        <v>1748</v>
      </c>
      <c r="K273" t="s">
        <v>1776</v>
      </c>
      <c r="L273" t="s">
        <v>1775</v>
      </c>
      <c r="M273">
        <v>1488</v>
      </c>
      <c r="N273" t="b">
        <v>0</v>
      </c>
      <c r="P273" t="s">
        <v>1778</v>
      </c>
      <c r="Q273" t="s">
        <v>1779</v>
      </c>
    </row>
    <row r="274" spans="1:18" x14ac:dyDescent="0.25">
      <c r="A274" t="s">
        <v>2239</v>
      </c>
      <c r="B274" t="s">
        <v>1754</v>
      </c>
      <c r="C274" t="s">
        <v>4</v>
      </c>
      <c r="D274" t="s">
        <v>633</v>
      </c>
      <c r="E274" s="2">
        <v>39010</v>
      </c>
      <c r="F274">
        <v>6601</v>
      </c>
      <c r="G274" t="s">
        <v>1746</v>
      </c>
      <c r="H274" t="s">
        <v>1747</v>
      </c>
      <c r="I274" t="b">
        <v>1</v>
      </c>
      <c r="J274" t="s">
        <v>1761</v>
      </c>
      <c r="K274" t="s">
        <v>1757</v>
      </c>
      <c r="L274" t="s">
        <v>1750</v>
      </c>
      <c r="M274">
        <v>1488</v>
      </c>
      <c r="N274" t="b">
        <v>0</v>
      </c>
      <c r="O274">
        <v>261</v>
      </c>
      <c r="P274" t="s">
        <v>1752</v>
      </c>
      <c r="Q274" t="s">
        <v>1753</v>
      </c>
      <c r="R274" t="s">
        <v>1759</v>
      </c>
    </row>
    <row r="275" spans="1:18" x14ac:dyDescent="0.25">
      <c r="A275" t="s">
        <v>2240</v>
      </c>
      <c r="B275" t="s">
        <v>1810</v>
      </c>
      <c r="C275" t="s">
        <v>6</v>
      </c>
      <c r="D275" t="s">
        <v>1470</v>
      </c>
      <c r="E275" s="2">
        <v>41087</v>
      </c>
      <c r="F275">
        <v>4524</v>
      </c>
      <c r="G275" t="s">
        <v>1746</v>
      </c>
      <c r="H275" t="s">
        <v>1747</v>
      </c>
      <c r="I275" t="b">
        <v>0</v>
      </c>
      <c r="J275" t="s">
        <v>1748</v>
      </c>
      <c r="K275" t="s">
        <v>1868</v>
      </c>
      <c r="L275" t="s">
        <v>1766</v>
      </c>
      <c r="M275">
        <v>1473</v>
      </c>
      <c r="N275" t="b">
        <v>0</v>
      </c>
      <c r="P275" t="s">
        <v>1752</v>
      </c>
      <c r="Q275" t="s">
        <v>1753</v>
      </c>
    </row>
    <row r="276" spans="1:18" x14ac:dyDescent="0.25">
      <c r="A276" t="s">
        <v>2241</v>
      </c>
      <c r="B276" t="s">
        <v>1754</v>
      </c>
      <c r="C276" t="s">
        <v>4</v>
      </c>
      <c r="D276" t="s">
        <v>555</v>
      </c>
      <c r="E276" s="2">
        <v>38674</v>
      </c>
      <c r="F276">
        <v>6937</v>
      </c>
      <c r="G276" t="s">
        <v>1746</v>
      </c>
      <c r="H276" t="s">
        <v>1798</v>
      </c>
      <c r="I276" t="b">
        <v>1</v>
      </c>
      <c r="J276" t="s">
        <v>1748</v>
      </c>
      <c r="K276" t="s">
        <v>1863</v>
      </c>
      <c r="L276" t="s">
        <v>1817</v>
      </c>
      <c r="M276">
        <v>1471</v>
      </c>
      <c r="N276" t="b">
        <v>0</v>
      </c>
      <c r="O276">
        <v>40</v>
      </c>
      <c r="P276" t="s">
        <v>1819</v>
      </c>
      <c r="Q276" t="s">
        <v>1753</v>
      </c>
      <c r="R276" t="s">
        <v>1828</v>
      </c>
    </row>
    <row r="277" spans="1:18" x14ac:dyDescent="0.25">
      <c r="A277" t="s">
        <v>2242</v>
      </c>
      <c r="B277" t="s">
        <v>1829</v>
      </c>
      <c r="C277" t="s">
        <v>4</v>
      </c>
      <c r="D277" t="s">
        <v>483</v>
      </c>
      <c r="E277" s="2">
        <v>41981</v>
      </c>
      <c r="F277">
        <v>3630</v>
      </c>
      <c r="G277" t="s">
        <v>1746</v>
      </c>
      <c r="H277" t="s">
        <v>1798</v>
      </c>
      <c r="I277" t="b">
        <v>0</v>
      </c>
      <c r="J277" t="s">
        <v>1748</v>
      </c>
      <c r="K277" t="s">
        <v>1765</v>
      </c>
      <c r="L277" t="s">
        <v>1766</v>
      </c>
      <c r="M277">
        <v>1468</v>
      </c>
      <c r="N277" t="b">
        <v>0</v>
      </c>
      <c r="P277" t="s">
        <v>1752</v>
      </c>
      <c r="Q277" t="s">
        <v>1753</v>
      </c>
    </row>
    <row r="278" spans="1:18" x14ac:dyDescent="0.25">
      <c r="A278" t="s">
        <v>2244</v>
      </c>
      <c r="B278" t="s">
        <v>2032</v>
      </c>
      <c r="C278" t="s">
        <v>4</v>
      </c>
      <c r="D278" t="s">
        <v>2243</v>
      </c>
      <c r="E278" s="2">
        <v>42999</v>
      </c>
      <c r="F278">
        <v>2612</v>
      </c>
      <c r="G278" t="s">
        <v>1746</v>
      </c>
      <c r="H278" t="s">
        <v>1798</v>
      </c>
      <c r="I278" t="b">
        <v>1</v>
      </c>
      <c r="J278" t="s">
        <v>1761</v>
      </c>
      <c r="K278" t="s">
        <v>1822</v>
      </c>
      <c r="L278" t="s">
        <v>1817</v>
      </c>
      <c r="M278">
        <v>1466</v>
      </c>
      <c r="N278" t="b">
        <v>0</v>
      </c>
      <c r="O278">
        <v>41</v>
      </c>
      <c r="P278" t="s">
        <v>1819</v>
      </c>
      <c r="Q278" t="s">
        <v>1753</v>
      </c>
    </row>
    <row r="279" spans="1:18" x14ac:dyDescent="0.25">
      <c r="A279" t="s">
        <v>2245</v>
      </c>
      <c r="B279" t="s">
        <v>2046</v>
      </c>
      <c r="C279" t="s">
        <v>4</v>
      </c>
      <c r="D279" t="s">
        <v>1235</v>
      </c>
      <c r="E279" s="2">
        <v>43405</v>
      </c>
      <c r="F279">
        <v>2206</v>
      </c>
      <c r="G279" t="s">
        <v>1746</v>
      </c>
      <c r="H279" t="s">
        <v>1747</v>
      </c>
      <c r="I279" t="b">
        <v>0</v>
      </c>
      <c r="J279" t="s">
        <v>1748</v>
      </c>
      <c r="K279" t="s">
        <v>1943</v>
      </c>
      <c r="L279" t="s">
        <v>2102</v>
      </c>
      <c r="M279">
        <v>1461</v>
      </c>
      <c r="N279" t="b">
        <v>0</v>
      </c>
      <c r="P279" t="s">
        <v>1752</v>
      </c>
      <c r="Q279" t="s">
        <v>1753</v>
      </c>
      <c r="R279" t="s">
        <v>1759</v>
      </c>
    </row>
    <row r="280" spans="1:18" x14ac:dyDescent="0.25">
      <c r="A280" t="s">
        <v>2246</v>
      </c>
      <c r="B280" t="s">
        <v>1876</v>
      </c>
      <c r="C280" t="s">
        <v>4</v>
      </c>
      <c r="D280" t="s">
        <v>1241</v>
      </c>
      <c r="E280" s="2">
        <v>45016</v>
      </c>
      <c r="F280">
        <v>595</v>
      </c>
      <c r="G280" t="s">
        <v>1746</v>
      </c>
      <c r="H280" t="s">
        <v>1747</v>
      </c>
      <c r="I280" t="b">
        <v>0</v>
      </c>
      <c r="J280" t="s">
        <v>1748</v>
      </c>
      <c r="K280" t="s">
        <v>1913</v>
      </c>
      <c r="L280" t="s">
        <v>1750</v>
      </c>
      <c r="M280">
        <v>1429</v>
      </c>
      <c r="N280" t="b">
        <v>0</v>
      </c>
      <c r="O280">
        <v>28</v>
      </c>
      <c r="P280" t="s">
        <v>1752</v>
      </c>
      <c r="Q280" t="s">
        <v>1753</v>
      </c>
      <c r="R280" t="s">
        <v>1759</v>
      </c>
    </row>
    <row r="281" spans="1:18" x14ac:dyDescent="0.25">
      <c r="A281" t="s">
        <v>2247</v>
      </c>
      <c r="B281" t="s">
        <v>1810</v>
      </c>
      <c r="C281" t="s">
        <v>6</v>
      </c>
      <c r="D281" t="s">
        <v>1656</v>
      </c>
      <c r="E281" s="2">
        <v>41299</v>
      </c>
      <c r="F281">
        <v>4312</v>
      </c>
      <c r="G281" t="s">
        <v>1746</v>
      </c>
      <c r="H281" t="s">
        <v>2001</v>
      </c>
      <c r="I281" t="b">
        <v>1</v>
      </c>
      <c r="J281" t="s">
        <v>1761</v>
      </c>
      <c r="K281" t="s">
        <v>1863</v>
      </c>
      <c r="L281" t="s">
        <v>1750</v>
      </c>
      <c r="M281">
        <v>1427</v>
      </c>
      <c r="N281" t="b">
        <v>0</v>
      </c>
      <c r="O281">
        <v>225</v>
      </c>
      <c r="P281" t="s">
        <v>1752</v>
      </c>
      <c r="Q281" t="s">
        <v>1753</v>
      </c>
    </row>
    <row r="282" spans="1:18" x14ac:dyDescent="0.25">
      <c r="A282" t="s">
        <v>2248</v>
      </c>
      <c r="B282" t="s">
        <v>1876</v>
      </c>
      <c r="C282" t="s">
        <v>4</v>
      </c>
      <c r="D282" t="s">
        <v>456</v>
      </c>
      <c r="E282" s="2">
        <v>44494</v>
      </c>
      <c r="F282">
        <v>1117</v>
      </c>
      <c r="G282" t="s">
        <v>1746</v>
      </c>
      <c r="H282" t="s">
        <v>1747</v>
      </c>
      <c r="I282" t="b">
        <v>0</v>
      </c>
      <c r="J282" t="s">
        <v>1748</v>
      </c>
      <c r="K282" t="s">
        <v>1776</v>
      </c>
      <c r="L282" t="s">
        <v>1750</v>
      </c>
      <c r="M282">
        <v>1425</v>
      </c>
      <c r="N282" t="b">
        <v>1</v>
      </c>
      <c r="O282">
        <v>93</v>
      </c>
      <c r="P282" t="s">
        <v>1752</v>
      </c>
      <c r="Q282" t="s">
        <v>1753</v>
      </c>
    </row>
    <row r="283" spans="1:18" x14ac:dyDescent="0.25">
      <c r="A283" t="s">
        <v>2249</v>
      </c>
      <c r="B283" t="s">
        <v>2057</v>
      </c>
      <c r="C283" t="s">
        <v>4</v>
      </c>
      <c r="D283" t="s">
        <v>647</v>
      </c>
      <c r="E283" s="2">
        <v>43367</v>
      </c>
      <c r="F283">
        <v>2244</v>
      </c>
      <c r="G283" t="s">
        <v>1746</v>
      </c>
      <c r="H283" t="s">
        <v>1747</v>
      </c>
      <c r="I283" t="b">
        <v>0</v>
      </c>
      <c r="J283" t="s">
        <v>1748</v>
      </c>
      <c r="K283" t="s">
        <v>1856</v>
      </c>
      <c r="L283" t="s">
        <v>1817</v>
      </c>
      <c r="M283">
        <v>1424</v>
      </c>
      <c r="N283" t="b">
        <v>1</v>
      </c>
      <c r="O283">
        <v>787</v>
      </c>
      <c r="P283" t="s">
        <v>1819</v>
      </c>
      <c r="Q283" t="s">
        <v>1753</v>
      </c>
      <c r="R283" t="s">
        <v>1772</v>
      </c>
    </row>
    <row r="284" spans="1:18" x14ac:dyDescent="0.25">
      <c r="A284" t="s">
        <v>2250</v>
      </c>
      <c r="B284" t="s">
        <v>2060</v>
      </c>
      <c r="C284" t="s">
        <v>6</v>
      </c>
      <c r="D284" t="s">
        <v>90</v>
      </c>
      <c r="E284" s="2">
        <v>43501</v>
      </c>
      <c r="F284">
        <v>2110</v>
      </c>
      <c r="G284" t="s">
        <v>1746</v>
      </c>
      <c r="H284" t="s">
        <v>1798</v>
      </c>
      <c r="I284" t="b">
        <v>1</v>
      </c>
      <c r="J284" t="s">
        <v>1761</v>
      </c>
      <c r="K284" t="s">
        <v>1749</v>
      </c>
      <c r="L284" t="s">
        <v>1817</v>
      </c>
      <c r="M284">
        <v>1421</v>
      </c>
      <c r="N284" t="b">
        <v>0</v>
      </c>
      <c r="O284">
        <v>3733</v>
      </c>
      <c r="P284" t="s">
        <v>1819</v>
      </c>
      <c r="Q284" t="s">
        <v>1753</v>
      </c>
      <c r="R284" t="s">
        <v>1759</v>
      </c>
    </row>
    <row r="285" spans="1:18" x14ac:dyDescent="0.25">
      <c r="A285" t="s">
        <v>2251</v>
      </c>
      <c r="B285" t="s">
        <v>1881</v>
      </c>
      <c r="C285" t="s">
        <v>4</v>
      </c>
      <c r="D285" t="s">
        <v>544</v>
      </c>
      <c r="E285" s="2">
        <v>39661</v>
      </c>
      <c r="F285">
        <v>5950</v>
      </c>
      <c r="G285" t="s">
        <v>1746</v>
      </c>
      <c r="H285" t="s">
        <v>1798</v>
      </c>
      <c r="I285" t="b">
        <v>1</v>
      </c>
      <c r="J285" t="s">
        <v>1761</v>
      </c>
      <c r="K285" t="s">
        <v>1755</v>
      </c>
      <c r="L285" t="s">
        <v>1817</v>
      </c>
      <c r="M285">
        <v>1419</v>
      </c>
      <c r="N285" t="b">
        <v>0</v>
      </c>
      <c r="O285">
        <v>1115</v>
      </c>
      <c r="P285" t="s">
        <v>1819</v>
      </c>
      <c r="Q285" t="s">
        <v>1753</v>
      </c>
      <c r="R285" t="s">
        <v>1759</v>
      </c>
    </row>
    <row r="286" spans="1:18" x14ac:dyDescent="0.25">
      <c r="A286" t="s">
        <v>2253</v>
      </c>
      <c r="B286" t="s">
        <v>2051</v>
      </c>
      <c r="C286" t="s">
        <v>4</v>
      </c>
      <c r="D286" t="s">
        <v>2252</v>
      </c>
      <c r="E286" s="2">
        <v>41563</v>
      </c>
      <c r="F286">
        <v>4048</v>
      </c>
      <c r="G286" t="s">
        <v>1746</v>
      </c>
      <c r="H286" t="s">
        <v>1747</v>
      </c>
      <c r="I286" t="b">
        <v>1</v>
      </c>
      <c r="J286" t="s">
        <v>1761</v>
      </c>
      <c r="K286" t="s">
        <v>1755</v>
      </c>
      <c r="L286" t="s">
        <v>1817</v>
      </c>
      <c r="M286">
        <v>1410</v>
      </c>
      <c r="N286" t="b">
        <v>0</v>
      </c>
      <c r="O286">
        <v>2686</v>
      </c>
      <c r="P286" t="s">
        <v>1819</v>
      </c>
      <c r="Q286" t="s">
        <v>1753</v>
      </c>
      <c r="R286" t="s">
        <v>1759</v>
      </c>
    </row>
    <row r="287" spans="1:18" x14ac:dyDescent="0.25">
      <c r="A287" t="s">
        <v>2254</v>
      </c>
      <c r="B287" t="s">
        <v>1754</v>
      </c>
      <c r="C287" t="s">
        <v>6</v>
      </c>
      <c r="D287" t="s">
        <v>1169</v>
      </c>
      <c r="E287" s="2">
        <v>40494</v>
      </c>
      <c r="F287">
        <v>5117</v>
      </c>
      <c r="G287" t="s">
        <v>1746</v>
      </c>
      <c r="H287" t="s">
        <v>1747</v>
      </c>
      <c r="I287" t="b">
        <v>1</v>
      </c>
      <c r="J287" t="s">
        <v>1761</v>
      </c>
      <c r="K287" t="s">
        <v>1770</v>
      </c>
      <c r="L287" t="s">
        <v>1756</v>
      </c>
      <c r="M287">
        <v>1405</v>
      </c>
      <c r="N287" t="b">
        <v>0</v>
      </c>
      <c r="O287">
        <v>1163</v>
      </c>
      <c r="P287" t="s">
        <v>1752</v>
      </c>
      <c r="Q287" t="s">
        <v>1753</v>
      </c>
      <c r="R287" t="s">
        <v>1772</v>
      </c>
    </row>
    <row r="288" spans="1:18" x14ac:dyDescent="0.25">
      <c r="A288" t="s">
        <v>2256</v>
      </c>
      <c r="B288" t="s">
        <v>1840</v>
      </c>
      <c r="C288" t="s">
        <v>4</v>
      </c>
      <c r="D288" t="s">
        <v>2255</v>
      </c>
      <c r="E288" s="2">
        <v>43060</v>
      </c>
      <c r="F288">
        <v>2551</v>
      </c>
      <c r="G288" t="s">
        <v>1746</v>
      </c>
      <c r="H288" t="s">
        <v>1747</v>
      </c>
      <c r="I288" t="b">
        <v>1</v>
      </c>
      <c r="J288" t="s">
        <v>1761</v>
      </c>
      <c r="K288" t="s">
        <v>1822</v>
      </c>
      <c r="L288" t="s">
        <v>1817</v>
      </c>
      <c r="M288">
        <v>1393</v>
      </c>
      <c r="N288" t="b">
        <v>0</v>
      </c>
      <c r="O288">
        <v>15637</v>
      </c>
      <c r="P288" t="s">
        <v>1819</v>
      </c>
      <c r="Q288" t="s">
        <v>1753</v>
      </c>
      <c r="R288" t="s">
        <v>1759</v>
      </c>
    </row>
    <row r="289" spans="1:18" x14ac:dyDescent="0.25">
      <c r="A289" t="s">
        <v>2257</v>
      </c>
      <c r="B289" t="s">
        <v>2035</v>
      </c>
      <c r="C289" t="s">
        <v>6</v>
      </c>
      <c r="D289" t="s">
        <v>894</v>
      </c>
      <c r="E289" s="2">
        <v>40791</v>
      </c>
      <c r="F289">
        <v>4820</v>
      </c>
      <c r="G289" t="s">
        <v>1746</v>
      </c>
      <c r="H289" t="s">
        <v>1798</v>
      </c>
      <c r="I289" t="b">
        <v>0</v>
      </c>
      <c r="J289" t="s">
        <v>1748</v>
      </c>
      <c r="K289" t="s">
        <v>1856</v>
      </c>
      <c r="L289" t="s">
        <v>1766</v>
      </c>
      <c r="M289">
        <v>1392</v>
      </c>
      <c r="N289" t="b">
        <v>0</v>
      </c>
      <c r="P289" t="s">
        <v>1752</v>
      </c>
      <c r="Q289" t="s">
        <v>1753</v>
      </c>
      <c r="R289" t="s">
        <v>1759</v>
      </c>
    </row>
    <row r="290" spans="1:18" x14ac:dyDescent="0.25">
      <c r="A290" t="s">
        <v>2259</v>
      </c>
      <c r="B290" t="s">
        <v>2150</v>
      </c>
      <c r="C290" t="s">
        <v>4</v>
      </c>
      <c r="D290" t="s">
        <v>2258</v>
      </c>
      <c r="E290" s="2">
        <v>43164</v>
      </c>
      <c r="F290">
        <v>2447</v>
      </c>
      <c r="G290" t="s">
        <v>1746</v>
      </c>
      <c r="H290" t="s">
        <v>1805</v>
      </c>
      <c r="I290" t="b">
        <v>1</v>
      </c>
      <c r="J290" t="s">
        <v>1761</v>
      </c>
      <c r="K290" t="s">
        <v>1774</v>
      </c>
      <c r="L290" t="s">
        <v>1817</v>
      </c>
      <c r="M290">
        <v>1390</v>
      </c>
      <c r="N290" t="b">
        <v>0</v>
      </c>
      <c r="O290">
        <v>48</v>
      </c>
      <c r="P290" t="s">
        <v>1819</v>
      </c>
      <c r="Q290" t="s">
        <v>1753</v>
      </c>
    </row>
    <row r="291" spans="1:18" x14ac:dyDescent="0.25">
      <c r="A291" t="s">
        <v>2260</v>
      </c>
      <c r="B291" t="s">
        <v>2035</v>
      </c>
      <c r="C291" t="s">
        <v>6</v>
      </c>
      <c r="D291" t="s">
        <v>86</v>
      </c>
      <c r="E291" s="2">
        <v>40337</v>
      </c>
      <c r="F291">
        <v>5274</v>
      </c>
      <c r="G291" t="s">
        <v>1746</v>
      </c>
      <c r="H291" t="s">
        <v>1798</v>
      </c>
      <c r="I291" t="b">
        <v>0</v>
      </c>
      <c r="J291" t="s">
        <v>1748</v>
      </c>
      <c r="K291" t="s">
        <v>1891</v>
      </c>
      <c r="L291" t="s">
        <v>1766</v>
      </c>
      <c r="M291">
        <v>1385</v>
      </c>
      <c r="N291" t="b">
        <v>0</v>
      </c>
      <c r="P291" t="s">
        <v>1752</v>
      </c>
      <c r="Q291" t="s">
        <v>1753</v>
      </c>
    </row>
    <row r="292" spans="1:18" x14ac:dyDescent="0.25">
      <c r="A292" t="s">
        <v>2261</v>
      </c>
      <c r="B292" t="s">
        <v>1754</v>
      </c>
      <c r="C292" t="s">
        <v>4</v>
      </c>
      <c r="D292" t="s">
        <v>1209</v>
      </c>
      <c r="E292" s="2">
        <v>42242</v>
      </c>
      <c r="F292">
        <v>3369</v>
      </c>
      <c r="G292" t="s">
        <v>1746</v>
      </c>
      <c r="H292" t="s">
        <v>1747</v>
      </c>
      <c r="I292" t="b">
        <v>0</v>
      </c>
      <c r="J292" t="s">
        <v>1761</v>
      </c>
      <c r="K292" t="s">
        <v>1776</v>
      </c>
      <c r="L292" t="s">
        <v>1750</v>
      </c>
      <c r="M292">
        <v>1384</v>
      </c>
      <c r="N292" t="b">
        <v>1</v>
      </c>
      <c r="O292">
        <v>98</v>
      </c>
      <c r="P292" t="s">
        <v>1752</v>
      </c>
      <c r="Q292" t="s">
        <v>1753</v>
      </c>
    </row>
    <row r="293" spans="1:18" x14ac:dyDescent="0.25">
      <c r="A293" t="s">
        <v>2263</v>
      </c>
      <c r="B293" t="s">
        <v>2085</v>
      </c>
      <c r="C293" t="s">
        <v>4</v>
      </c>
      <c r="D293" t="s">
        <v>2262</v>
      </c>
      <c r="E293" s="2">
        <v>43060</v>
      </c>
      <c r="F293">
        <v>2551</v>
      </c>
      <c r="G293" t="s">
        <v>1746</v>
      </c>
      <c r="H293" t="s">
        <v>1805</v>
      </c>
      <c r="I293" t="b">
        <v>1</v>
      </c>
      <c r="J293" t="s">
        <v>1761</v>
      </c>
      <c r="K293" t="s">
        <v>1822</v>
      </c>
      <c r="L293" t="s">
        <v>1817</v>
      </c>
      <c r="M293">
        <v>1382</v>
      </c>
      <c r="N293" t="b">
        <v>0</v>
      </c>
      <c r="O293">
        <v>15637</v>
      </c>
      <c r="P293" t="s">
        <v>1819</v>
      </c>
      <c r="Q293" t="s">
        <v>1753</v>
      </c>
      <c r="R293" t="s">
        <v>1759</v>
      </c>
    </row>
    <row r="294" spans="1:18" x14ac:dyDescent="0.25">
      <c r="A294" t="s">
        <v>2264</v>
      </c>
      <c r="B294" t="s">
        <v>1810</v>
      </c>
      <c r="C294" t="s">
        <v>4</v>
      </c>
      <c r="D294" t="s">
        <v>1312</v>
      </c>
      <c r="E294" s="2">
        <v>43669</v>
      </c>
      <c r="F294">
        <v>1942</v>
      </c>
      <c r="G294" t="s">
        <v>1746</v>
      </c>
      <c r="H294" t="s">
        <v>1747</v>
      </c>
      <c r="I294" t="b">
        <v>1</v>
      </c>
      <c r="J294" t="s">
        <v>1748</v>
      </c>
      <c r="K294" t="s">
        <v>1822</v>
      </c>
      <c r="L294" t="s">
        <v>1750</v>
      </c>
      <c r="M294">
        <v>1381</v>
      </c>
      <c r="N294" t="b">
        <v>0</v>
      </c>
      <c r="O294">
        <v>579</v>
      </c>
      <c r="P294" t="s">
        <v>1752</v>
      </c>
      <c r="Q294" t="s">
        <v>1753</v>
      </c>
      <c r="R294" t="s">
        <v>2092</v>
      </c>
    </row>
    <row r="295" spans="1:18" x14ac:dyDescent="0.25">
      <c r="A295" t="s">
        <v>2265</v>
      </c>
      <c r="B295" t="s">
        <v>1754</v>
      </c>
      <c r="C295" t="s">
        <v>4</v>
      </c>
      <c r="D295" t="s">
        <v>600</v>
      </c>
      <c r="E295" s="2">
        <v>39010</v>
      </c>
      <c r="F295">
        <v>6601</v>
      </c>
      <c r="G295" t="s">
        <v>1746</v>
      </c>
      <c r="H295" t="s">
        <v>1747</v>
      </c>
      <c r="I295" t="b">
        <v>1</v>
      </c>
      <c r="J295" t="s">
        <v>1761</v>
      </c>
      <c r="K295" t="s">
        <v>1883</v>
      </c>
      <c r="L295" t="s">
        <v>1750</v>
      </c>
      <c r="M295">
        <v>1380</v>
      </c>
      <c r="N295" t="b">
        <v>0</v>
      </c>
      <c r="O295">
        <v>339</v>
      </c>
      <c r="P295" t="s">
        <v>2266</v>
      </c>
      <c r="Q295" t="s">
        <v>1753</v>
      </c>
      <c r="R295" t="s">
        <v>1759</v>
      </c>
    </row>
    <row r="296" spans="1:18" x14ac:dyDescent="0.25">
      <c r="A296" t="s">
        <v>2267</v>
      </c>
      <c r="B296" t="s">
        <v>1936</v>
      </c>
      <c r="C296" t="s">
        <v>6</v>
      </c>
      <c r="D296" t="s">
        <v>44</v>
      </c>
      <c r="E296" s="2">
        <v>42685</v>
      </c>
      <c r="F296">
        <v>2926</v>
      </c>
      <c r="G296" t="s">
        <v>1746</v>
      </c>
      <c r="H296" t="s">
        <v>1798</v>
      </c>
      <c r="I296" t="b">
        <v>1</v>
      </c>
      <c r="J296" t="s">
        <v>1748</v>
      </c>
      <c r="K296" t="s">
        <v>1863</v>
      </c>
      <c r="L296" t="s">
        <v>1817</v>
      </c>
      <c r="M296">
        <v>1371</v>
      </c>
      <c r="N296" t="b">
        <v>0</v>
      </c>
      <c r="O296">
        <v>407</v>
      </c>
      <c r="P296" t="s">
        <v>1819</v>
      </c>
      <c r="Q296" t="s">
        <v>1753</v>
      </c>
      <c r="R296" t="s">
        <v>1828</v>
      </c>
    </row>
    <row r="297" spans="1:18" x14ac:dyDescent="0.25">
      <c r="A297" t="s">
        <v>2268</v>
      </c>
      <c r="B297" t="s">
        <v>2269</v>
      </c>
      <c r="C297" t="s">
        <v>572</v>
      </c>
      <c r="D297" t="s">
        <v>601</v>
      </c>
      <c r="E297" s="2">
        <v>39658</v>
      </c>
      <c r="F297">
        <v>5953</v>
      </c>
      <c r="G297" t="s">
        <v>1746</v>
      </c>
      <c r="H297" t="s">
        <v>1798</v>
      </c>
      <c r="I297" t="b">
        <v>0</v>
      </c>
      <c r="J297" t="s">
        <v>1761</v>
      </c>
      <c r="K297" t="s">
        <v>1986</v>
      </c>
      <c r="L297" t="s">
        <v>1817</v>
      </c>
      <c r="M297">
        <v>1367</v>
      </c>
      <c r="N297" t="b">
        <v>0</v>
      </c>
      <c r="O297">
        <v>7</v>
      </c>
      <c r="P297" t="s">
        <v>1819</v>
      </c>
      <c r="Q297" t="s">
        <v>1753</v>
      </c>
    </row>
    <row r="298" spans="1:18" x14ac:dyDescent="0.25">
      <c r="A298" t="s">
        <v>2270</v>
      </c>
      <c r="B298" t="s">
        <v>1829</v>
      </c>
      <c r="C298" t="s">
        <v>6</v>
      </c>
      <c r="D298" t="s">
        <v>1139</v>
      </c>
      <c r="E298" s="2">
        <v>43145</v>
      </c>
      <c r="F298">
        <v>2466</v>
      </c>
      <c r="G298" t="s">
        <v>1746</v>
      </c>
      <c r="H298" t="s">
        <v>1747</v>
      </c>
      <c r="I298" t="b">
        <v>0</v>
      </c>
      <c r="J298" t="s">
        <v>1748</v>
      </c>
      <c r="K298" t="s">
        <v>1793</v>
      </c>
      <c r="L298" t="s">
        <v>1750</v>
      </c>
      <c r="M298">
        <v>1360</v>
      </c>
      <c r="N298" t="b">
        <v>1</v>
      </c>
      <c r="O298">
        <v>403</v>
      </c>
      <c r="P298" t="s">
        <v>1752</v>
      </c>
      <c r="Q298" t="s">
        <v>1753</v>
      </c>
      <c r="R298" t="s">
        <v>1759</v>
      </c>
    </row>
    <row r="299" spans="1:18" x14ac:dyDescent="0.25">
      <c r="A299" t="s">
        <v>595</v>
      </c>
      <c r="B299" t="s">
        <v>1754</v>
      </c>
      <c r="C299" t="s">
        <v>4</v>
      </c>
      <c r="D299" t="s">
        <v>596</v>
      </c>
      <c r="E299" s="2">
        <v>43350</v>
      </c>
      <c r="F299">
        <v>2261</v>
      </c>
      <c r="G299" t="s">
        <v>1746</v>
      </c>
      <c r="H299" t="s">
        <v>1747</v>
      </c>
      <c r="I299" t="b">
        <v>1</v>
      </c>
      <c r="J299" t="s">
        <v>1748</v>
      </c>
      <c r="K299" t="s">
        <v>2021</v>
      </c>
      <c r="L299" t="s">
        <v>1756</v>
      </c>
      <c r="M299">
        <v>1359</v>
      </c>
      <c r="N299" t="b">
        <v>1</v>
      </c>
      <c r="O299">
        <v>110</v>
      </c>
      <c r="P299" t="s">
        <v>1752</v>
      </c>
      <c r="Q299" t="s">
        <v>1753</v>
      </c>
      <c r="R299" t="s">
        <v>1759</v>
      </c>
    </row>
    <row r="300" spans="1:18" x14ac:dyDescent="0.25">
      <c r="A300" t="s">
        <v>2271</v>
      </c>
      <c r="B300" t="s">
        <v>2060</v>
      </c>
      <c r="C300" t="s">
        <v>186</v>
      </c>
      <c r="D300" t="s">
        <v>1657</v>
      </c>
      <c r="E300" s="2">
        <v>40417</v>
      </c>
      <c r="F300">
        <v>5194</v>
      </c>
      <c r="G300" t="s">
        <v>1746</v>
      </c>
      <c r="H300" t="s">
        <v>1747</v>
      </c>
      <c r="I300" t="b">
        <v>0</v>
      </c>
      <c r="J300" t="s">
        <v>1748</v>
      </c>
      <c r="K300" t="s">
        <v>1776</v>
      </c>
      <c r="L300" t="s">
        <v>1775</v>
      </c>
      <c r="M300">
        <v>1346</v>
      </c>
      <c r="N300" t="b">
        <v>0</v>
      </c>
      <c r="P300" t="s">
        <v>1778</v>
      </c>
      <c r="Q300" t="s">
        <v>1779</v>
      </c>
    </row>
    <row r="301" spans="1:18" x14ac:dyDescent="0.25">
      <c r="A301" t="s">
        <v>2273</v>
      </c>
      <c r="B301" t="s">
        <v>1902</v>
      </c>
      <c r="C301" t="s">
        <v>4</v>
      </c>
      <c r="D301" t="s">
        <v>2272</v>
      </c>
      <c r="E301" s="2">
        <v>40599</v>
      </c>
      <c r="F301">
        <v>5012</v>
      </c>
      <c r="G301" t="s">
        <v>1746</v>
      </c>
      <c r="H301" t="s">
        <v>1747</v>
      </c>
      <c r="I301" t="b">
        <v>0</v>
      </c>
      <c r="J301" t="s">
        <v>1748</v>
      </c>
      <c r="K301" t="s">
        <v>2042</v>
      </c>
      <c r="L301" t="s">
        <v>1750</v>
      </c>
      <c r="M301">
        <v>1343</v>
      </c>
      <c r="N301" t="b">
        <v>1</v>
      </c>
      <c r="O301">
        <v>576</v>
      </c>
      <c r="P301" t="s">
        <v>1752</v>
      </c>
      <c r="Q301" t="s">
        <v>1753</v>
      </c>
      <c r="R301" t="s">
        <v>1759</v>
      </c>
    </row>
    <row r="302" spans="1:18" x14ac:dyDescent="0.25">
      <c r="A302" t="s">
        <v>2274</v>
      </c>
      <c r="B302" t="s">
        <v>2035</v>
      </c>
      <c r="C302" t="s">
        <v>6</v>
      </c>
      <c r="D302" t="s">
        <v>862</v>
      </c>
      <c r="E302" s="2">
        <v>39100</v>
      </c>
      <c r="F302">
        <v>6511</v>
      </c>
      <c r="G302" t="s">
        <v>1746</v>
      </c>
      <c r="H302" t="s">
        <v>1798</v>
      </c>
      <c r="I302" t="b">
        <v>1</v>
      </c>
      <c r="J302" t="s">
        <v>1748</v>
      </c>
      <c r="K302" t="s">
        <v>1824</v>
      </c>
      <c r="L302" t="s">
        <v>1750</v>
      </c>
      <c r="M302">
        <v>1341</v>
      </c>
      <c r="N302" t="b">
        <v>0</v>
      </c>
      <c r="O302">
        <v>59</v>
      </c>
      <c r="P302" t="s">
        <v>1819</v>
      </c>
      <c r="Q302" t="s">
        <v>1753</v>
      </c>
      <c r="R302" t="s">
        <v>1828</v>
      </c>
    </row>
    <row r="303" spans="1:18" x14ac:dyDescent="0.25">
      <c r="A303" t="s">
        <v>2276</v>
      </c>
      <c r="B303" t="s">
        <v>2277</v>
      </c>
      <c r="C303" t="s">
        <v>4</v>
      </c>
      <c r="D303" t="s">
        <v>2275</v>
      </c>
      <c r="E303" s="2">
        <v>44672</v>
      </c>
      <c r="F303">
        <v>939</v>
      </c>
      <c r="G303" t="s">
        <v>1746</v>
      </c>
      <c r="H303" t="s">
        <v>1747</v>
      </c>
      <c r="I303" t="b">
        <v>0</v>
      </c>
      <c r="J303" t="s">
        <v>1761</v>
      </c>
      <c r="K303" t="s">
        <v>1765</v>
      </c>
      <c r="L303" t="s">
        <v>1766</v>
      </c>
      <c r="M303">
        <v>1338</v>
      </c>
      <c r="N303" t="b">
        <v>0</v>
      </c>
      <c r="P303" t="s">
        <v>1752</v>
      </c>
      <c r="Q303" t="s">
        <v>1753</v>
      </c>
    </row>
    <row r="304" spans="1:18" x14ac:dyDescent="0.25">
      <c r="A304" t="s">
        <v>2278</v>
      </c>
      <c r="B304" t="s">
        <v>2046</v>
      </c>
      <c r="C304" t="s">
        <v>4</v>
      </c>
      <c r="D304" t="s">
        <v>1234</v>
      </c>
      <c r="E304" s="2">
        <v>42227</v>
      </c>
      <c r="F304">
        <v>3384</v>
      </c>
      <c r="G304" t="s">
        <v>1746</v>
      </c>
      <c r="H304" t="s">
        <v>1798</v>
      </c>
      <c r="I304" t="b">
        <v>0</v>
      </c>
      <c r="J304" t="s">
        <v>1748</v>
      </c>
      <c r="K304" t="s">
        <v>1943</v>
      </c>
      <c r="L304" t="s">
        <v>2102</v>
      </c>
      <c r="M304">
        <v>1337</v>
      </c>
      <c r="N304" t="b">
        <v>0</v>
      </c>
      <c r="P304" t="s">
        <v>1752</v>
      </c>
      <c r="Q304" t="s">
        <v>1753</v>
      </c>
      <c r="R304" t="s">
        <v>1759</v>
      </c>
    </row>
    <row r="305" spans="1:18" x14ac:dyDescent="0.25">
      <c r="A305" t="s">
        <v>1573</v>
      </c>
      <c r="B305" t="s">
        <v>1810</v>
      </c>
      <c r="C305" t="s">
        <v>6</v>
      </c>
      <c r="D305" t="s">
        <v>1574</v>
      </c>
      <c r="E305" s="2">
        <v>41241</v>
      </c>
      <c r="F305">
        <v>4370</v>
      </c>
      <c r="G305" t="s">
        <v>1746</v>
      </c>
      <c r="H305" t="s">
        <v>1798</v>
      </c>
      <c r="I305" t="b">
        <v>1</v>
      </c>
      <c r="J305" t="s">
        <v>1761</v>
      </c>
      <c r="K305" t="s">
        <v>1774</v>
      </c>
      <c r="L305" t="s">
        <v>1750</v>
      </c>
      <c r="M305">
        <v>1336</v>
      </c>
      <c r="N305" t="b">
        <v>0</v>
      </c>
      <c r="O305">
        <v>220</v>
      </c>
      <c r="P305" t="s">
        <v>1752</v>
      </c>
      <c r="Q305" t="s">
        <v>1753</v>
      </c>
      <c r="R305" t="s">
        <v>1828</v>
      </c>
    </row>
    <row r="306" spans="1:18" x14ac:dyDescent="0.25">
      <c r="A306" t="s">
        <v>2279</v>
      </c>
      <c r="B306" t="s">
        <v>1810</v>
      </c>
      <c r="C306" t="s">
        <v>4</v>
      </c>
      <c r="D306" t="s">
        <v>631</v>
      </c>
      <c r="E306" s="2">
        <v>41176</v>
      </c>
      <c r="F306">
        <v>4435</v>
      </c>
      <c r="G306" t="s">
        <v>1746</v>
      </c>
      <c r="H306" t="s">
        <v>1747</v>
      </c>
      <c r="I306" t="b">
        <v>1</v>
      </c>
      <c r="J306" t="s">
        <v>1761</v>
      </c>
      <c r="K306" t="s">
        <v>1755</v>
      </c>
      <c r="L306" t="s">
        <v>1817</v>
      </c>
      <c r="M306">
        <v>1333</v>
      </c>
      <c r="N306" t="b">
        <v>0</v>
      </c>
      <c r="O306">
        <v>13583</v>
      </c>
      <c r="P306" t="s">
        <v>1819</v>
      </c>
      <c r="Q306" t="s">
        <v>1753</v>
      </c>
      <c r="R306" t="s">
        <v>1759</v>
      </c>
    </row>
    <row r="307" spans="1:18" x14ac:dyDescent="0.25">
      <c r="A307" t="s">
        <v>2281</v>
      </c>
      <c r="B307" t="s">
        <v>2051</v>
      </c>
      <c r="C307" t="s">
        <v>4</v>
      </c>
      <c r="D307" t="s">
        <v>2280</v>
      </c>
      <c r="E307" s="2">
        <v>40802</v>
      </c>
      <c r="F307">
        <v>4809</v>
      </c>
      <c r="G307" t="s">
        <v>1746</v>
      </c>
      <c r="H307" t="s">
        <v>1747</v>
      </c>
      <c r="I307" t="b">
        <v>1</v>
      </c>
      <c r="J307" t="s">
        <v>1748</v>
      </c>
      <c r="K307" t="s">
        <v>1913</v>
      </c>
      <c r="L307" t="s">
        <v>1750</v>
      </c>
      <c r="M307">
        <v>1332</v>
      </c>
      <c r="N307" t="b">
        <v>0</v>
      </c>
      <c r="O307">
        <v>59</v>
      </c>
      <c r="P307" t="s">
        <v>1752</v>
      </c>
      <c r="Q307" t="s">
        <v>1753</v>
      </c>
      <c r="R307" t="s">
        <v>1759</v>
      </c>
    </row>
    <row r="308" spans="1:18" x14ac:dyDescent="0.25">
      <c r="A308" t="s">
        <v>1703</v>
      </c>
      <c r="B308" t="s">
        <v>2284</v>
      </c>
      <c r="C308" t="s">
        <v>572</v>
      </c>
      <c r="D308" t="s">
        <v>2282</v>
      </c>
      <c r="E308" s="2">
        <v>43990</v>
      </c>
      <c r="F308">
        <v>1621</v>
      </c>
      <c r="G308" t="s">
        <v>1746</v>
      </c>
      <c r="H308" t="s">
        <v>1747</v>
      </c>
      <c r="I308" t="b">
        <v>0</v>
      </c>
      <c r="J308" t="s">
        <v>1748</v>
      </c>
      <c r="K308" t="s">
        <v>1932</v>
      </c>
      <c r="L308" t="s">
        <v>1775</v>
      </c>
      <c r="M308">
        <v>1330</v>
      </c>
      <c r="N308" t="b">
        <v>0</v>
      </c>
      <c r="P308" t="s">
        <v>2283</v>
      </c>
      <c r="Q308" t="s">
        <v>1705</v>
      </c>
    </row>
    <row r="309" spans="1:18" x14ac:dyDescent="0.25">
      <c r="A309" t="s">
        <v>2286</v>
      </c>
      <c r="B309" t="s">
        <v>2157</v>
      </c>
      <c r="C309" t="s">
        <v>4</v>
      </c>
      <c r="D309" t="s">
        <v>2285</v>
      </c>
      <c r="E309" s="2">
        <v>45264</v>
      </c>
      <c r="F309">
        <v>347</v>
      </c>
      <c r="G309" t="s">
        <v>1746</v>
      </c>
      <c r="H309" t="s">
        <v>1747</v>
      </c>
      <c r="I309" t="b">
        <v>0</v>
      </c>
      <c r="J309" t="s">
        <v>1748</v>
      </c>
      <c r="K309" t="s">
        <v>1755</v>
      </c>
      <c r="L309" t="s">
        <v>1750</v>
      </c>
      <c r="M309">
        <v>1326</v>
      </c>
      <c r="N309" t="b">
        <v>1</v>
      </c>
      <c r="O309">
        <v>590</v>
      </c>
      <c r="P309" t="s">
        <v>1752</v>
      </c>
      <c r="Q309" t="s">
        <v>1753</v>
      </c>
      <c r="R309" t="s">
        <v>1759</v>
      </c>
    </row>
    <row r="310" spans="1:18" x14ac:dyDescent="0.25">
      <c r="A310" t="s">
        <v>2288</v>
      </c>
      <c r="B310" t="s">
        <v>1803</v>
      </c>
      <c r="C310" t="s">
        <v>572</v>
      </c>
      <c r="D310" t="s">
        <v>2287</v>
      </c>
      <c r="E310" s="2">
        <v>39521</v>
      </c>
      <c r="F310">
        <v>6090</v>
      </c>
      <c r="G310" t="s">
        <v>1746</v>
      </c>
      <c r="H310" t="s">
        <v>1798</v>
      </c>
      <c r="I310" t="b">
        <v>0</v>
      </c>
      <c r="J310" t="s">
        <v>1748</v>
      </c>
      <c r="K310" t="s">
        <v>1824</v>
      </c>
      <c r="L310" t="s">
        <v>1750</v>
      </c>
      <c r="M310">
        <v>1315</v>
      </c>
      <c r="N310" t="b">
        <v>0</v>
      </c>
      <c r="O310">
        <v>40</v>
      </c>
      <c r="P310" t="s">
        <v>1752</v>
      </c>
      <c r="Q310" t="s">
        <v>1753</v>
      </c>
    </row>
    <row r="311" spans="1:18" x14ac:dyDescent="0.25">
      <c r="A311" t="s">
        <v>2290</v>
      </c>
      <c r="B311" t="s">
        <v>1840</v>
      </c>
      <c r="C311" t="s">
        <v>4</v>
      </c>
      <c r="D311" t="s">
        <v>2289</v>
      </c>
      <c r="E311" s="2">
        <v>43392</v>
      </c>
      <c r="F311">
        <v>2219</v>
      </c>
      <c r="G311" t="s">
        <v>1746</v>
      </c>
      <c r="H311" t="s">
        <v>1747</v>
      </c>
      <c r="I311" t="b">
        <v>0</v>
      </c>
      <c r="J311" t="s">
        <v>1748</v>
      </c>
      <c r="K311" t="s">
        <v>1824</v>
      </c>
      <c r="L311" t="s">
        <v>1756</v>
      </c>
      <c r="M311">
        <v>1313</v>
      </c>
      <c r="N311" t="b">
        <v>1</v>
      </c>
      <c r="O311">
        <v>182</v>
      </c>
      <c r="P311" t="s">
        <v>1752</v>
      </c>
      <c r="Q311" t="s">
        <v>1753</v>
      </c>
    </row>
    <row r="312" spans="1:18" x14ac:dyDescent="0.25">
      <c r="A312" t="s">
        <v>2291</v>
      </c>
      <c r="B312" t="s">
        <v>1810</v>
      </c>
      <c r="C312" t="s">
        <v>6</v>
      </c>
      <c r="D312" t="s">
        <v>1176</v>
      </c>
      <c r="E312" s="2">
        <v>39624</v>
      </c>
      <c r="F312">
        <v>5987</v>
      </c>
      <c r="G312" t="s">
        <v>1746</v>
      </c>
      <c r="H312" t="s">
        <v>1747</v>
      </c>
      <c r="I312" t="b">
        <v>1</v>
      </c>
      <c r="J312" t="s">
        <v>1761</v>
      </c>
      <c r="K312" t="s">
        <v>1853</v>
      </c>
      <c r="L312" t="s">
        <v>1750</v>
      </c>
      <c r="M312">
        <v>1310</v>
      </c>
      <c r="N312" t="b">
        <v>0</v>
      </c>
      <c r="O312">
        <v>1415</v>
      </c>
      <c r="P312" t="s">
        <v>1752</v>
      </c>
      <c r="Q312" t="s">
        <v>1753</v>
      </c>
      <c r="R312" t="s">
        <v>1759</v>
      </c>
    </row>
    <row r="313" spans="1:18" x14ac:dyDescent="0.25">
      <c r="A313" t="s">
        <v>2292</v>
      </c>
      <c r="B313" t="s">
        <v>2293</v>
      </c>
      <c r="C313" t="s">
        <v>4</v>
      </c>
      <c r="D313" t="s">
        <v>999</v>
      </c>
      <c r="E313" s="2">
        <v>44155</v>
      </c>
      <c r="F313">
        <v>1456</v>
      </c>
      <c r="G313" t="s">
        <v>1746</v>
      </c>
      <c r="H313" t="s">
        <v>1798</v>
      </c>
      <c r="I313" t="b">
        <v>1</v>
      </c>
      <c r="J313" t="s">
        <v>1748</v>
      </c>
      <c r="K313" t="s">
        <v>1749</v>
      </c>
      <c r="L313" t="s">
        <v>1817</v>
      </c>
      <c r="M313">
        <v>1306</v>
      </c>
      <c r="N313" t="b">
        <v>0</v>
      </c>
      <c r="O313">
        <v>486</v>
      </c>
      <c r="P313" t="s">
        <v>1819</v>
      </c>
      <c r="Q313" t="s">
        <v>1753</v>
      </c>
      <c r="R313" t="s">
        <v>1828</v>
      </c>
    </row>
    <row r="314" spans="1:18" x14ac:dyDescent="0.25">
      <c r="A314" t="s">
        <v>2294</v>
      </c>
      <c r="B314" t="s">
        <v>1876</v>
      </c>
      <c r="C314" t="s">
        <v>4</v>
      </c>
      <c r="D314" t="s">
        <v>1332</v>
      </c>
      <c r="E314" s="2">
        <v>43515</v>
      </c>
      <c r="F314">
        <v>2096</v>
      </c>
      <c r="G314" t="s">
        <v>1746</v>
      </c>
      <c r="H314" t="s">
        <v>1747</v>
      </c>
      <c r="I314" t="b">
        <v>0</v>
      </c>
      <c r="J314" t="s">
        <v>1748</v>
      </c>
      <c r="K314" t="s">
        <v>1749</v>
      </c>
      <c r="L314" t="s">
        <v>1817</v>
      </c>
      <c r="M314">
        <v>1303</v>
      </c>
      <c r="N314" t="b">
        <v>0</v>
      </c>
      <c r="O314">
        <v>216</v>
      </c>
      <c r="P314" t="s">
        <v>1819</v>
      </c>
      <c r="Q314" t="s">
        <v>1753</v>
      </c>
    </row>
    <row r="315" spans="1:18" x14ac:dyDescent="0.25">
      <c r="A315" t="s">
        <v>2295</v>
      </c>
      <c r="B315" t="s">
        <v>1810</v>
      </c>
      <c r="C315" t="s">
        <v>4</v>
      </c>
      <c r="D315" t="s">
        <v>606</v>
      </c>
      <c r="E315" s="2">
        <v>42020</v>
      </c>
      <c r="F315">
        <v>3591</v>
      </c>
      <c r="G315" t="s">
        <v>1746</v>
      </c>
      <c r="H315" t="s">
        <v>1798</v>
      </c>
      <c r="I315" t="b">
        <v>1</v>
      </c>
      <c r="J315" t="s">
        <v>1748</v>
      </c>
      <c r="K315" t="s">
        <v>1776</v>
      </c>
      <c r="L315" t="s">
        <v>1756</v>
      </c>
      <c r="M315">
        <v>1303</v>
      </c>
      <c r="N315" t="b">
        <v>0</v>
      </c>
      <c r="O315">
        <v>149</v>
      </c>
      <c r="P315" t="s">
        <v>1752</v>
      </c>
      <c r="Q315" t="s">
        <v>1753</v>
      </c>
      <c r="R315" t="s">
        <v>1828</v>
      </c>
    </row>
    <row r="316" spans="1:18" x14ac:dyDescent="0.25">
      <c r="A316" t="s">
        <v>2297</v>
      </c>
      <c r="B316" t="s">
        <v>1840</v>
      </c>
      <c r="C316" t="s">
        <v>4</v>
      </c>
      <c r="D316" t="s">
        <v>2296</v>
      </c>
      <c r="E316" s="2">
        <v>40204</v>
      </c>
      <c r="F316">
        <v>5407</v>
      </c>
      <c r="G316" t="s">
        <v>1746</v>
      </c>
      <c r="H316" t="s">
        <v>1747</v>
      </c>
      <c r="I316" t="b">
        <v>1</v>
      </c>
      <c r="J316" t="s">
        <v>1748</v>
      </c>
      <c r="K316" t="s">
        <v>1787</v>
      </c>
      <c r="L316" t="s">
        <v>1750</v>
      </c>
      <c r="M316">
        <v>1295</v>
      </c>
      <c r="N316" t="b">
        <v>0</v>
      </c>
      <c r="O316">
        <v>30</v>
      </c>
      <c r="P316" t="s">
        <v>1752</v>
      </c>
      <c r="Q316" t="s">
        <v>1753</v>
      </c>
    </row>
    <row r="317" spans="1:18" x14ac:dyDescent="0.25">
      <c r="A317" t="s">
        <v>2299</v>
      </c>
      <c r="B317" t="s">
        <v>2284</v>
      </c>
      <c r="C317" t="s">
        <v>186</v>
      </c>
      <c r="D317" t="s">
        <v>2298</v>
      </c>
      <c r="E317" s="2">
        <v>44215</v>
      </c>
      <c r="F317">
        <v>1396</v>
      </c>
      <c r="G317" t="s">
        <v>1746</v>
      </c>
      <c r="H317" t="s">
        <v>1747</v>
      </c>
      <c r="I317" t="b">
        <v>0</v>
      </c>
      <c r="J317" t="s">
        <v>1748</v>
      </c>
      <c r="K317" t="s">
        <v>1880</v>
      </c>
      <c r="L317" t="s">
        <v>1775</v>
      </c>
      <c r="M317">
        <v>1287</v>
      </c>
      <c r="N317" t="b">
        <v>0</v>
      </c>
      <c r="P317" t="s">
        <v>2283</v>
      </c>
      <c r="Q317" t="s">
        <v>1705</v>
      </c>
    </row>
    <row r="318" spans="1:18" x14ac:dyDescent="0.25">
      <c r="A318" t="s">
        <v>1577</v>
      </c>
      <c r="B318" t="s">
        <v>1810</v>
      </c>
      <c r="C318" t="s">
        <v>4</v>
      </c>
      <c r="D318" t="s">
        <v>1578</v>
      </c>
      <c r="E318" s="2">
        <v>43228</v>
      </c>
      <c r="F318">
        <v>2383</v>
      </c>
      <c r="G318" t="s">
        <v>1746</v>
      </c>
      <c r="H318" t="s">
        <v>1798</v>
      </c>
      <c r="I318" t="b">
        <v>0</v>
      </c>
      <c r="J318" t="s">
        <v>1748</v>
      </c>
      <c r="K318" t="s">
        <v>1755</v>
      </c>
      <c r="L318" t="s">
        <v>1750</v>
      </c>
      <c r="M318">
        <v>1275</v>
      </c>
      <c r="N318" t="b">
        <v>1</v>
      </c>
      <c r="O318">
        <v>215</v>
      </c>
      <c r="P318" t="s">
        <v>1752</v>
      </c>
      <c r="Q318" t="s">
        <v>1753</v>
      </c>
      <c r="R318" t="s">
        <v>1828</v>
      </c>
    </row>
    <row r="319" spans="1:18" x14ac:dyDescent="0.25">
      <c r="A319" t="s">
        <v>2300</v>
      </c>
      <c r="B319" t="s">
        <v>1829</v>
      </c>
      <c r="C319" t="s">
        <v>6</v>
      </c>
      <c r="D319" t="s">
        <v>1692</v>
      </c>
      <c r="E319" s="2">
        <v>39104</v>
      </c>
      <c r="F319">
        <v>6507</v>
      </c>
      <c r="G319" t="s">
        <v>1746</v>
      </c>
      <c r="H319" t="s">
        <v>2231</v>
      </c>
      <c r="I319" t="b">
        <v>1</v>
      </c>
      <c r="J319" t="s">
        <v>1761</v>
      </c>
      <c r="K319" t="s">
        <v>1853</v>
      </c>
      <c r="L319" t="s">
        <v>1750</v>
      </c>
      <c r="M319">
        <v>1272</v>
      </c>
      <c r="N319" t="b">
        <v>0</v>
      </c>
      <c r="O319">
        <v>20</v>
      </c>
      <c r="P319" t="s">
        <v>1752</v>
      </c>
      <c r="Q319" t="s">
        <v>1753</v>
      </c>
    </row>
    <row r="320" spans="1:18" x14ac:dyDescent="0.25">
      <c r="A320" t="s">
        <v>2301</v>
      </c>
      <c r="B320" t="s">
        <v>1814</v>
      </c>
      <c r="C320" t="s">
        <v>6</v>
      </c>
      <c r="D320" t="s">
        <v>49</v>
      </c>
      <c r="E320" s="2">
        <v>39707</v>
      </c>
      <c r="F320">
        <v>5904</v>
      </c>
      <c r="G320" t="s">
        <v>1746</v>
      </c>
      <c r="H320" t="s">
        <v>1798</v>
      </c>
      <c r="I320" t="b">
        <v>0</v>
      </c>
      <c r="J320" t="s">
        <v>1748</v>
      </c>
      <c r="K320" t="s">
        <v>1776</v>
      </c>
      <c r="L320" t="s">
        <v>1750</v>
      </c>
      <c r="M320">
        <v>1270</v>
      </c>
      <c r="N320" t="b">
        <v>1</v>
      </c>
      <c r="O320">
        <v>96</v>
      </c>
      <c r="P320" t="s">
        <v>1752</v>
      </c>
      <c r="Q320" t="s">
        <v>1753</v>
      </c>
      <c r="R320" t="s">
        <v>1828</v>
      </c>
    </row>
    <row r="321" spans="1:18" x14ac:dyDescent="0.25">
      <c r="A321" t="s">
        <v>2302</v>
      </c>
      <c r="B321" t="s">
        <v>1814</v>
      </c>
      <c r="C321" t="s">
        <v>4</v>
      </c>
      <c r="D321" t="s">
        <v>996</v>
      </c>
      <c r="E321" s="2">
        <v>40676</v>
      </c>
      <c r="F321">
        <v>4935</v>
      </c>
      <c r="G321" t="s">
        <v>1746</v>
      </c>
      <c r="H321" t="s">
        <v>1747</v>
      </c>
      <c r="I321" t="b">
        <v>1</v>
      </c>
      <c r="J321" t="s">
        <v>1761</v>
      </c>
      <c r="K321" t="s">
        <v>1913</v>
      </c>
      <c r="L321" t="s">
        <v>1817</v>
      </c>
      <c r="M321">
        <v>1269</v>
      </c>
      <c r="N321" t="b">
        <v>0</v>
      </c>
      <c r="O321">
        <v>486</v>
      </c>
      <c r="P321" t="s">
        <v>1819</v>
      </c>
      <c r="Q321" t="s">
        <v>1753</v>
      </c>
      <c r="R321" t="s">
        <v>1772</v>
      </c>
    </row>
    <row r="322" spans="1:18" x14ac:dyDescent="0.25">
      <c r="A322" t="s">
        <v>2304</v>
      </c>
      <c r="B322" t="s">
        <v>2085</v>
      </c>
      <c r="C322" t="s">
        <v>4</v>
      </c>
      <c r="D322" t="s">
        <v>2303</v>
      </c>
      <c r="E322" s="2">
        <v>41824</v>
      </c>
      <c r="F322">
        <v>3787</v>
      </c>
      <c r="G322" t="s">
        <v>1833</v>
      </c>
      <c r="H322" t="s">
        <v>1747</v>
      </c>
      <c r="I322" t="b">
        <v>1</v>
      </c>
      <c r="J322" t="s">
        <v>1761</v>
      </c>
      <c r="K322" t="s">
        <v>1776</v>
      </c>
      <c r="L322" t="s">
        <v>1750</v>
      </c>
      <c r="M322">
        <v>1263</v>
      </c>
      <c r="N322" t="b">
        <v>0</v>
      </c>
      <c r="O322">
        <v>485</v>
      </c>
      <c r="P322" t="s">
        <v>1752</v>
      </c>
      <c r="Q322" t="s">
        <v>1753</v>
      </c>
      <c r="R322" t="s">
        <v>1759</v>
      </c>
    </row>
    <row r="323" spans="1:18" x14ac:dyDescent="0.25">
      <c r="A323" t="s">
        <v>2305</v>
      </c>
      <c r="B323" t="s">
        <v>1874</v>
      </c>
      <c r="C323" t="s">
        <v>6</v>
      </c>
      <c r="D323" t="s">
        <v>48</v>
      </c>
      <c r="E323" s="2">
        <v>43494</v>
      </c>
      <c r="F323">
        <v>2117</v>
      </c>
      <c r="G323" t="s">
        <v>1746</v>
      </c>
      <c r="H323" t="s">
        <v>1747</v>
      </c>
      <c r="I323" t="b">
        <v>0</v>
      </c>
      <c r="J323" t="s">
        <v>1748</v>
      </c>
      <c r="K323" t="s">
        <v>1776</v>
      </c>
      <c r="L323" t="s">
        <v>1750</v>
      </c>
      <c r="M323">
        <v>1262</v>
      </c>
      <c r="N323" t="b">
        <v>1</v>
      </c>
      <c r="O323">
        <v>172</v>
      </c>
      <c r="P323" t="s">
        <v>1752</v>
      </c>
      <c r="Q323" t="s">
        <v>1753</v>
      </c>
      <c r="R323" t="s">
        <v>1772</v>
      </c>
    </row>
    <row r="324" spans="1:18" x14ac:dyDescent="0.25">
      <c r="A324" t="s">
        <v>2306</v>
      </c>
      <c r="B324" t="s">
        <v>1810</v>
      </c>
      <c r="C324" t="s">
        <v>6</v>
      </c>
      <c r="D324" t="s">
        <v>1466</v>
      </c>
      <c r="E324" s="2">
        <v>40001</v>
      </c>
      <c r="F324">
        <v>5610</v>
      </c>
      <c r="G324" t="s">
        <v>1746</v>
      </c>
      <c r="H324" t="s">
        <v>1747</v>
      </c>
      <c r="I324" t="b">
        <v>1</v>
      </c>
      <c r="J324" t="s">
        <v>1761</v>
      </c>
      <c r="K324" t="s">
        <v>1985</v>
      </c>
      <c r="L324" t="s">
        <v>1817</v>
      </c>
      <c r="M324">
        <v>1249</v>
      </c>
      <c r="N324" t="b">
        <v>0</v>
      </c>
      <c r="O324">
        <v>288</v>
      </c>
      <c r="P324" t="s">
        <v>1819</v>
      </c>
      <c r="Q324" t="s">
        <v>1753</v>
      </c>
    </row>
    <row r="325" spans="1:18" x14ac:dyDescent="0.25">
      <c r="A325" t="s">
        <v>2308</v>
      </c>
      <c r="B325" t="s">
        <v>2173</v>
      </c>
      <c r="C325" t="s">
        <v>4</v>
      </c>
      <c r="D325" t="s">
        <v>2307</v>
      </c>
      <c r="E325" s="2">
        <v>43196</v>
      </c>
      <c r="F325">
        <v>2415</v>
      </c>
      <c r="G325" t="s">
        <v>1746</v>
      </c>
      <c r="H325" t="s">
        <v>2231</v>
      </c>
      <c r="I325" t="b">
        <v>1</v>
      </c>
      <c r="J325" t="s">
        <v>1748</v>
      </c>
      <c r="K325" t="s">
        <v>1822</v>
      </c>
      <c r="L325" t="s">
        <v>1817</v>
      </c>
      <c r="M325">
        <v>1247</v>
      </c>
      <c r="N325" t="b">
        <v>0</v>
      </c>
      <c r="O325">
        <v>10057</v>
      </c>
      <c r="P325" t="s">
        <v>1819</v>
      </c>
      <c r="Q325" t="s">
        <v>1753</v>
      </c>
      <c r="R325" t="s">
        <v>1759</v>
      </c>
    </row>
    <row r="326" spans="1:18" x14ac:dyDescent="0.25">
      <c r="A326" t="s">
        <v>2310</v>
      </c>
      <c r="B326" t="s">
        <v>2085</v>
      </c>
      <c r="C326" t="s">
        <v>4</v>
      </c>
      <c r="D326" t="s">
        <v>2309</v>
      </c>
      <c r="E326" s="2">
        <v>43371</v>
      </c>
      <c r="F326">
        <v>2240</v>
      </c>
      <c r="G326" t="s">
        <v>1746</v>
      </c>
      <c r="H326" t="s">
        <v>1747</v>
      </c>
      <c r="I326" t="b">
        <v>0</v>
      </c>
      <c r="J326" t="s">
        <v>1748</v>
      </c>
      <c r="K326" t="s">
        <v>1846</v>
      </c>
      <c r="L326" t="s">
        <v>1766</v>
      </c>
      <c r="M326">
        <v>1240</v>
      </c>
      <c r="N326" t="b">
        <v>0</v>
      </c>
      <c r="P326" t="s">
        <v>2070</v>
      </c>
      <c r="Q326" t="s">
        <v>1753</v>
      </c>
    </row>
    <row r="327" spans="1:18" x14ac:dyDescent="0.25">
      <c r="A327" t="s">
        <v>2311</v>
      </c>
      <c r="B327" t="s">
        <v>1874</v>
      </c>
      <c r="C327" t="s">
        <v>6</v>
      </c>
      <c r="D327" t="s">
        <v>910</v>
      </c>
      <c r="E327" s="2">
        <v>43508</v>
      </c>
      <c r="F327">
        <v>2103</v>
      </c>
      <c r="G327" t="s">
        <v>1746</v>
      </c>
      <c r="H327" t="s">
        <v>1798</v>
      </c>
      <c r="I327" t="b">
        <v>0</v>
      </c>
      <c r="J327" t="s">
        <v>1748</v>
      </c>
      <c r="K327" t="s">
        <v>1755</v>
      </c>
      <c r="L327" t="s">
        <v>1750</v>
      </c>
      <c r="M327">
        <v>1239</v>
      </c>
      <c r="N327" t="b">
        <v>1</v>
      </c>
      <c r="O327">
        <v>208</v>
      </c>
      <c r="P327" t="s">
        <v>1752</v>
      </c>
      <c r="Q327" t="s">
        <v>1753</v>
      </c>
      <c r="R327" t="s">
        <v>1828</v>
      </c>
    </row>
    <row r="328" spans="1:18" x14ac:dyDescent="0.25">
      <c r="A328" t="s">
        <v>2312</v>
      </c>
      <c r="B328" t="s">
        <v>1754</v>
      </c>
      <c r="C328" t="s">
        <v>6</v>
      </c>
      <c r="D328" t="s">
        <v>1127</v>
      </c>
      <c r="E328" s="2">
        <v>41886</v>
      </c>
      <c r="F328">
        <v>3725</v>
      </c>
      <c r="G328" t="s">
        <v>1746</v>
      </c>
      <c r="H328" t="s">
        <v>1747</v>
      </c>
      <c r="I328" t="b">
        <v>0</v>
      </c>
      <c r="J328" t="s">
        <v>1761</v>
      </c>
      <c r="K328" t="s">
        <v>1988</v>
      </c>
      <c r="L328" t="s">
        <v>1756</v>
      </c>
      <c r="M328">
        <v>1237</v>
      </c>
      <c r="N328" t="b">
        <v>1</v>
      </c>
      <c r="O328">
        <v>239</v>
      </c>
      <c r="P328" t="s">
        <v>1752</v>
      </c>
      <c r="Q328" t="s">
        <v>1753</v>
      </c>
      <c r="R328" t="s">
        <v>1772</v>
      </c>
    </row>
    <row r="329" spans="1:18" x14ac:dyDescent="0.25">
      <c r="A329" t="s">
        <v>2314</v>
      </c>
      <c r="B329" t="s">
        <v>1866</v>
      </c>
      <c r="C329" t="s">
        <v>4</v>
      </c>
      <c r="D329" t="s">
        <v>2313</v>
      </c>
      <c r="E329" s="2">
        <v>41450</v>
      </c>
      <c r="F329">
        <v>4161</v>
      </c>
      <c r="G329" t="s">
        <v>1746</v>
      </c>
      <c r="H329" t="s">
        <v>1798</v>
      </c>
      <c r="I329" t="b">
        <v>1</v>
      </c>
      <c r="J329" t="s">
        <v>1761</v>
      </c>
      <c r="K329" t="s">
        <v>1776</v>
      </c>
      <c r="L329" t="s">
        <v>1817</v>
      </c>
      <c r="M329">
        <v>1236</v>
      </c>
      <c r="N329" t="b">
        <v>0</v>
      </c>
      <c r="O329">
        <v>8870</v>
      </c>
      <c r="P329" t="s">
        <v>1819</v>
      </c>
      <c r="Q329" t="s">
        <v>1753</v>
      </c>
      <c r="R329" t="s">
        <v>1759</v>
      </c>
    </row>
    <row r="330" spans="1:18" x14ac:dyDescent="0.25">
      <c r="A330" t="s">
        <v>1563</v>
      </c>
      <c r="B330" t="s">
        <v>1876</v>
      </c>
      <c r="C330" t="s">
        <v>4</v>
      </c>
      <c r="D330" t="s">
        <v>1564</v>
      </c>
      <c r="E330" s="2">
        <v>43753</v>
      </c>
      <c r="F330">
        <v>1858</v>
      </c>
      <c r="G330" t="s">
        <v>1746</v>
      </c>
      <c r="H330" t="s">
        <v>1747</v>
      </c>
      <c r="I330" t="b">
        <v>0</v>
      </c>
      <c r="J330" t="s">
        <v>1748</v>
      </c>
      <c r="K330" t="s">
        <v>1776</v>
      </c>
      <c r="L330" t="s">
        <v>1756</v>
      </c>
      <c r="M330">
        <v>1233</v>
      </c>
      <c r="N330" t="b">
        <v>1</v>
      </c>
      <c r="O330">
        <v>355</v>
      </c>
      <c r="P330" t="s">
        <v>1752</v>
      </c>
      <c r="Q330" t="s">
        <v>1753</v>
      </c>
      <c r="R330" t="s">
        <v>1772</v>
      </c>
    </row>
    <row r="331" spans="1:18" x14ac:dyDescent="0.25">
      <c r="A331" t="s">
        <v>2315</v>
      </c>
      <c r="B331" t="s">
        <v>1810</v>
      </c>
      <c r="C331" t="s">
        <v>4</v>
      </c>
      <c r="D331" t="s">
        <v>1642</v>
      </c>
      <c r="E331" s="2">
        <v>41887</v>
      </c>
      <c r="F331">
        <v>3724</v>
      </c>
      <c r="G331" t="s">
        <v>1746</v>
      </c>
      <c r="H331" t="s">
        <v>1747</v>
      </c>
      <c r="I331" t="b">
        <v>1</v>
      </c>
      <c r="J331" t="s">
        <v>1748</v>
      </c>
      <c r="K331" t="s">
        <v>1776</v>
      </c>
      <c r="L331" t="s">
        <v>1756</v>
      </c>
      <c r="M331">
        <v>1232</v>
      </c>
      <c r="N331" t="b">
        <v>0</v>
      </c>
      <c r="O331">
        <v>349</v>
      </c>
      <c r="P331" t="s">
        <v>1752</v>
      </c>
      <c r="Q331" t="s">
        <v>1753</v>
      </c>
      <c r="R331" t="s">
        <v>1759</v>
      </c>
    </row>
    <row r="332" spans="1:18" x14ac:dyDescent="0.25">
      <c r="A332" t="s">
        <v>2316</v>
      </c>
      <c r="B332" t="s">
        <v>2106</v>
      </c>
      <c r="C332" t="s">
        <v>6</v>
      </c>
      <c r="D332" t="s">
        <v>37</v>
      </c>
      <c r="E332" s="2">
        <v>44019</v>
      </c>
      <c r="F332">
        <v>1592</v>
      </c>
      <c r="G332" t="s">
        <v>1746</v>
      </c>
      <c r="H332" t="s">
        <v>1798</v>
      </c>
      <c r="I332" t="b">
        <v>0</v>
      </c>
      <c r="J332" t="s">
        <v>1748</v>
      </c>
      <c r="K332" t="s">
        <v>1826</v>
      </c>
      <c r="L332" t="s">
        <v>1817</v>
      </c>
      <c r="M332">
        <v>1227</v>
      </c>
      <c r="N332" t="b">
        <v>1</v>
      </c>
      <c r="O332">
        <v>4600</v>
      </c>
      <c r="P332" t="s">
        <v>1819</v>
      </c>
      <c r="Q332" t="s">
        <v>1753</v>
      </c>
      <c r="R332" t="s">
        <v>1759</v>
      </c>
    </row>
    <row r="333" spans="1:18" x14ac:dyDescent="0.25">
      <c r="A333" t="s">
        <v>2317</v>
      </c>
      <c r="B333" t="s">
        <v>2060</v>
      </c>
      <c r="C333" t="s">
        <v>4</v>
      </c>
      <c r="D333" t="s">
        <v>1014</v>
      </c>
      <c r="E333" s="2">
        <v>42108</v>
      </c>
      <c r="F333">
        <v>3503</v>
      </c>
      <c r="G333" t="s">
        <v>1746</v>
      </c>
      <c r="H333" t="s">
        <v>1747</v>
      </c>
      <c r="I333" t="b">
        <v>1</v>
      </c>
      <c r="J333" t="s">
        <v>1761</v>
      </c>
      <c r="K333" t="s">
        <v>2021</v>
      </c>
      <c r="L333" t="s">
        <v>1756</v>
      </c>
      <c r="M333">
        <v>1226</v>
      </c>
      <c r="N333" t="b">
        <v>0</v>
      </c>
      <c r="O333">
        <v>2145</v>
      </c>
      <c r="P333" t="s">
        <v>1752</v>
      </c>
      <c r="Q333" t="s">
        <v>1753</v>
      </c>
      <c r="R333" t="s">
        <v>1759</v>
      </c>
    </row>
    <row r="334" spans="1:18" x14ac:dyDescent="0.25">
      <c r="A334" t="s">
        <v>2319</v>
      </c>
      <c r="B334" t="s">
        <v>1785</v>
      </c>
      <c r="C334" t="s">
        <v>4</v>
      </c>
      <c r="D334" t="s">
        <v>2318</v>
      </c>
      <c r="E334" s="2">
        <v>43164</v>
      </c>
      <c r="F334">
        <v>2447</v>
      </c>
      <c r="G334" t="s">
        <v>1746</v>
      </c>
      <c r="H334" t="s">
        <v>1747</v>
      </c>
      <c r="I334" t="b">
        <v>1</v>
      </c>
      <c r="J334" t="s">
        <v>1761</v>
      </c>
      <c r="K334" t="s">
        <v>1770</v>
      </c>
      <c r="L334" t="s">
        <v>1750</v>
      </c>
      <c r="M334">
        <v>1224</v>
      </c>
      <c r="N334" t="b">
        <v>0</v>
      </c>
      <c r="O334">
        <v>3229</v>
      </c>
      <c r="P334" t="s">
        <v>1752</v>
      </c>
      <c r="Q334" t="s">
        <v>1753</v>
      </c>
      <c r="R334" t="s">
        <v>1772</v>
      </c>
    </row>
    <row r="335" spans="1:18" x14ac:dyDescent="0.25">
      <c r="A335" t="s">
        <v>2321</v>
      </c>
      <c r="B335" t="s">
        <v>2085</v>
      </c>
      <c r="C335" t="s">
        <v>4</v>
      </c>
      <c r="D335" t="s">
        <v>2320</v>
      </c>
      <c r="E335" s="2">
        <v>43284</v>
      </c>
      <c r="F335">
        <v>2327</v>
      </c>
      <c r="G335" t="s">
        <v>1746</v>
      </c>
      <c r="H335" t="s">
        <v>1747</v>
      </c>
      <c r="I335" t="b">
        <v>1</v>
      </c>
      <c r="J335" t="s">
        <v>1748</v>
      </c>
      <c r="K335" t="s">
        <v>1863</v>
      </c>
      <c r="L335" t="s">
        <v>1817</v>
      </c>
      <c r="M335">
        <v>1220</v>
      </c>
      <c r="N335" t="b">
        <v>0</v>
      </c>
      <c r="O335">
        <v>758</v>
      </c>
      <c r="P335" t="s">
        <v>1819</v>
      </c>
      <c r="Q335" t="s">
        <v>1753</v>
      </c>
      <c r="R335" t="s">
        <v>1759</v>
      </c>
    </row>
    <row r="336" spans="1:18" x14ac:dyDescent="0.25">
      <c r="A336" t="s">
        <v>2322</v>
      </c>
      <c r="B336" t="s">
        <v>2060</v>
      </c>
      <c r="C336" t="s">
        <v>6</v>
      </c>
      <c r="D336" t="s">
        <v>96</v>
      </c>
      <c r="E336" s="2">
        <v>43495</v>
      </c>
      <c r="F336">
        <v>2116</v>
      </c>
      <c r="G336" t="s">
        <v>1746</v>
      </c>
      <c r="H336" t="s">
        <v>2001</v>
      </c>
      <c r="I336" t="b">
        <v>1</v>
      </c>
      <c r="J336" t="s">
        <v>1761</v>
      </c>
      <c r="K336" t="s">
        <v>1765</v>
      </c>
      <c r="L336" t="s">
        <v>1750</v>
      </c>
      <c r="M336">
        <v>1219</v>
      </c>
      <c r="N336" t="b">
        <v>0</v>
      </c>
      <c r="O336">
        <v>300</v>
      </c>
      <c r="P336" t="s">
        <v>1752</v>
      </c>
      <c r="Q336" t="s">
        <v>1753</v>
      </c>
    </row>
    <row r="337" spans="1:18" x14ac:dyDescent="0.25">
      <c r="A337" t="s">
        <v>2324</v>
      </c>
      <c r="B337" t="s">
        <v>2032</v>
      </c>
      <c r="C337" t="s">
        <v>4</v>
      </c>
      <c r="D337" t="s">
        <v>2323</v>
      </c>
      <c r="E337" s="2">
        <v>43623</v>
      </c>
      <c r="F337">
        <v>1988</v>
      </c>
      <c r="G337" t="s">
        <v>1746</v>
      </c>
      <c r="H337" t="s">
        <v>1747</v>
      </c>
      <c r="I337" t="b">
        <v>1</v>
      </c>
      <c r="J337" t="s">
        <v>1748</v>
      </c>
      <c r="K337" t="s">
        <v>1822</v>
      </c>
      <c r="L337" t="s">
        <v>1756</v>
      </c>
      <c r="M337">
        <v>1214</v>
      </c>
      <c r="N337" t="b">
        <v>0</v>
      </c>
      <c r="O337">
        <v>1413</v>
      </c>
      <c r="P337" t="s">
        <v>1752</v>
      </c>
      <c r="Q337" t="s">
        <v>1753</v>
      </c>
      <c r="R337" t="s">
        <v>1759</v>
      </c>
    </row>
    <row r="338" spans="1:18" x14ac:dyDescent="0.25">
      <c r="A338" t="s">
        <v>2325</v>
      </c>
      <c r="B338" t="s">
        <v>1810</v>
      </c>
      <c r="C338" t="s">
        <v>4</v>
      </c>
      <c r="D338" t="s">
        <v>542</v>
      </c>
      <c r="E338" s="2">
        <v>40081</v>
      </c>
      <c r="F338">
        <v>5530</v>
      </c>
      <c r="G338" t="s">
        <v>1746</v>
      </c>
      <c r="H338" t="s">
        <v>1798</v>
      </c>
      <c r="I338" t="b">
        <v>1</v>
      </c>
      <c r="J338" t="s">
        <v>1761</v>
      </c>
      <c r="K338" t="s">
        <v>1755</v>
      </c>
      <c r="L338" t="s">
        <v>1817</v>
      </c>
      <c r="M338">
        <v>1204</v>
      </c>
      <c r="N338" t="b">
        <v>0</v>
      </c>
      <c r="O338">
        <v>2238</v>
      </c>
      <c r="P338" t="s">
        <v>1819</v>
      </c>
      <c r="Q338" t="s">
        <v>1753</v>
      </c>
      <c r="R338" t="s">
        <v>1759</v>
      </c>
    </row>
    <row r="339" spans="1:18" x14ac:dyDescent="0.25">
      <c r="A339" t="s">
        <v>2326</v>
      </c>
      <c r="B339" t="s">
        <v>1810</v>
      </c>
      <c r="C339" t="s">
        <v>4</v>
      </c>
      <c r="D339" t="s">
        <v>1073</v>
      </c>
      <c r="E339" s="2">
        <v>41408</v>
      </c>
      <c r="F339">
        <v>4203</v>
      </c>
      <c r="G339" t="s">
        <v>1746</v>
      </c>
      <c r="H339" t="s">
        <v>1747</v>
      </c>
      <c r="I339" t="b">
        <v>1</v>
      </c>
      <c r="J339" t="s">
        <v>1761</v>
      </c>
      <c r="K339" t="s">
        <v>1856</v>
      </c>
      <c r="L339" t="s">
        <v>1750</v>
      </c>
      <c r="M339">
        <v>1201</v>
      </c>
      <c r="N339" t="b">
        <v>0</v>
      </c>
      <c r="O339">
        <v>97</v>
      </c>
      <c r="P339" t="s">
        <v>1752</v>
      </c>
      <c r="Q339" t="s">
        <v>1753</v>
      </c>
      <c r="R339" t="s">
        <v>1759</v>
      </c>
    </row>
    <row r="340" spans="1:18" x14ac:dyDescent="0.25">
      <c r="A340" t="s">
        <v>2327</v>
      </c>
      <c r="B340" t="s">
        <v>1945</v>
      </c>
      <c r="C340" t="s">
        <v>6</v>
      </c>
      <c r="D340" t="s">
        <v>163</v>
      </c>
      <c r="E340" s="2">
        <v>42888</v>
      </c>
      <c r="F340">
        <v>2723</v>
      </c>
      <c r="G340" t="s">
        <v>1746</v>
      </c>
      <c r="H340" t="s">
        <v>1798</v>
      </c>
      <c r="I340" t="b">
        <v>0</v>
      </c>
      <c r="J340" t="s">
        <v>1748</v>
      </c>
      <c r="K340" t="s">
        <v>1922</v>
      </c>
      <c r="L340" t="s">
        <v>1750</v>
      </c>
      <c r="M340">
        <v>1198</v>
      </c>
      <c r="N340" t="b">
        <v>1</v>
      </c>
      <c r="O340">
        <v>99</v>
      </c>
      <c r="P340" t="s">
        <v>1752</v>
      </c>
      <c r="Q340" t="s">
        <v>1753</v>
      </c>
      <c r="R340" t="s">
        <v>1828</v>
      </c>
    </row>
    <row r="341" spans="1:18" x14ac:dyDescent="0.25">
      <c r="A341" t="s">
        <v>566</v>
      </c>
      <c r="B341" t="s">
        <v>1754</v>
      </c>
      <c r="C341" t="s">
        <v>4</v>
      </c>
      <c r="D341" t="s">
        <v>567</v>
      </c>
      <c r="E341" s="2">
        <v>43670</v>
      </c>
      <c r="F341">
        <v>1941</v>
      </c>
      <c r="G341" t="s">
        <v>1746</v>
      </c>
      <c r="H341" t="s">
        <v>1747</v>
      </c>
      <c r="I341" t="b">
        <v>0</v>
      </c>
      <c r="J341" t="s">
        <v>1761</v>
      </c>
      <c r="K341" t="s">
        <v>1880</v>
      </c>
      <c r="L341" t="s">
        <v>1750</v>
      </c>
      <c r="M341">
        <v>1198</v>
      </c>
      <c r="N341" t="b">
        <v>0</v>
      </c>
      <c r="O341">
        <v>103</v>
      </c>
      <c r="P341" t="s">
        <v>1819</v>
      </c>
      <c r="Q341" t="s">
        <v>1753</v>
      </c>
    </row>
    <row r="342" spans="1:18" x14ac:dyDescent="0.25">
      <c r="A342" t="s">
        <v>2329</v>
      </c>
      <c r="B342" t="s">
        <v>2173</v>
      </c>
      <c r="C342" t="s">
        <v>4</v>
      </c>
      <c r="D342" t="s">
        <v>2328</v>
      </c>
      <c r="E342" s="2">
        <v>44537</v>
      </c>
      <c r="F342">
        <v>1074</v>
      </c>
      <c r="G342" t="s">
        <v>1746</v>
      </c>
      <c r="H342" t="s">
        <v>2231</v>
      </c>
      <c r="I342" t="b">
        <v>0</v>
      </c>
      <c r="J342" t="s">
        <v>1748</v>
      </c>
      <c r="K342" t="s">
        <v>1822</v>
      </c>
      <c r="L342" t="s">
        <v>1817</v>
      </c>
      <c r="M342">
        <v>1197</v>
      </c>
      <c r="N342" t="b">
        <v>1</v>
      </c>
      <c r="O342">
        <v>7130</v>
      </c>
      <c r="P342" t="s">
        <v>1819</v>
      </c>
      <c r="Q342" t="s">
        <v>1753</v>
      </c>
      <c r="R342" t="s">
        <v>1759</v>
      </c>
    </row>
    <row r="343" spans="1:18" x14ac:dyDescent="0.25">
      <c r="A343" t="s">
        <v>2330</v>
      </c>
      <c r="B343" t="s">
        <v>1810</v>
      </c>
      <c r="C343" t="s">
        <v>4</v>
      </c>
      <c r="D343" t="s">
        <v>1250</v>
      </c>
      <c r="E343" s="2">
        <v>42088</v>
      </c>
      <c r="F343">
        <v>3523</v>
      </c>
      <c r="G343" t="s">
        <v>1746</v>
      </c>
      <c r="H343" t="s">
        <v>1747</v>
      </c>
      <c r="I343" t="b">
        <v>0</v>
      </c>
      <c r="J343" t="s">
        <v>1748</v>
      </c>
      <c r="K343" t="s">
        <v>1995</v>
      </c>
      <c r="L343" t="s">
        <v>1750</v>
      </c>
      <c r="M343">
        <v>1194</v>
      </c>
      <c r="N343" t="b">
        <v>0</v>
      </c>
      <c r="O343">
        <v>58</v>
      </c>
      <c r="P343" t="s">
        <v>1752</v>
      </c>
      <c r="Q343" t="s">
        <v>1753</v>
      </c>
      <c r="R343" t="s">
        <v>1759</v>
      </c>
    </row>
    <row r="344" spans="1:18" x14ac:dyDescent="0.25">
      <c r="A344" t="s">
        <v>2331</v>
      </c>
      <c r="B344" t="s">
        <v>2269</v>
      </c>
      <c r="C344" t="s">
        <v>6</v>
      </c>
      <c r="D344" t="s">
        <v>1518</v>
      </c>
      <c r="E344" s="2">
        <v>39227</v>
      </c>
      <c r="F344">
        <v>6384</v>
      </c>
      <c r="G344" t="s">
        <v>1746</v>
      </c>
      <c r="H344" t="s">
        <v>1798</v>
      </c>
      <c r="I344" t="b">
        <v>1</v>
      </c>
      <c r="J344" t="s">
        <v>1748</v>
      </c>
      <c r="K344" t="s">
        <v>1824</v>
      </c>
      <c r="L344" t="s">
        <v>1817</v>
      </c>
      <c r="M344">
        <v>1190</v>
      </c>
      <c r="N344" t="b">
        <v>0</v>
      </c>
      <c r="O344">
        <v>31</v>
      </c>
      <c r="P344" t="s">
        <v>1819</v>
      </c>
      <c r="Q344" t="s">
        <v>1753</v>
      </c>
      <c r="R344" t="s">
        <v>1828</v>
      </c>
    </row>
    <row r="345" spans="1:18" x14ac:dyDescent="0.25">
      <c r="A345" t="s">
        <v>2332</v>
      </c>
      <c r="B345" t="s">
        <v>1998</v>
      </c>
      <c r="C345" t="s">
        <v>4</v>
      </c>
      <c r="D345" t="s">
        <v>497</v>
      </c>
      <c r="E345" s="2">
        <v>40163</v>
      </c>
      <c r="F345">
        <v>5448</v>
      </c>
      <c r="G345" t="s">
        <v>1746</v>
      </c>
      <c r="H345" t="s">
        <v>1747</v>
      </c>
      <c r="I345" t="b">
        <v>0</v>
      </c>
      <c r="J345" t="s">
        <v>1748</v>
      </c>
      <c r="K345" t="s">
        <v>1934</v>
      </c>
      <c r="L345" t="s">
        <v>1766</v>
      </c>
      <c r="M345">
        <v>1188</v>
      </c>
      <c r="N345" t="b">
        <v>0</v>
      </c>
      <c r="P345" t="s">
        <v>1752</v>
      </c>
      <c r="Q345" t="s">
        <v>1753</v>
      </c>
    </row>
    <row r="346" spans="1:18" x14ac:dyDescent="0.25">
      <c r="A346" t="s">
        <v>2334</v>
      </c>
      <c r="B346" t="s">
        <v>2335</v>
      </c>
      <c r="C346" t="s">
        <v>6</v>
      </c>
      <c r="D346" t="s">
        <v>2333</v>
      </c>
      <c r="E346" s="2">
        <v>43200</v>
      </c>
      <c r="F346">
        <v>2411</v>
      </c>
      <c r="G346" t="s">
        <v>1746</v>
      </c>
      <c r="H346" t="s">
        <v>1747</v>
      </c>
      <c r="I346" t="b">
        <v>1</v>
      </c>
      <c r="J346" t="s">
        <v>1748</v>
      </c>
      <c r="K346" t="s">
        <v>1822</v>
      </c>
      <c r="L346" t="s">
        <v>1817</v>
      </c>
      <c r="M346">
        <v>1186</v>
      </c>
      <c r="N346" t="b">
        <v>0</v>
      </c>
      <c r="O346">
        <v>8847</v>
      </c>
      <c r="P346" t="s">
        <v>1819</v>
      </c>
      <c r="Q346" t="s">
        <v>1753</v>
      </c>
      <c r="R346" t="s">
        <v>1759</v>
      </c>
    </row>
    <row r="347" spans="1:18" x14ac:dyDescent="0.25">
      <c r="A347" t="s">
        <v>2337</v>
      </c>
      <c r="B347" t="s">
        <v>2284</v>
      </c>
      <c r="C347" t="s">
        <v>2338</v>
      </c>
      <c r="D347" t="s">
        <v>2336</v>
      </c>
      <c r="E347" s="2">
        <v>44377</v>
      </c>
      <c r="F347">
        <v>1234</v>
      </c>
      <c r="G347" t="s">
        <v>1746</v>
      </c>
      <c r="H347" t="s">
        <v>1747</v>
      </c>
      <c r="I347" t="b">
        <v>0</v>
      </c>
      <c r="J347" t="s">
        <v>1748</v>
      </c>
      <c r="K347" t="s">
        <v>1935</v>
      </c>
      <c r="L347" t="s">
        <v>1775</v>
      </c>
      <c r="M347">
        <v>1183</v>
      </c>
      <c r="N347" t="b">
        <v>0</v>
      </c>
      <c r="P347" t="s">
        <v>2283</v>
      </c>
      <c r="Q347" t="s">
        <v>1705</v>
      </c>
    </row>
    <row r="348" spans="1:18" x14ac:dyDescent="0.25">
      <c r="A348" t="s">
        <v>2339</v>
      </c>
      <c r="B348" t="s">
        <v>2180</v>
      </c>
      <c r="C348" t="s">
        <v>6</v>
      </c>
      <c r="D348" t="s">
        <v>137</v>
      </c>
      <c r="E348" s="2">
        <v>43480</v>
      </c>
      <c r="F348">
        <v>2131</v>
      </c>
      <c r="G348" t="s">
        <v>1746</v>
      </c>
      <c r="H348" t="s">
        <v>1798</v>
      </c>
      <c r="I348" t="b">
        <v>0</v>
      </c>
      <c r="J348" t="s">
        <v>1748</v>
      </c>
      <c r="K348" t="s">
        <v>1824</v>
      </c>
      <c r="L348" t="s">
        <v>1750</v>
      </c>
      <c r="M348">
        <v>1181</v>
      </c>
      <c r="N348" t="b">
        <v>1</v>
      </c>
      <c r="O348">
        <v>1729</v>
      </c>
      <c r="P348" t="s">
        <v>1819</v>
      </c>
      <c r="Q348" t="s">
        <v>1753</v>
      </c>
      <c r="R348" t="s">
        <v>1759</v>
      </c>
    </row>
    <row r="349" spans="1:18" x14ac:dyDescent="0.25">
      <c r="A349" t="s">
        <v>2341</v>
      </c>
      <c r="B349" t="s">
        <v>2342</v>
      </c>
      <c r="C349" t="s">
        <v>6</v>
      </c>
      <c r="D349" t="s">
        <v>2340</v>
      </c>
      <c r="E349" s="2">
        <v>42426</v>
      </c>
      <c r="F349">
        <v>3185</v>
      </c>
      <c r="G349" t="s">
        <v>1746</v>
      </c>
      <c r="H349" t="s">
        <v>1798</v>
      </c>
      <c r="I349" t="b">
        <v>0</v>
      </c>
      <c r="J349" t="s">
        <v>1748</v>
      </c>
      <c r="K349" t="s">
        <v>1826</v>
      </c>
      <c r="L349" t="s">
        <v>1750</v>
      </c>
      <c r="M349">
        <v>1179</v>
      </c>
      <c r="N349" t="b">
        <v>1</v>
      </c>
      <c r="O349">
        <v>155</v>
      </c>
      <c r="P349" t="s">
        <v>1752</v>
      </c>
      <c r="Q349" t="s">
        <v>1753</v>
      </c>
    </row>
    <row r="350" spans="1:18" x14ac:dyDescent="0.25">
      <c r="A350" t="s">
        <v>2344</v>
      </c>
      <c r="B350" t="s">
        <v>2157</v>
      </c>
      <c r="C350" t="s">
        <v>4</v>
      </c>
      <c r="D350" t="s">
        <v>2343</v>
      </c>
      <c r="E350" s="2">
        <v>45264</v>
      </c>
      <c r="F350">
        <v>347</v>
      </c>
      <c r="G350" t="s">
        <v>1746</v>
      </c>
      <c r="H350" t="s">
        <v>1798</v>
      </c>
      <c r="I350" t="b">
        <v>0</v>
      </c>
      <c r="J350" t="s">
        <v>1748</v>
      </c>
      <c r="K350" t="s">
        <v>1755</v>
      </c>
      <c r="L350" t="s">
        <v>1750</v>
      </c>
      <c r="M350">
        <v>1177</v>
      </c>
      <c r="N350" t="b">
        <v>1</v>
      </c>
      <c r="O350">
        <v>1172</v>
      </c>
      <c r="P350" t="s">
        <v>1752</v>
      </c>
      <c r="Q350" t="s">
        <v>1753</v>
      </c>
      <c r="R350" t="s">
        <v>1759</v>
      </c>
    </row>
    <row r="351" spans="1:18" x14ac:dyDescent="0.25">
      <c r="A351" t="s">
        <v>2345</v>
      </c>
      <c r="B351" t="s">
        <v>1781</v>
      </c>
      <c r="C351" t="s">
        <v>186</v>
      </c>
      <c r="D351" t="s">
        <v>1367</v>
      </c>
      <c r="E351" s="2">
        <v>38987</v>
      </c>
      <c r="F351">
        <v>6624</v>
      </c>
      <c r="G351" t="s">
        <v>1746</v>
      </c>
      <c r="H351" t="s">
        <v>1747</v>
      </c>
      <c r="I351" t="b">
        <v>0</v>
      </c>
      <c r="J351" t="s">
        <v>1748</v>
      </c>
      <c r="K351" t="s">
        <v>1830</v>
      </c>
      <c r="L351" t="s">
        <v>2102</v>
      </c>
      <c r="M351">
        <v>1175</v>
      </c>
      <c r="N351" t="b">
        <v>0</v>
      </c>
      <c r="P351" t="s">
        <v>2070</v>
      </c>
      <c r="Q351" t="s">
        <v>1779</v>
      </c>
    </row>
    <row r="352" spans="1:18" x14ac:dyDescent="0.25">
      <c r="A352" t="s">
        <v>2346</v>
      </c>
      <c r="B352" t="s">
        <v>1795</v>
      </c>
      <c r="C352" t="s">
        <v>4</v>
      </c>
      <c r="D352" t="s">
        <v>550</v>
      </c>
      <c r="E352" s="2">
        <v>39059</v>
      </c>
      <c r="F352">
        <v>6552</v>
      </c>
      <c r="G352" t="s">
        <v>1746</v>
      </c>
      <c r="H352" t="s">
        <v>1798</v>
      </c>
      <c r="I352" t="b">
        <v>1</v>
      </c>
      <c r="J352" t="s">
        <v>1761</v>
      </c>
      <c r="K352" t="s">
        <v>1824</v>
      </c>
      <c r="L352" t="s">
        <v>1817</v>
      </c>
      <c r="M352">
        <v>1172</v>
      </c>
      <c r="N352" t="b">
        <v>0</v>
      </c>
      <c r="O352">
        <v>29</v>
      </c>
      <c r="P352" t="s">
        <v>1819</v>
      </c>
      <c r="Q352" t="s">
        <v>1753</v>
      </c>
      <c r="R352" t="s">
        <v>1828</v>
      </c>
    </row>
    <row r="353" spans="1:18" x14ac:dyDescent="0.25">
      <c r="A353" t="s">
        <v>2347</v>
      </c>
      <c r="B353" t="s">
        <v>1810</v>
      </c>
      <c r="C353" t="s">
        <v>6</v>
      </c>
      <c r="D353" t="s">
        <v>903</v>
      </c>
      <c r="E353" s="2">
        <v>43636</v>
      </c>
      <c r="F353">
        <v>1975</v>
      </c>
      <c r="G353" t="s">
        <v>1746</v>
      </c>
      <c r="H353" t="s">
        <v>1747</v>
      </c>
      <c r="I353" t="b">
        <v>0</v>
      </c>
      <c r="J353" t="s">
        <v>1748</v>
      </c>
      <c r="K353" t="s">
        <v>1824</v>
      </c>
      <c r="L353" t="s">
        <v>1766</v>
      </c>
      <c r="M353">
        <v>1169</v>
      </c>
      <c r="N353" t="b">
        <v>0</v>
      </c>
      <c r="P353" t="s">
        <v>1752</v>
      </c>
      <c r="Q353" t="s">
        <v>1753</v>
      </c>
      <c r="R353" t="s">
        <v>1772</v>
      </c>
    </row>
    <row r="354" spans="1:18" x14ac:dyDescent="0.25">
      <c r="A354" t="s">
        <v>2348</v>
      </c>
      <c r="B354" t="s">
        <v>1860</v>
      </c>
      <c r="C354" t="s">
        <v>4</v>
      </c>
      <c r="D354" t="s">
        <v>671</v>
      </c>
      <c r="E354" s="2">
        <v>43571</v>
      </c>
      <c r="F354">
        <v>2040</v>
      </c>
      <c r="G354" t="s">
        <v>1746</v>
      </c>
      <c r="H354" t="s">
        <v>1747</v>
      </c>
      <c r="I354" t="b">
        <v>0</v>
      </c>
      <c r="J354" t="s">
        <v>1748</v>
      </c>
      <c r="K354" t="s">
        <v>1824</v>
      </c>
      <c r="L354" t="s">
        <v>1756</v>
      </c>
      <c r="M354">
        <v>1168</v>
      </c>
      <c r="N354" t="b">
        <v>1</v>
      </c>
      <c r="O354">
        <v>192</v>
      </c>
      <c r="P354" t="s">
        <v>1752</v>
      </c>
      <c r="Q354" t="s">
        <v>1753</v>
      </c>
    </row>
    <row r="355" spans="1:18" x14ac:dyDescent="0.25">
      <c r="A355" t="s">
        <v>2349</v>
      </c>
      <c r="B355" t="s">
        <v>1945</v>
      </c>
      <c r="C355" t="s">
        <v>11</v>
      </c>
      <c r="D355" t="s">
        <v>146</v>
      </c>
      <c r="E355" s="2">
        <v>42305</v>
      </c>
      <c r="F355">
        <v>3306</v>
      </c>
      <c r="G355" t="s">
        <v>1746</v>
      </c>
      <c r="H355" t="s">
        <v>1798</v>
      </c>
      <c r="I355" t="b">
        <v>0</v>
      </c>
      <c r="J355" t="s">
        <v>1748</v>
      </c>
      <c r="K355" t="s">
        <v>1774</v>
      </c>
      <c r="L355" t="s">
        <v>1766</v>
      </c>
      <c r="M355">
        <v>1166</v>
      </c>
      <c r="N355" t="b">
        <v>0</v>
      </c>
      <c r="P355" t="s">
        <v>1752</v>
      </c>
      <c r="Q355" t="s">
        <v>1753</v>
      </c>
    </row>
    <row r="356" spans="1:18" x14ac:dyDescent="0.25">
      <c r="A356" t="s">
        <v>2351</v>
      </c>
      <c r="B356" t="s">
        <v>2082</v>
      </c>
      <c r="C356" t="s">
        <v>6</v>
      </c>
      <c r="D356" t="s">
        <v>2350</v>
      </c>
      <c r="E356" s="2">
        <v>45267</v>
      </c>
      <c r="F356">
        <v>344</v>
      </c>
      <c r="G356" t="s">
        <v>1746</v>
      </c>
      <c r="H356" t="s">
        <v>1798</v>
      </c>
      <c r="I356" t="b">
        <v>1</v>
      </c>
      <c r="J356" t="s">
        <v>1761</v>
      </c>
      <c r="K356" t="s">
        <v>1898</v>
      </c>
      <c r="L356" t="s">
        <v>1750</v>
      </c>
      <c r="M356">
        <v>1163</v>
      </c>
      <c r="N356" t="b">
        <v>0</v>
      </c>
      <c r="O356">
        <v>40</v>
      </c>
      <c r="P356" t="s">
        <v>1752</v>
      </c>
      <c r="Q356" t="s">
        <v>1753</v>
      </c>
    </row>
    <row r="357" spans="1:18" x14ac:dyDescent="0.25">
      <c r="A357" t="s">
        <v>2352</v>
      </c>
      <c r="B357" t="s">
        <v>2353</v>
      </c>
      <c r="C357" t="s">
        <v>4</v>
      </c>
      <c r="D357" t="s">
        <v>628</v>
      </c>
      <c r="E357" s="2">
        <v>44433</v>
      </c>
      <c r="F357">
        <v>1178</v>
      </c>
      <c r="G357" t="s">
        <v>1746</v>
      </c>
      <c r="H357" t="s">
        <v>1798</v>
      </c>
      <c r="I357" t="b">
        <v>0</v>
      </c>
      <c r="J357" t="s">
        <v>1748</v>
      </c>
      <c r="K357" t="s">
        <v>1822</v>
      </c>
      <c r="L357" t="s">
        <v>1817</v>
      </c>
      <c r="M357">
        <v>1158</v>
      </c>
      <c r="N357" t="b">
        <v>1</v>
      </c>
      <c r="O357">
        <v>7130</v>
      </c>
      <c r="P357" t="s">
        <v>1819</v>
      </c>
      <c r="Q357" t="s">
        <v>1753</v>
      </c>
      <c r="R357" t="s">
        <v>1759</v>
      </c>
    </row>
    <row r="358" spans="1:18" x14ac:dyDescent="0.25">
      <c r="A358" t="s">
        <v>2355</v>
      </c>
      <c r="B358" t="s">
        <v>1840</v>
      </c>
      <c r="C358" t="s">
        <v>4</v>
      </c>
      <c r="D358" t="s">
        <v>2354</v>
      </c>
      <c r="E358" s="2">
        <v>42990</v>
      </c>
      <c r="F358">
        <v>2621</v>
      </c>
      <c r="G358" t="s">
        <v>1746</v>
      </c>
      <c r="H358" t="s">
        <v>1747</v>
      </c>
      <c r="I358" t="b">
        <v>1</v>
      </c>
      <c r="J358" t="s">
        <v>1761</v>
      </c>
      <c r="K358" t="s">
        <v>1774</v>
      </c>
      <c r="L358" t="s">
        <v>1750</v>
      </c>
      <c r="M358">
        <v>1153</v>
      </c>
      <c r="N358" t="b">
        <v>0</v>
      </c>
      <c r="O358">
        <v>88</v>
      </c>
      <c r="P358" t="s">
        <v>1752</v>
      </c>
      <c r="Q358" t="s">
        <v>1753</v>
      </c>
    </row>
    <row r="359" spans="1:18" x14ac:dyDescent="0.25">
      <c r="A359" t="s">
        <v>2356</v>
      </c>
      <c r="B359" t="s">
        <v>1754</v>
      </c>
      <c r="C359" t="s">
        <v>4</v>
      </c>
      <c r="D359" t="s">
        <v>683</v>
      </c>
      <c r="E359" s="2">
        <v>38870</v>
      </c>
      <c r="F359">
        <v>6741</v>
      </c>
      <c r="G359" t="s">
        <v>1746</v>
      </c>
      <c r="H359" t="s">
        <v>1747</v>
      </c>
      <c r="I359" t="b">
        <v>1</v>
      </c>
      <c r="J359" t="s">
        <v>1761</v>
      </c>
      <c r="K359" t="s">
        <v>2021</v>
      </c>
      <c r="L359" t="s">
        <v>1750</v>
      </c>
      <c r="M359">
        <v>1144</v>
      </c>
      <c r="N359" t="b">
        <v>0</v>
      </c>
      <c r="O359">
        <v>679</v>
      </c>
      <c r="P359" t="s">
        <v>1752</v>
      </c>
      <c r="Q359" t="s">
        <v>1753</v>
      </c>
      <c r="R359" t="s">
        <v>2092</v>
      </c>
    </row>
    <row r="360" spans="1:18" x14ac:dyDescent="0.25">
      <c r="A360" t="s">
        <v>2357</v>
      </c>
      <c r="B360" t="s">
        <v>1810</v>
      </c>
      <c r="C360" t="s">
        <v>4</v>
      </c>
      <c r="D360" t="s">
        <v>614</v>
      </c>
      <c r="E360" s="2">
        <v>41243</v>
      </c>
      <c r="F360">
        <v>4368</v>
      </c>
      <c r="G360" t="s">
        <v>1746</v>
      </c>
      <c r="H360" t="s">
        <v>1747</v>
      </c>
      <c r="I360" t="b">
        <v>1</v>
      </c>
      <c r="J360" t="s">
        <v>1748</v>
      </c>
      <c r="K360" t="s">
        <v>1755</v>
      </c>
      <c r="L360" t="s">
        <v>1756</v>
      </c>
      <c r="M360">
        <v>1139</v>
      </c>
      <c r="N360" t="b">
        <v>0</v>
      </c>
      <c r="O360">
        <v>75</v>
      </c>
      <c r="P360" t="s">
        <v>1752</v>
      </c>
      <c r="Q360" t="s">
        <v>1753</v>
      </c>
    </row>
    <row r="361" spans="1:18" x14ac:dyDescent="0.25">
      <c r="A361" t="s">
        <v>2358</v>
      </c>
      <c r="B361" t="s">
        <v>1810</v>
      </c>
      <c r="C361" t="s">
        <v>186</v>
      </c>
      <c r="D361" t="s">
        <v>1658</v>
      </c>
      <c r="E361" s="2">
        <v>40344</v>
      </c>
      <c r="F361">
        <v>5267</v>
      </c>
      <c r="G361" t="s">
        <v>1746</v>
      </c>
      <c r="H361" t="s">
        <v>1798</v>
      </c>
      <c r="I361" t="b">
        <v>0</v>
      </c>
      <c r="J361" t="s">
        <v>1748</v>
      </c>
      <c r="K361" t="s">
        <v>1883</v>
      </c>
      <c r="L361" t="s">
        <v>1775</v>
      </c>
      <c r="M361">
        <v>1132</v>
      </c>
      <c r="N361" t="b">
        <v>0</v>
      </c>
      <c r="P361" t="s">
        <v>1778</v>
      </c>
      <c r="Q361" t="s">
        <v>1779</v>
      </c>
    </row>
    <row r="362" spans="1:18" x14ac:dyDescent="0.25">
      <c r="A362" t="s">
        <v>2359</v>
      </c>
      <c r="B362" t="s">
        <v>1860</v>
      </c>
      <c r="C362" t="s">
        <v>4</v>
      </c>
      <c r="D362" t="s">
        <v>1225</v>
      </c>
      <c r="E362" s="2">
        <v>43951</v>
      </c>
      <c r="F362">
        <v>1660</v>
      </c>
      <c r="G362" t="s">
        <v>1746</v>
      </c>
      <c r="H362" t="s">
        <v>1747</v>
      </c>
      <c r="I362" t="b">
        <v>0</v>
      </c>
      <c r="J362" t="s">
        <v>1748</v>
      </c>
      <c r="K362" t="s">
        <v>1809</v>
      </c>
      <c r="L362" t="s">
        <v>1750</v>
      </c>
      <c r="M362">
        <v>1131</v>
      </c>
      <c r="N362" t="b">
        <v>1</v>
      </c>
      <c r="O362">
        <v>197</v>
      </c>
      <c r="P362" t="s">
        <v>1752</v>
      </c>
      <c r="Q362" t="s">
        <v>1753</v>
      </c>
    </row>
    <row r="363" spans="1:18" x14ac:dyDescent="0.25">
      <c r="A363" t="s">
        <v>2361</v>
      </c>
      <c r="B363" t="s">
        <v>1785</v>
      </c>
      <c r="C363" t="s">
        <v>4</v>
      </c>
      <c r="D363" t="s">
        <v>2360</v>
      </c>
      <c r="E363" s="2">
        <v>42934</v>
      </c>
      <c r="F363">
        <v>2677</v>
      </c>
      <c r="G363" t="s">
        <v>1746</v>
      </c>
      <c r="H363" t="s">
        <v>1747</v>
      </c>
      <c r="I363" t="b">
        <v>1</v>
      </c>
      <c r="J363" t="s">
        <v>1748</v>
      </c>
      <c r="K363" t="s">
        <v>1809</v>
      </c>
      <c r="L363" t="s">
        <v>1766</v>
      </c>
      <c r="M363">
        <v>1128</v>
      </c>
      <c r="N363" t="b">
        <v>0</v>
      </c>
      <c r="P363" t="s">
        <v>2070</v>
      </c>
      <c r="Q363" t="s">
        <v>1753</v>
      </c>
    </row>
    <row r="364" spans="1:18" x14ac:dyDescent="0.25">
      <c r="A364" t="s">
        <v>2362</v>
      </c>
      <c r="B364" t="s">
        <v>1814</v>
      </c>
      <c r="C364" t="s">
        <v>6</v>
      </c>
      <c r="D364" t="s">
        <v>18</v>
      </c>
      <c r="E364" s="2">
        <v>39905</v>
      </c>
      <c r="F364">
        <v>5706</v>
      </c>
      <c r="G364" t="s">
        <v>1746</v>
      </c>
      <c r="H364" t="s">
        <v>1798</v>
      </c>
      <c r="I364" t="b">
        <v>1</v>
      </c>
      <c r="J364" t="s">
        <v>1748</v>
      </c>
      <c r="K364" t="s">
        <v>1934</v>
      </c>
      <c r="L364" t="s">
        <v>1817</v>
      </c>
      <c r="M364">
        <v>1128</v>
      </c>
      <c r="N364" t="b">
        <v>1</v>
      </c>
      <c r="O364">
        <v>1682</v>
      </c>
      <c r="P364" t="s">
        <v>1819</v>
      </c>
      <c r="Q364" t="s">
        <v>1753</v>
      </c>
      <c r="R364" t="s">
        <v>1759</v>
      </c>
    </row>
    <row r="365" spans="1:18" x14ac:dyDescent="0.25">
      <c r="A365" t="s">
        <v>2363</v>
      </c>
      <c r="B365" t="s">
        <v>1810</v>
      </c>
      <c r="C365" t="s">
        <v>4</v>
      </c>
      <c r="D365" t="s">
        <v>222</v>
      </c>
      <c r="E365" s="2">
        <v>42821</v>
      </c>
      <c r="F365">
        <v>2790</v>
      </c>
      <c r="G365" t="s">
        <v>1746</v>
      </c>
      <c r="H365" t="s">
        <v>1747</v>
      </c>
      <c r="I365" t="b">
        <v>0</v>
      </c>
      <c r="J365" t="s">
        <v>1761</v>
      </c>
      <c r="K365" t="s">
        <v>1776</v>
      </c>
      <c r="L365" t="s">
        <v>1750</v>
      </c>
      <c r="M365">
        <v>1127</v>
      </c>
      <c r="N365" t="b">
        <v>0</v>
      </c>
      <c r="O365">
        <v>99</v>
      </c>
      <c r="P365" t="s">
        <v>1752</v>
      </c>
      <c r="Q365" t="s">
        <v>1753</v>
      </c>
    </row>
    <row r="366" spans="1:18" x14ac:dyDescent="0.25">
      <c r="A366" t="s">
        <v>2364</v>
      </c>
      <c r="B366" t="s">
        <v>1754</v>
      </c>
      <c r="C366" t="s">
        <v>4</v>
      </c>
      <c r="D366" t="s">
        <v>1086</v>
      </c>
      <c r="E366" s="2">
        <v>42192</v>
      </c>
      <c r="F366">
        <v>3419</v>
      </c>
      <c r="G366" t="s">
        <v>1746</v>
      </c>
      <c r="H366" t="s">
        <v>1747</v>
      </c>
      <c r="I366" t="b">
        <v>1</v>
      </c>
      <c r="J366" t="s">
        <v>1748</v>
      </c>
      <c r="K366" t="s">
        <v>1824</v>
      </c>
      <c r="L366" t="s">
        <v>1750</v>
      </c>
      <c r="M366">
        <v>1122</v>
      </c>
      <c r="N366" t="b">
        <v>0</v>
      </c>
      <c r="O366">
        <v>69</v>
      </c>
      <c r="P366" t="s">
        <v>1752</v>
      </c>
      <c r="Q366" t="s">
        <v>1753</v>
      </c>
    </row>
    <row r="367" spans="1:18" x14ac:dyDescent="0.25">
      <c r="A367" t="s">
        <v>2365</v>
      </c>
      <c r="B367" t="s">
        <v>2353</v>
      </c>
      <c r="C367" t="s">
        <v>4</v>
      </c>
      <c r="D367" t="s">
        <v>540</v>
      </c>
      <c r="E367" s="2">
        <v>44678</v>
      </c>
      <c r="F367">
        <v>933</v>
      </c>
      <c r="G367" t="s">
        <v>1746</v>
      </c>
      <c r="H367" t="s">
        <v>1798</v>
      </c>
      <c r="I367" t="b">
        <v>0</v>
      </c>
      <c r="J367" t="s">
        <v>1748</v>
      </c>
      <c r="K367" t="s">
        <v>1824</v>
      </c>
      <c r="L367" t="s">
        <v>1817</v>
      </c>
      <c r="M367">
        <v>1118</v>
      </c>
      <c r="N367" t="b">
        <v>1</v>
      </c>
      <c r="O367">
        <v>2941</v>
      </c>
      <c r="P367" t="s">
        <v>1819</v>
      </c>
      <c r="Q367" t="s">
        <v>1753</v>
      </c>
      <c r="R367" t="s">
        <v>1759</v>
      </c>
    </row>
    <row r="368" spans="1:18" x14ac:dyDescent="0.25">
      <c r="A368" t="s">
        <v>2366</v>
      </c>
      <c r="B368" t="s">
        <v>1754</v>
      </c>
      <c r="C368" t="s">
        <v>4</v>
      </c>
      <c r="D368" t="s">
        <v>654</v>
      </c>
      <c r="E368" s="2">
        <v>40190</v>
      </c>
      <c r="F368">
        <v>5421</v>
      </c>
      <c r="G368" t="s">
        <v>1746</v>
      </c>
      <c r="H368" t="s">
        <v>1747</v>
      </c>
      <c r="I368" t="b">
        <v>1</v>
      </c>
      <c r="J368" t="s">
        <v>1748</v>
      </c>
      <c r="K368" t="s">
        <v>1950</v>
      </c>
      <c r="L368" t="s">
        <v>1750</v>
      </c>
      <c r="M368">
        <v>1110</v>
      </c>
      <c r="N368" t="b">
        <v>0</v>
      </c>
      <c r="O368">
        <v>85</v>
      </c>
      <c r="P368" t="s">
        <v>1752</v>
      </c>
      <c r="Q368" t="s">
        <v>1753</v>
      </c>
    </row>
    <row r="369" spans="1:18" x14ac:dyDescent="0.25">
      <c r="A369" t="s">
        <v>2367</v>
      </c>
      <c r="B369" t="s">
        <v>1814</v>
      </c>
      <c r="C369" t="s">
        <v>4</v>
      </c>
      <c r="D369" t="s">
        <v>984</v>
      </c>
      <c r="E369" s="2">
        <v>41513</v>
      </c>
      <c r="F369">
        <v>4098</v>
      </c>
      <c r="G369" t="s">
        <v>1746</v>
      </c>
      <c r="H369" t="s">
        <v>1798</v>
      </c>
      <c r="I369" t="b">
        <v>1</v>
      </c>
      <c r="J369" t="s">
        <v>1761</v>
      </c>
      <c r="K369" t="s">
        <v>1755</v>
      </c>
      <c r="L369" t="s">
        <v>1817</v>
      </c>
      <c r="M369">
        <v>1109</v>
      </c>
      <c r="N369" t="b">
        <v>0</v>
      </c>
      <c r="O369">
        <v>1551</v>
      </c>
      <c r="P369" t="s">
        <v>1819</v>
      </c>
      <c r="Q369" t="s">
        <v>1753</v>
      </c>
      <c r="R369" t="s">
        <v>1759</v>
      </c>
    </row>
    <row r="370" spans="1:18" x14ac:dyDescent="0.25">
      <c r="A370" t="s">
        <v>2369</v>
      </c>
      <c r="B370" t="s">
        <v>2370</v>
      </c>
      <c r="C370" t="s">
        <v>4</v>
      </c>
      <c r="D370" t="s">
        <v>2368</v>
      </c>
      <c r="E370" s="2">
        <v>44861</v>
      </c>
      <c r="F370">
        <v>750</v>
      </c>
      <c r="G370" t="s">
        <v>1746</v>
      </c>
      <c r="H370" t="s">
        <v>1747</v>
      </c>
      <c r="I370" t="b">
        <v>0</v>
      </c>
      <c r="J370" t="s">
        <v>1748</v>
      </c>
      <c r="K370" t="s">
        <v>1749</v>
      </c>
      <c r="L370" t="s">
        <v>1766</v>
      </c>
      <c r="M370">
        <v>1108</v>
      </c>
      <c r="N370" t="b">
        <v>0</v>
      </c>
      <c r="P370" t="s">
        <v>1752</v>
      </c>
      <c r="Q370" t="s">
        <v>1753</v>
      </c>
    </row>
    <row r="371" spans="1:18" x14ac:dyDescent="0.25">
      <c r="A371" t="s">
        <v>2372</v>
      </c>
      <c r="B371" t="s">
        <v>2085</v>
      </c>
      <c r="C371" t="s">
        <v>4</v>
      </c>
      <c r="D371" t="s">
        <v>2371</v>
      </c>
      <c r="E371" s="2">
        <v>43250</v>
      </c>
      <c r="F371">
        <v>2361</v>
      </c>
      <c r="G371" t="s">
        <v>1746</v>
      </c>
      <c r="H371" t="s">
        <v>1747</v>
      </c>
      <c r="I371" t="b">
        <v>1</v>
      </c>
      <c r="J371" t="s">
        <v>1748</v>
      </c>
      <c r="K371" t="s">
        <v>1868</v>
      </c>
      <c r="L371" t="s">
        <v>1817</v>
      </c>
      <c r="M371">
        <v>1104</v>
      </c>
      <c r="N371" t="b">
        <v>0</v>
      </c>
      <c r="O371">
        <v>1167</v>
      </c>
      <c r="P371" t="s">
        <v>1819</v>
      </c>
      <c r="Q371" t="s">
        <v>1753</v>
      </c>
      <c r="R371" t="s">
        <v>1772</v>
      </c>
    </row>
    <row r="372" spans="1:18" x14ac:dyDescent="0.25">
      <c r="A372" t="s">
        <v>2373</v>
      </c>
      <c r="B372" t="s">
        <v>1860</v>
      </c>
      <c r="C372" t="s">
        <v>6</v>
      </c>
      <c r="D372" t="s">
        <v>67</v>
      </c>
      <c r="E372" s="2">
        <v>44006</v>
      </c>
      <c r="F372">
        <v>1605</v>
      </c>
      <c r="G372" t="s">
        <v>1746</v>
      </c>
      <c r="H372" t="s">
        <v>1747</v>
      </c>
      <c r="I372" t="b">
        <v>0</v>
      </c>
      <c r="J372" t="s">
        <v>1748</v>
      </c>
      <c r="K372" t="s">
        <v>1770</v>
      </c>
      <c r="L372" t="s">
        <v>1750</v>
      </c>
      <c r="M372">
        <v>1103</v>
      </c>
      <c r="N372" t="b">
        <v>1</v>
      </c>
      <c r="O372">
        <v>477</v>
      </c>
      <c r="P372" t="s">
        <v>1752</v>
      </c>
      <c r="Q372" t="s">
        <v>1753</v>
      </c>
      <c r="R372" t="s">
        <v>1772</v>
      </c>
    </row>
    <row r="373" spans="1:18" x14ac:dyDescent="0.25">
      <c r="A373" t="s">
        <v>2374</v>
      </c>
      <c r="B373" t="s">
        <v>1754</v>
      </c>
      <c r="C373" t="s">
        <v>4</v>
      </c>
      <c r="D373" t="s">
        <v>679</v>
      </c>
      <c r="E373" s="2">
        <v>38261</v>
      </c>
      <c r="F373">
        <v>7350</v>
      </c>
      <c r="G373" t="s">
        <v>1746</v>
      </c>
      <c r="H373" t="s">
        <v>1747</v>
      </c>
      <c r="I373" t="b">
        <v>1</v>
      </c>
      <c r="J373" t="s">
        <v>1761</v>
      </c>
      <c r="K373" t="s">
        <v>1774</v>
      </c>
      <c r="L373" t="s">
        <v>1756</v>
      </c>
      <c r="M373">
        <v>1102</v>
      </c>
      <c r="N373" t="b">
        <v>0</v>
      </c>
      <c r="O373">
        <v>198</v>
      </c>
      <c r="P373" t="s">
        <v>1752</v>
      </c>
      <c r="Q373" t="s">
        <v>1753</v>
      </c>
    </row>
    <row r="374" spans="1:18" x14ac:dyDescent="0.25">
      <c r="A374" t="s">
        <v>2375</v>
      </c>
      <c r="B374" t="s">
        <v>1814</v>
      </c>
      <c r="C374" t="s">
        <v>6</v>
      </c>
      <c r="D374" t="s">
        <v>7</v>
      </c>
      <c r="E374" s="2">
        <v>38743</v>
      </c>
      <c r="F374">
        <v>6868</v>
      </c>
      <c r="G374" t="s">
        <v>1746</v>
      </c>
      <c r="H374" t="s">
        <v>1798</v>
      </c>
      <c r="I374" t="b">
        <v>0</v>
      </c>
      <c r="J374" t="s">
        <v>1748</v>
      </c>
      <c r="K374" t="s">
        <v>1853</v>
      </c>
      <c r="L374" t="s">
        <v>1766</v>
      </c>
      <c r="M374">
        <v>1101</v>
      </c>
      <c r="N374" t="b">
        <v>0</v>
      </c>
      <c r="P374" t="s">
        <v>2070</v>
      </c>
      <c r="Q374" t="s">
        <v>1753</v>
      </c>
    </row>
    <row r="375" spans="1:18" x14ac:dyDescent="0.25">
      <c r="A375" t="s">
        <v>2377</v>
      </c>
      <c r="B375" t="s">
        <v>2378</v>
      </c>
      <c r="C375" t="s">
        <v>4</v>
      </c>
      <c r="D375" t="s">
        <v>2376</v>
      </c>
      <c r="E375" s="2">
        <v>40641</v>
      </c>
      <c r="F375">
        <v>4970</v>
      </c>
      <c r="G375" t="s">
        <v>1746</v>
      </c>
      <c r="H375" t="s">
        <v>1747</v>
      </c>
      <c r="I375" t="b">
        <v>0</v>
      </c>
      <c r="J375" t="s">
        <v>1748</v>
      </c>
      <c r="K375" t="s">
        <v>1755</v>
      </c>
      <c r="L375" t="s">
        <v>1775</v>
      </c>
      <c r="M375">
        <v>1097</v>
      </c>
      <c r="N375" t="b">
        <v>0</v>
      </c>
      <c r="P375" t="s">
        <v>1778</v>
      </c>
      <c r="Q375" t="s">
        <v>1779</v>
      </c>
    </row>
    <row r="376" spans="1:18" x14ac:dyDescent="0.25">
      <c r="A376" t="s">
        <v>2379</v>
      </c>
      <c r="B376" t="s">
        <v>2380</v>
      </c>
      <c r="C376" t="s">
        <v>1249</v>
      </c>
      <c r="D376" t="s">
        <v>1261</v>
      </c>
      <c r="E376" s="2">
        <v>42513</v>
      </c>
      <c r="F376">
        <v>3098</v>
      </c>
      <c r="G376" t="s">
        <v>1746</v>
      </c>
      <c r="H376" t="s">
        <v>1798</v>
      </c>
      <c r="I376" t="b">
        <v>0</v>
      </c>
      <c r="J376" t="s">
        <v>1761</v>
      </c>
      <c r="K376" t="s">
        <v>1800</v>
      </c>
      <c r="L376" t="s">
        <v>1750</v>
      </c>
      <c r="M376">
        <v>1096</v>
      </c>
      <c r="N376" t="b">
        <v>1</v>
      </c>
      <c r="O376">
        <v>100</v>
      </c>
      <c r="P376" t="s">
        <v>1752</v>
      </c>
      <c r="Q376" t="s">
        <v>1753</v>
      </c>
      <c r="R376" t="s">
        <v>1759</v>
      </c>
    </row>
    <row r="377" spans="1:18" x14ac:dyDescent="0.25">
      <c r="A377" t="s">
        <v>2381</v>
      </c>
      <c r="B377" t="s">
        <v>1754</v>
      </c>
      <c r="C377" t="s">
        <v>4</v>
      </c>
      <c r="D377" t="s">
        <v>1106</v>
      </c>
      <c r="E377" s="2">
        <v>41010</v>
      </c>
      <c r="F377">
        <v>4601</v>
      </c>
      <c r="G377" t="s">
        <v>1746</v>
      </c>
      <c r="H377" t="s">
        <v>1747</v>
      </c>
      <c r="I377" t="b">
        <v>1</v>
      </c>
      <c r="J377" t="s">
        <v>1761</v>
      </c>
      <c r="K377" t="s">
        <v>1749</v>
      </c>
      <c r="L377" t="s">
        <v>1750</v>
      </c>
      <c r="M377">
        <v>1090</v>
      </c>
      <c r="N377" t="b">
        <v>0</v>
      </c>
      <c r="O377">
        <v>595</v>
      </c>
      <c r="P377" t="s">
        <v>1752</v>
      </c>
      <c r="Q377" t="s">
        <v>1753</v>
      </c>
    </row>
    <row r="378" spans="1:18" x14ac:dyDescent="0.25">
      <c r="A378" t="s">
        <v>2382</v>
      </c>
      <c r="B378" t="s">
        <v>1874</v>
      </c>
      <c r="C378" t="s">
        <v>4</v>
      </c>
      <c r="D378" t="s">
        <v>319</v>
      </c>
      <c r="E378" s="2">
        <v>40091</v>
      </c>
      <c r="F378">
        <v>5520</v>
      </c>
      <c r="G378" t="s">
        <v>1746</v>
      </c>
      <c r="H378" t="s">
        <v>1798</v>
      </c>
      <c r="I378" t="b">
        <v>1</v>
      </c>
      <c r="J378" t="s">
        <v>1761</v>
      </c>
      <c r="K378" t="s">
        <v>1765</v>
      </c>
      <c r="L378" t="s">
        <v>1750</v>
      </c>
      <c r="M378">
        <v>1082</v>
      </c>
      <c r="N378" t="b">
        <v>0</v>
      </c>
      <c r="O378">
        <v>50</v>
      </c>
      <c r="P378" t="s">
        <v>1752</v>
      </c>
      <c r="Q378" t="s">
        <v>1753</v>
      </c>
      <c r="R378" t="s">
        <v>1828</v>
      </c>
    </row>
    <row r="379" spans="1:18" x14ac:dyDescent="0.25">
      <c r="A379" t="s">
        <v>2383</v>
      </c>
      <c r="B379" t="s">
        <v>2384</v>
      </c>
      <c r="C379" t="s">
        <v>4</v>
      </c>
      <c r="D379" t="s">
        <v>670</v>
      </c>
      <c r="E379" s="2">
        <v>44411</v>
      </c>
      <c r="F379">
        <v>1200</v>
      </c>
      <c r="G379" t="s">
        <v>1746</v>
      </c>
      <c r="H379" t="s">
        <v>1747</v>
      </c>
      <c r="I379" t="b">
        <v>0</v>
      </c>
      <c r="J379" t="s">
        <v>1748</v>
      </c>
      <c r="K379" t="s">
        <v>1880</v>
      </c>
      <c r="L379" t="s">
        <v>1750</v>
      </c>
      <c r="M379">
        <v>1078</v>
      </c>
      <c r="N379" t="b">
        <v>1</v>
      </c>
      <c r="O379">
        <v>268</v>
      </c>
      <c r="P379" t="s">
        <v>1752</v>
      </c>
      <c r="Q379" t="s">
        <v>1753</v>
      </c>
      <c r="R379" t="s">
        <v>1759</v>
      </c>
    </row>
    <row r="380" spans="1:18" x14ac:dyDescent="0.25">
      <c r="A380" t="s">
        <v>2385</v>
      </c>
      <c r="B380" t="s">
        <v>1781</v>
      </c>
      <c r="C380" t="s">
        <v>4</v>
      </c>
      <c r="D380" t="s">
        <v>1324</v>
      </c>
      <c r="E380" s="2">
        <v>44076</v>
      </c>
      <c r="F380">
        <v>1535</v>
      </c>
      <c r="G380" t="s">
        <v>1746</v>
      </c>
      <c r="H380" t="s">
        <v>1747</v>
      </c>
      <c r="I380" t="b">
        <v>0</v>
      </c>
      <c r="J380" t="s">
        <v>1748</v>
      </c>
      <c r="K380" t="s">
        <v>1765</v>
      </c>
      <c r="L380" t="s">
        <v>1750</v>
      </c>
      <c r="M380">
        <v>1076</v>
      </c>
      <c r="N380" t="b">
        <v>0</v>
      </c>
      <c r="O380">
        <v>86</v>
      </c>
      <c r="P380" t="s">
        <v>1819</v>
      </c>
      <c r="Q380" t="s">
        <v>1753</v>
      </c>
    </row>
    <row r="381" spans="1:18" x14ac:dyDescent="0.25">
      <c r="A381" t="s">
        <v>2386</v>
      </c>
      <c r="B381" t="s">
        <v>1754</v>
      </c>
      <c r="C381" t="s">
        <v>4</v>
      </c>
      <c r="D381" t="s">
        <v>623</v>
      </c>
      <c r="E381" s="2">
        <v>38660</v>
      </c>
      <c r="F381">
        <v>6951</v>
      </c>
      <c r="G381" t="s">
        <v>1746</v>
      </c>
      <c r="H381" t="s">
        <v>1798</v>
      </c>
      <c r="I381" t="b">
        <v>1</v>
      </c>
      <c r="J381" t="s">
        <v>1761</v>
      </c>
      <c r="K381" t="s">
        <v>2021</v>
      </c>
      <c r="L381" t="s">
        <v>1750</v>
      </c>
      <c r="M381">
        <v>1075</v>
      </c>
      <c r="N381" t="b">
        <v>0</v>
      </c>
      <c r="O381">
        <v>53</v>
      </c>
      <c r="P381" t="s">
        <v>2266</v>
      </c>
      <c r="Q381" t="s">
        <v>1753</v>
      </c>
      <c r="R381" t="s">
        <v>1828</v>
      </c>
    </row>
    <row r="382" spans="1:18" x14ac:dyDescent="0.25">
      <c r="A382" t="s">
        <v>2387</v>
      </c>
      <c r="B382" t="s">
        <v>1763</v>
      </c>
      <c r="C382" t="s">
        <v>4</v>
      </c>
      <c r="D382" t="s">
        <v>1305</v>
      </c>
      <c r="E382" s="2">
        <v>41415</v>
      </c>
      <c r="F382">
        <v>4196</v>
      </c>
      <c r="G382" t="s">
        <v>1746</v>
      </c>
      <c r="H382" t="s">
        <v>1747</v>
      </c>
      <c r="I382" t="b">
        <v>1</v>
      </c>
      <c r="J382" t="s">
        <v>1761</v>
      </c>
      <c r="K382" t="s">
        <v>1824</v>
      </c>
      <c r="L382" t="s">
        <v>1750</v>
      </c>
      <c r="M382">
        <v>1062</v>
      </c>
      <c r="N382" t="b">
        <v>0</v>
      </c>
      <c r="O382">
        <v>380</v>
      </c>
      <c r="P382" t="s">
        <v>1752</v>
      </c>
      <c r="Q382" t="s">
        <v>1753</v>
      </c>
      <c r="R382" t="s">
        <v>2028</v>
      </c>
    </row>
    <row r="383" spans="1:18" x14ac:dyDescent="0.25">
      <c r="A383" t="s">
        <v>2389</v>
      </c>
      <c r="B383" t="s">
        <v>1866</v>
      </c>
      <c r="C383" t="s">
        <v>4</v>
      </c>
      <c r="D383" t="s">
        <v>2388</v>
      </c>
      <c r="E383" s="2">
        <v>40081</v>
      </c>
      <c r="F383">
        <v>5530</v>
      </c>
      <c r="G383" t="s">
        <v>1746</v>
      </c>
      <c r="H383" t="s">
        <v>1798</v>
      </c>
      <c r="I383" t="b">
        <v>1</v>
      </c>
      <c r="J383" t="s">
        <v>1761</v>
      </c>
      <c r="K383" t="s">
        <v>1755</v>
      </c>
      <c r="L383" t="s">
        <v>1817</v>
      </c>
      <c r="M383">
        <v>1060</v>
      </c>
      <c r="N383" t="b">
        <v>1</v>
      </c>
      <c r="O383">
        <v>838</v>
      </c>
      <c r="P383" t="s">
        <v>1819</v>
      </c>
      <c r="Q383" t="s">
        <v>1753</v>
      </c>
      <c r="R383" t="s">
        <v>1759</v>
      </c>
    </row>
    <row r="384" spans="1:18" x14ac:dyDescent="0.25">
      <c r="A384" t="s">
        <v>2390</v>
      </c>
      <c r="B384" t="s">
        <v>2269</v>
      </c>
      <c r="C384" t="s">
        <v>6</v>
      </c>
      <c r="D384" t="s">
        <v>1540</v>
      </c>
      <c r="E384" s="2">
        <v>42704</v>
      </c>
      <c r="F384">
        <v>2907</v>
      </c>
      <c r="G384" t="s">
        <v>1746</v>
      </c>
      <c r="H384" t="s">
        <v>1798</v>
      </c>
      <c r="I384" t="b">
        <v>1</v>
      </c>
      <c r="J384" t="s">
        <v>1761</v>
      </c>
      <c r="K384" t="s">
        <v>1822</v>
      </c>
      <c r="L384" t="s">
        <v>1817</v>
      </c>
      <c r="M384">
        <v>1057</v>
      </c>
      <c r="N384" t="b">
        <v>0</v>
      </c>
      <c r="O384">
        <v>288</v>
      </c>
      <c r="P384" t="s">
        <v>1819</v>
      </c>
      <c r="Q384" t="s">
        <v>1753</v>
      </c>
    </row>
    <row r="385" spans="1:18" x14ac:dyDescent="0.25">
      <c r="A385" t="s">
        <v>2392</v>
      </c>
      <c r="B385" t="s">
        <v>2393</v>
      </c>
      <c r="C385" t="s">
        <v>4</v>
      </c>
      <c r="D385" t="s">
        <v>2391</v>
      </c>
      <c r="E385" s="2">
        <v>44404</v>
      </c>
      <c r="F385">
        <v>1207</v>
      </c>
      <c r="G385" t="s">
        <v>1746</v>
      </c>
      <c r="H385" t="s">
        <v>1798</v>
      </c>
      <c r="I385" t="b">
        <v>0</v>
      </c>
      <c r="J385" t="s">
        <v>1748</v>
      </c>
      <c r="K385" t="s">
        <v>1824</v>
      </c>
      <c r="L385" t="s">
        <v>1750</v>
      </c>
      <c r="M385">
        <v>1057</v>
      </c>
      <c r="N385" t="b">
        <v>1</v>
      </c>
      <c r="O385">
        <v>154</v>
      </c>
      <c r="P385" t="s">
        <v>1752</v>
      </c>
      <c r="Q385" t="s">
        <v>1753</v>
      </c>
      <c r="R385" t="s">
        <v>1828</v>
      </c>
    </row>
    <row r="386" spans="1:18" x14ac:dyDescent="0.25">
      <c r="A386" t="s">
        <v>2395</v>
      </c>
      <c r="B386" t="s">
        <v>2173</v>
      </c>
      <c r="C386" t="s">
        <v>4</v>
      </c>
      <c r="D386" t="s">
        <v>2394</v>
      </c>
      <c r="E386" s="2">
        <v>42227</v>
      </c>
      <c r="F386">
        <v>3384</v>
      </c>
      <c r="G386" t="s">
        <v>1746</v>
      </c>
      <c r="H386" t="s">
        <v>2231</v>
      </c>
      <c r="I386" t="b">
        <v>0</v>
      </c>
      <c r="J386" t="s">
        <v>1748</v>
      </c>
      <c r="K386" t="s">
        <v>1943</v>
      </c>
      <c r="L386" t="s">
        <v>2102</v>
      </c>
      <c r="M386">
        <v>1054</v>
      </c>
      <c r="N386" t="b">
        <v>0</v>
      </c>
      <c r="P386" t="s">
        <v>1752</v>
      </c>
      <c r="Q386" t="s">
        <v>1753</v>
      </c>
      <c r="R386" t="s">
        <v>1759</v>
      </c>
    </row>
    <row r="387" spans="1:18" x14ac:dyDescent="0.25">
      <c r="A387" t="s">
        <v>2396</v>
      </c>
      <c r="B387" t="s">
        <v>1945</v>
      </c>
      <c r="C387" t="s">
        <v>11</v>
      </c>
      <c r="D387" t="s">
        <v>914</v>
      </c>
      <c r="E387" s="2">
        <v>39015</v>
      </c>
      <c r="F387">
        <v>6596</v>
      </c>
      <c r="G387" t="s">
        <v>1746</v>
      </c>
      <c r="H387" t="s">
        <v>1798</v>
      </c>
      <c r="I387" t="b">
        <v>0</v>
      </c>
      <c r="J387" t="s">
        <v>1748</v>
      </c>
      <c r="K387" t="s">
        <v>2219</v>
      </c>
      <c r="L387" t="s">
        <v>1766</v>
      </c>
      <c r="M387">
        <v>1051</v>
      </c>
      <c r="N387" t="b">
        <v>0</v>
      </c>
      <c r="P387" t="s">
        <v>1752</v>
      </c>
      <c r="Q387" t="s">
        <v>1753</v>
      </c>
    </row>
    <row r="388" spans="1:18" x14ac:dyDescent="0.25">
      <c r="A388" t="s">
        <v>2397</v>
      </c>
      <c r="B388" t="s">
        <v>2269</v>
      </c>
      <c r="C388" t="s">
        <v>6</v>
      </c>
      <c r="D388" t="s">
        <v>1522</v>
      </c>
      <c r="E388" s="2">
        <v>39232</v>
      </c>
      <c r="F388">
        <v>6379</v>
      </c>
      <c r="G388" t="s">
        <v>1746</v>
      </c>
      <c r="H388" t="s">
        <v>1798</v>
      </c>
      <c r="I388" t="b">
        <v>1</v>
      </c>
      <c r="J388" t="s">
        <v>1748</v>
      </c>
      <c r="K388" t="s">
        <v>1824</v>
      </c>
      <c r="L388" t="s">
        <v>1817</v>
      </c>
      <c r="M388">
        <v>1050</v>
      </c>
      <c r="N388" t="b">
        <v>0</v>
      </c>
      <c r="O388">
        <v>32</v>
      </c>
      <c r="P388" t="s">
        <v>1819</v>
      </c>
      <c r="Q388" t="s">
        <v>1753</v>
      </c>
      <c r="R388" t="s">
        <v>1828</v>
      </c>
    </row>
    <row r="389" spans="1:18" x14ac:dyDescent="0.25">
      <c r="A389" t="s">
        <v>2398</v>
      </c>
      <c r="B389" t="s">
        <v>1754</v>
      </c>
      <c r="C389" t="s">
        <v>4</v>
      </c>
      <c r="D389" t="s">
        <v>668</v>
      </c>
      <c r="E389" s="2">
        <v>38870</v>
      </c>
      <c r="F389">
        <v>6741</v>
      </c>
      <c r="G389" t="s">
        <v>1746</v>
      </c>
      <c r="H389" t="s">
        <v>1798</v>
      </c>
      <c r="I389" t="b">
        <v>1</v>
      </c>
      <c r="J389" t="s">
        <v>1761</v>
      </c>
      <c r="K389" t="s">
        <v>2021</v>
      </c>
      <c r="L389" t="s">
        <v>1756</v>
      </c>
      <c r="M389">
        <v>1048</v>
      </c>
      <c r="N389" t="b">
        <v>0</v>
      </c>
      <c r="O389">
        <v>338</v>
      </c>
      <c r="P389" t="s">
        <v>1752</v>
      </c>
      <c r="Q389" t="s">
        <v>1753</v>
      </c>
      <c r="R389" t="s">
        <v>1828</v>
      </c>
    </row>
    <row r="390" spans="1:18" x14ac:dyDescent="0.25">
      <c r="A390" t="s">
        <v>244</v>
      </c>
      <c r="B390" t="s">
        <v>1754</v>
      </c>
      <c r="C390" t="s">
        <v>4</v>
      </c>
      <c r="D390" t="s">
        <v>245</v>
      </c>
      <c r="E390" s="2">
        <v>43641</v>
      </c>
      <c r="F390">
        <v>1970</v>
      </c>
      <c r="G390" t="s">
        <v>1746</v>
      </c>
      <c r="H390" t="s">
        <v>1747</v>
      </c>
      <c r="I390" t="b">
        <v>0</v>
      </c>
      <c r="J390" t="s">
        <v>1748</v>
      </c>
      <c r="K390" t="s">
        <v>1809</v>
      </c>
      <c r="L390" t="s">
        <v>1750</v>
      </c>
      <c r="M390">
        <v>1047</v>
      </c>
      <c r="N390" t="b">
        <v>0</v>
      </c>
      <c r="O390">
        <v>243</v>
      </c>
      <c r="P390" t="s">
        <v>1752</v>
      </c>
      <c r="Q390" t="s">
        <v>1753</v>
      </c>
    </row>
    <row r="391" spans="1:18" x14ac:dyDescent="0.25">
      <c r="A391" t="s">
        <v>2399</v>
      </c>
      <c r="B391" t="s">
        <v>1754</v>
      </c>
      <c r="C391" t="s">
        <v>4</v>
      </c>
      <c r="D391" t="s">
        <v>636</v>
      </c>
      <c r="E391" s="2">
        <v>42621</v>
      </c>
      <c r="F391">
        <v>2990</v>
      </c>
      <c r="G391" t="s">
        <v>1746</v>
      </c>
      <c r="H391" t="s">
        <v>1747</v>
      </c>
      <c r="I391" t="b">
        <v>1</v>
      </c>
      <c r="J391" t="s">
        <v>1748</v>
      </c>
      <c r="K391" t="s">
        <v>2021</v>
      </c>
      <c r="L391" t="s">
        <v>1756</v>
      </c>
      <c r="M391">
        <v>1046</v>
      </c>
      <c r="N391" t="b">
        <v>1</v>
      </c>
      <c r="O391">
        <v>195</v>
      </c>
      <c r="P391" t="s">
        <v>1752</v>
      </c>
      <c r="Q391" t="s">
        <v>1753</v>
      </c>
      <c r="R391" t="s">
        <v>1759</v>
      </c>
    </row>
    <row r="392" spans="1:18" x14ac:dyDescent="0.25">
      <c r="A392" t="s">
        <v>2401</v>
      </c>
      <c r="B392" t="s">
        <v>1803</v>
      </c>
      <c r="C392" t="s">
        <v>572</v>
      </c>
      <c r="D392" t="s">
        <v>2400</v>
      </c>
      <c r="E392" s="2">
        <v>39973</v>
      </c>
      <c r="F392">
        <v>5638</v>
      </c>
      <c r="G392" t="s">
        <v>1746</v>
      </c>
      <c r="H392" t="s">
        <v>1798</v>
      </c>
      <c r="I392" t="b">
        <v>0</v>
      </c>
      <c r="J392" t="s">
        <v>1761</v>
      </c>
      <c r="K392" t="s">
        <v>1853</v>
      </c>
      <c r="L392" t="s">
        <v>1750</v>
      </c>
      <c r="M392">
        <v>1041</v>
      </c>
      <c r="N392" t="b">
        <v>0</v>
      </c>
      <c r="O392">
        <v>415</v>
      </c>
      <c r="P392" t="s">
        <v>1752</v>
      </c>
      <c r="Q392" t="s">
        <v>1753</v>
      </c>
      <c r="R392" t="s">
        <v>1828</v>
      </c>
    </row>
    <row r="393" spans="1:18" x14ac:dyDescent="0.25">
      <c r="A393" t="s">
        <v>2402</v>
      </c>
      <c r="B393" t="s">
        <v>1860</v>
      </c>
      <c r="C393" t="s">
        <v>4</v>
      </c>
      <c r="D393" t="s">
        <v>1227</v>
      </c>
      <c r="E393" s="2">
        <v>43958</v>
      </c>
      <c r="F393">
        <v>1653</v>
      </c>
      <c r="G393" t="s">
        <v>1746</v>
      </c>
      <c r="H393" t="s">
        <v>1747</v>
      </c>
      <c r="I393" t="b">
        <v>0</v>
      </c>
      <c r="J393" t="s">
        <v>1748</v>
      </c>
      <c r="K393" t="s">
        <v>1809</v>
      </c>
      <c r="L393" t="s">
        <v>1750</v>
      </c>
      <c r="M393">
        <v>1036</v>
      </c>
      <c r="N393" t="b">
        <v>1</v>
      </c>
      <c r="O393">
        <v>403</v>
      </c>
      <c r="P393" t="s">
        <v>1752</v>
      </c>
      <c r="Q393" t="s">
        <v>1753</v>
      </c>
      <c r="R393" t="s">
        <v>1759</v>
      </c>
    </row>
    <row r="394" spans="1:18" x14ac:dyDescent="0.25">
      <c r="A394" t="s">
        <v>2403</v>
      </c>
      <c r="B394" t="s">
        <v>1936</v>
      </c>
      <c r="C394" t="s">
        <v>186</v>
      </c>
      <c r="D394" t="s">
        <v>1375</v>
      </c>
      <c r="E394" s="2">
        <v>44165</v>
      </c>
      <c r="F394">
        <v>1446</v>
      </c>
      <c r="G394" t="s">
        <v>1746</v>
      </c>
      <c r="H394" t="s">
        <v>1747</v>
      </c>
      <c r="I394" t="b">
        <v>0</v>
      </c>
      <c r="J394" t="s">
        <v>1748</v>
      </c>
      <c r="K394" t="s">
        <v>1774</v>
      </c>
      <c r="L394" t="s">
        <v>1775</v>
      </c>
      <c r="M394">
        <v>1031</v>
      </c>
      <c r="N394" t="b">
        <v>0</v>
      </c>
      <c r="P394" t="s">
        <v>1778</v>
      </c>
      <c r="Q394" t="s">
        <v>1779</v>
      </c>
    </row>
    <row r="395" spans="1:18" x14ac:dyDescent="0.25">
      <c r="A395" t="s">
        <v>2405</v>
      </c>
      <c r="B395" t="s">
        <v>1840</v>
      </c>
      <c r="C395" t="s">
        <v>4</v>
      </c>
      <c r="D395" t="s">
        <v>2404</v>
      </c>
      <c r="E395" s="2">
        <v>41521</v>
      </c>
      <c r="F395">
        <v>4090</v>
      </c>
      <c r="G395" t="s">
        <v>1746</v>
      </c>
      <c r="H395" t="s">
        <v>1798</v>
      </c>
      <c r="I395" t="b">
        <v>1</v>
      </c>
      <c r="J395" t="s">
        <v>1761</v>
      </c>
      <c r="K395" t="s">
        <v>1853</v>
      </c>
      <c r="L395" t="s">
        <v>1750</v>
      </c>
      <c r="M395">
        <v>1027</v>
      </c>
      <c r="N395" t="b">
        <v>0</v>
      </c>
      <c r="O395">
        <v>84</v>
      </c>
      <c r="P395" t="s">
        <v>1752</v>
      </c>
      <c r="Q395" t="s">
        <v>1753</v>
      </c>
      <c r="R395" t="s">
        <v>1828</v>
      </c>
    </row>
    <row r="396" spans="1:18" x14ac:dyDescent="0.25">
      <c r="A396" t="s">
        <v>2406</v>
      </c>
      <c r="B396" t="s">
        <v>2180</v>
      </c>
      <c r="C396" t="s">
        <v>6</v>
      </c>
      <c r="D396" t="s">
        <v>136</v>
      </c>
      <c r="E396" s="2">
        <v>43742</v>
      </c>
      <c r="F396">
        <v>1869</v>
      </c>
      <c r="G396" t="s">
        <v>1746</v>
      </c>
      <c r="H396" t="s">
        <v>1798</v>
      </c>
      <c r="I396" t="b">
        <v>0</v>
      </c>
      <c r="J396" t="s">
        <v>1761</v>
      </c>
      <c r="K396" t="s">
        <v>1824</v>
      </c>
      <c r="L396" t="s">
        <v>1750</v>
      </c>
      <c r="M396">
        <v>1025</v>
      </c>
      <c r="N396" t="b">
        <v>1</v>
      </c>
      <c r="O396">
        <v>466</v>
      </c>
      <c r="P396" t="s">
        <v>1819</v>
      </c>
      <c r="Q396" t="s">
        <v>1753</v>
      </c>
      <c r="R396" t="s">
        <v>1828</v>
      </c>
    </row>
    <row r="397" spans="1:18" x14ac:dyDescent="0.25">
      <c r="A397" t="s">
        <v>2408</v>
      </c>
      <c r="B397" t="s">
        <v>1907</v>
      </c>
      <c r="C397" t="s">
        <v>572</v>
      </c>
      <c r="D397" t="s">
        <v>2407</v>
      </c>
      <c r="E397" s="2">
        <v>44008</v>
      </c>
      <c r="F397">
        <v>1603</v>
      </c>
      <c r="G397" t="s">
        <v>1746</v>
      </c>
      <c r="H397" t="s">
        <v>1798</v>
      </c>
      <c r="I397" t="b">
        <v>0</v>
      </c>
      <c r="J397" t="s">
        <v>1761</v>
      </c>
      <c r="K397" t="s">
        <v>1776</v>
      </c>
      <c r="L397" t="s">
        <v>1750</v>
      </c>
      <c r="M397">
        <v>1025</v>
      </c>
      <c r="N397" t="b">
        <v>1</v>
      </c>
      <c r="O397">
        <v>503</v>
      </c>
      <c r="P397" t="s">
        <v>1752</v>
      </c>
      <c r="Q397" t="s">
        <v>1753</v>
      </c>
    </row>
    <row r="398" spans="1:18" x14ac:dyDescent="0.25">
      <c r="A398" t="s">
        <v>2409</v>
      </c>
      <c r="B398" t="s">
        <v>1795</v>
      </c>
      <c r="C398" t="s">
        <v>4</v>
      </c>
      <c r="D398" t="s">
        <v>635</v>
      </c>
      <c r="E398" s="2">
        <v>39059</v>
      </c>
      <c r="F398">
        <v>6552</v>
      </c>
      <c r="G398" t="s">
        <v>1746</v>
      </c>
      <c r="H398" t="s">
        <v>1798</v>
      </c>
      <c r="I398" t="b">
        <v>1</v>
      </c>
      <c r="J398" t="s">
        <v>1761</v>
      </c>
      <c r="K398" t="s">
        <v>1824</v>
      </c>
      <c r="L398" t="s">
        <v>1817</v>
      </c>
      <c r="M398">
        <v>1022</v>
      </c>
      <c r="N398" t="b">
        <v>0</v>
      </c>
      <c r="O398">
        <v>53</v>
      </c>
      <c r="P398" t="s">
        <v>1819</v>
      </c>
      <c r="Q398" t="s">
        <v>1753</v>
      </c>
      <c r="R398" t="s">
        <v>1828</v>
      </c>
    </row>
    <row r="399" spans="1:18" x14ac:dyDescent="0.25">
      <c r="A399" t="s">
        <v>2411</v>
      </c>
      <c r="B399" t="s">
        <v>1704</v>
      </c>
      <c r="C399" t="s">
        <v>4</v>
      </c>
      <c r="D399" t="s">
        <v>2410</v>
      </c>
      <c r="E399" s="2">
        <v>45455</v>
      </c>
      <c r="F399">
        <v>156</v>
      </c>
      <c r="G399" t="s">
        <v>1746</v>
      </c>
      <c r="H399" t="s">
        <v>1798</v>
      </c>
      <c r="I399" t="b">
        <v>0</v>
      </c>
      <c r="J399" t="s">
        <v>1761</v>
      </c>
      <c r="K399" t="s">
        <v>1770</v>
      </c>
      <c r="L399" t="s">
        <v>1750</v>
      </c>
      <c r="M399">
        <v>1021</v>
      </c>
      <c r="N399" t="b">
        <v>1</v>
      </c>
      <c r="O399">
        <v>215</v>
      </c>
      <c r="P399" t="s">
        <v>1752</v>
      </c>
      <c r="Q399" t="s">
        <v>1753</v>
      </c>
      <c r="R399" t="s">
        <v>1828</v>
      </c>
    </row>
    <row r="400" spans="1:18" x14ac:dyDescent="0.25">
      <c r="A400" t="s">
        <v>2413</v>
      </c>
      <c r="B400" t="s">
        <v>1907</v>
      </c>
      <c r="C400" t="s">
        <v>572</v>
      </c>
      <c r="D400" t="s">
        <v>2412</v>
      </c>
      <c r="E400" s="2">
        <v>44001</v>
      </c>
      <c r="F400">
        <v>1610</v>
      </c>
      <c r="G400" t="s">
        <v>1746</v>
      </c>
      <c r="H400" t="s">
        <v>1798</v>
      </c>
      <c r="I400" t="b">
        <v>0</v>
      </c>
      <c r="J400" t="s">
        <v>1761</v>
      </c>
      <c r="K400" t="s">
        <v>1909</v>
      </c>
      <c r="L400" t="s">
        <v>1750</v>
      </c>
      <c r="M400">
        <v>1013</v>
      </c>
      <c r="N400" t="b">
        <v>1</v>
      </c>
      <c r="O400">
        <v>1216</v>
      </c>
      <c r="P400" t="s">
        <v>1752</v>
      </c>
      <c r="Q400" t="s">
        <v>1753</v>
      </c>
      <c r="R400" t="s">
        <v>1759</v>
      </c>
    </row>
    <row r="401" spans="1:18" x14ac:dyDescent="0.25">
      <c r="A401" t="s">
        <v>2415</v>
      </c>
      <c r="B401" t="s">
        <v>1803</v>
      </c>
      <c r="C401" t="s">
        <v>4</v>
      </c>
      <c r="D401" t="s">
        <v>2414</v>
      </c>
      <c r="E401" s="2">
        <v>43621</v>
      </c>
      <c r="F401">
        <v>1990</v>
      </c>
      <c r="G401" t="s">
        <v>1746</v>
      </c>
      <c r="H401" t="s">
        <v>1798</v>
      </c>
      <c r="I401" t="b">
        <v>1</v>
      </c>
      <c r="J401" t="s">
        <v>1761</v>
      </c>
      <c r="K401" t="s">
        <v>1853</v>
      </c>
      <c r="L401" t="s">
        <v>1756</v>
      </c>
      <c r="M401">
        <v>1012</v>
      </c>
      <c r="N401" t="b">
        <v>0</v>
      </c>
      <c r="O401">
        <v>1410</v>
      </c>
      <c r="P401" t="s">
        <v>1752</v>
      </c>
      <c r="Q401" t="s">
        <v>1753</v>
      </c>
      <c r="R401" t="s">
        <v>1759</v>
      </c>
    </row>
    <row r="402" spans="1:18" x14ac:dyDescent="0.25">
      <c r="A402" t="s">
        <v>2416</v>
      </c>
      <c r="B402" t="s">
        <v>1763</v>
      </c>
      <c r="C402" t="s">
        <v>4</v>
      </c>
      <c r="D402" t="s">
        <v>1296</v>
      </c>
      <c r="E402" s="2">
        <v>42424</v>
      </c>
      <c r="F402">
        <v>3187</v>
      </c>
      <c r="G402" t="s">
        <v>1746</v>
      </c>
      <c r="H402" t="s">
        <v>1798</v>
      </c>
      <c r="I402" t="b">
        <v>0</v>
      </c>
      <c r="J402" t="s">
        <v>1761</v>
      </c>
      <c r="K402" t="s">
        <v>1749</v>
      </c>
      <c r="L402" t="s">
        <v>1817</v>
      </c>
      <c r="M402">
        <v>1012</v>
      </c>
      <c r="N402" t="b">
        <v>0</v>
      </c>
      <c r="O402">
        <v>462</v>
      </c>
      <c r="P402" t="s">
        <v>1819</v>
      </c>
      <c r="Q402" t="s">
        <v>1753</v>
      </c>
      <c r="R402" t="s">
        <v>1828</v>
      </c>
    </row>
    <row r="403" spans="1:18" x14ac:dyDescent="0.25">
      <c r="A403" t="s">
        <v>2418</v>
      </c>
      <c r="B403" t="s">
        <v>2051</v>
      </c>
      <c r="C403" t="s">
        <v>4</v>
      </c>
      <c r="D403" t="s">
        <v>2417</v>
      </c>
      <c r="E403" s="2">
        <v>39157</v>
      </c>
      <c r="F403">
        <v>6454</v>
      </c>
      <c r="G403" t="s">
        <v>1746</v>
      </c>
      <c r="H403" t="s">
        <v>1747</v>
      </c>
      <c r="I403" t="b">
        <v>1</v>
      </c>
      <c r="J403" t="s">
        <v>1761</v>
      </c>
      <c r="K403" t="s">
        <v>1848</v>
      </c>
      <c r="L403" t="s">
        <v>1750</v>
      </c>
      <c r="M403">
        <v>1000</v>
      </c>
      <c r="N403" t="b">
        <v>0</v>
      </c>
      <c r="O403">
        <v>83</v>
      </c>
      <c r="P403" t="s">
        <v>1752</v>
      </c>
      <c r="Q403" t="s">
        <v>1753</v>
      </c>
      <c r="R403" t="s">
        <v>1759</v>
      </c>
    </row>
    <row r="404" spans="1:18" x14ac:dyDescent="0.25">
      <c r="A404" t="s">
        <v>2419</v>
      </c>
      <c r="B404" t="s">
        <v>1876</v>
      </c>
      <c r="C404" t="s">
        <v>6</v>
      </c>
      <c r="D404" t="s">
        <v>1516</v>
      </c>
      <c r="E404" s="2">
        <v>44035</v>
      </c>
      <c r="F404">
        <v>1576</v>
      </c>
      <c r="G404" t="s">
        <v>1746</v>
      </c>
      <c r="H404" t="s">
        <v>1798</v>
      </c>
      <c r="I404" t="b">
        <v>0</v>
      </c>
      <c r="J404" t="s">
        <v>1748</v>
      </c>
      <c r="K404" t="s">
        <v>1826</v>
      </c>
      <c r="L404" t="s">
        <v>1756</v>
      </c>
      <c r="M404">
        <v>995</v>
      </c>
      <c r="N404" t="b">
        <v>1</v>
      </c>
      <c r="O404">
        <v>1920</v>
      </c>
      <c r="P404" t="s">
        <v>1819</v>
      </c>
      <c r="Q404" t="s">
        <v>1753</v>
      </c>
      <c r="R404" t="s">
        <v>1759</v>
      </c>
    </row>
    <row r="405" spans="1:18" x14ac:dyDescent="0.25">
      <c r="A405" t="s">
        <v>2421</v>
      </c>
      <c r="B405" t="s">
        <v>2173</v>
      </c>
      <c r="C405" t="s">
        <v>6</v>
      </c>
      <c r="D405" t="s">
        <v>2420</v>
      </c>
      <c r="E405" s="2">
        <v>43131</v>
      </c>
      <c r="F405">
        <v>2480</v>
      </c>
      <c r="G405" t="s">
        <v>1746</v>
      </c>
      <c r="H405" t="s">
        <v>1747</v>
      </c>
      <c r="I405" t="b">
        <v>0</v>
      </c>
      <c r="J405" t="s">
        <v>1748</v>
      </c>
      <c r="K405" t="s">
        <v>1826</v>
      </c>
      <c r="L405" t="s">
        <v>1817</v>
      </c>
      <c r="M405">
        <v>993</v>
      </c>
      <c r="N405" t="b">
        <v>0</v>
      </c>
      <c r="O405">
        <v>217</v>
      </c>
      <c r="P405" t="s">
        <v>1819</v>
      </c>
      <c r="Q405" t="s">
        <v>1753</v>
      </c>
    </row>
    <row r="406" spans="1:18" x14ac:dyDescent="0.25">
      <c r="A406" t="s">
        <v>132</v>
      </c>
      <c r="B406" t="s">
        <v>2011</v>
      </c>
      <c r="C406" t="s">
        <v>4</v>
      </c>
      <c r="D406" t="s">
        <v>133</v>
      </c>
      <c r="E406" s="2">
        <v>44881</v>
      </c>
      <c r="F406">
        <v>730</v>
      </c>
      <c r="G406" t="s">
        <v>1746</v>
      </c>
      <c r="H406" t="s">
        <v>1747</v>
      </c>
      <c r="I406" t="b">
        <v>0</v>
      </c>
      <c r="J406" t="s">
        <v>1748</v>
      </c>
      <c r="K406" t="s">
        <v>1934</v>
      </c>
      <c r="L406" t="s">
        <v>1750</v>
      </c>
      <c r="M406">
        <v>993</v>
      </c>
      <c r="N406" t="b">
        <v>0</v>
      </c>
      <c r="P406" t="s">
        <v>1752</v>
      </c>
      <c r="Q406" t="s">
        <v>1753</v>
      </c>
    </row>
    <row r="407" spans="1:18" x14ac:dyDescent="0.25">
      <c r="A407" t="s">
        <v>2422</v>
      </c>
      <c r="B407" t="s">
        <v>1829</v>
      </c>
      <c r="C407" t="s">
        <v>6</v>
      </c>
      <c r="D407" t="s">
        <v>1119</v>
      </c>
      <c r="E407" s="2">
        <v>43671</v>
      </c>
      <c r="F407">
        <v>1940</v>
      </c>
      <c r="G407" t="s">
        <v>1746</v>
      </c>
      <c r="H407" t="s">
        <v>1798</v>
      </c>
      <c r="I407" t="b">
        <v>0</v>
      </c>
      <c r="J407" t="s">
        <v>1761</v>
      </c>
      <c r="K407" t="s">
        <v>1822</v>
      </c>
      <c r="L407" t="s">
        <v>1750</v>
      </c>
      <c r="M407">
        <v>992</v>
      </c>
      <c r="N407" t="b">
        <v>1</v>
      </c>
      <c r="O407">
        <v>50</v>
      </c>
      <c r="P407" t="s">
        <v>1752</v>
      </c>
      <c r="Q407" t="s">
        <v>1753</v>
      </c>
      <c r="R407" t="s">
        <v>1828</v>
      </c>
    </row>
    <row r="408" spans="1:18" x14ac:dyDescent="0.25">
      <c r="A408" t="s">
        <v>2423</v>
      </c>
      <c r="B408" t="s">
        <v>1860</v>
      </c>
      <c r="C408" t="s">
        <v>4</v>
      </c>
      <c r="D408" t="s">
        <v>640</v>
      </c>
      <c r="E408" s="2">
        <v>45147</v>
      </c>
      <c r="F408">
        <v>464</v>
      </c>
      <c r="G408" t="s">
        <v>1746</v>
      </c>
      <c r="H408" t="s">
        <v>1798</v>
      </c>
      <c r="I408" t="b">
        <v>0</v>
      </c>
      <c r="J408" t="s">
        <v>1761</v>
      </c>
      <c r="K408" t="s">
        <v>1774</v>
      </c>
      <c r="L408" t="s">
        <v>1817</v>
      </c>
      <c r="M408">
        <v>992</v>
      </c>
      <c r="N408" t="b">
        <v>1</v>
      </c>
      <c r="O408">
        <v>347</v>
      </c>
      <c r="P408" t="s">
        <v>1819</v>
      </c>
      <c r="Q408" t="s">
        <v>1753</v>
      </c>
      <c r="R408" t="s">
        <v>1759</v>
      </c>
    </row>
    <row r="409" spans="1:18" x14ac:dyDescent="0.25">
      <c r="A409" t="s">
        <v>2425</v>
      </c>
      <c r="B409" t="s">
        <v>1840</v>
      </c>
      <c r="C409" t="s">
        <v>4</v>
      </c>
      <c r="D409" t="s">
        <v>2424</v>
      </c>
      <c r="E409" s="2">
        <v>43392</v>
      </c>
      <c r="F409">
        <v>2219</v>
      </c>
      <c r="G409" t="s">
        <v>1746</v>
      </c>
      <c r="H409" t="s">
        <v>1798</v>
      </c>
      <c r="I409" t="b">
        <v>0</v>
      </c>
      <c r="J409" t="s">
        <v>1748</v>
      </c>
      <c r="K409" t="s">
        <v>1774</v>
      </c>
      <c r="L409" t="s">
        <v>1756</v>
      </c>
      <c r="M409">
        <v>987</v>
      </c>
      <c r="N409" t="b">
        <v>1</v>
      </c>
      <c r="O409">
        <v>208</v>
      </c>
      <c r="P409" t="s">
        <v>1752</v>
      </c>
      <c r="Q409" t="s">
        <v>1753</v>
      </c>
      <c r="R409" t="s">
        <v>1828</v>
      </c>
    </row>
    <row r="410" spans="1:18" x14ac:dyDescent="0.25">
      <c r="A410" t="s">
        <v>2426</v>
      </c>
      <c r="B410" t="s">
        <v>2106</v>
      </c>
      <c r="C410" t="s">
        <v>6</v>
      </c>
      <c r="D410" t="s">
        <v>934</v>
      </c>
      <c r="E410" s="2">
        <v>41505</v>
      </c>
      <c r="F410">
        <v>4106</v>
      </c>
      <c r="G410" t="s">
        <v>1746</v>
      </c>
      <c r="H410" t="s">
        <v>1798</v>
      </c>
      <c r="I410" t="b">
        <v>0</v>
      </c>
      <c r="J410" t="s">
        <v>1761</v>
      </c>
      <c r="K410" t="s">
        <v>1749</v>
      </c>
      <c r="L410" t="s">
        <v>1766</v>
      </c>
      <c r="M410">
        <v>985</v>
      </c>
      <c r="N410" t="b">
        <v>0</v>
      </c>
      <c r="P410" t="s">
        <v>1752</v>
      </c>
      <c r="Q410" t="s">
        <v>1753</v>
      </c>
    </row>
    <row r="411" spans="1:18" x14ac:dyDescent="0.25">
      <c r="A411" t="s">
        <v>2427</v>
      </c>
      <c r="B411" t="s">
        <v>1795</v>
      </c>
      <c r="C411" t="s">
        <v>6</v>
      </c>
      <c r="D411" t="s">
        <v>91</v>
      </c>
      <c r="E411" s="2">
        <v>43536</v>
      </c>
      <c r="F411">
        <v>2075</v>
      </c>
      <c r="G411" t="s">
        <v>1746</v>
      </c>
      <c r="H411" t="s">
        <v>1798</v>
      </c>
      <c r="I411" t="b">
        <v>1</v>
      </c>
      <c r="J411" t="s">
        <v>1761</v>
      </c>
      <c r="K411" t="s">
        <v>1765</v>
      </c>
      <c r="L411" t="s">
        <v>1817</v>
      </c>
      <c r="M411">
        <v>980</v>
      </c>
      <c r="N411" t="b">
        <v>0</v>
      </c>
      <c r="O411">
        <v>404</v>
      </c>
      <c r="P411" t="s">
        <v>1819</v>
      </c>
      <c r="Q411" t="s">
        <v>1753</v>
      </c>
      <c r="R411" t="s">
        <v>1828</v>
      </c>
    </row>
    <row r="412" spans="1:18" x14ac:dyDescent="0.25">
      <c r="A412" t="s">
        <v>323</v>
      </c>
      <c r="B412" t="s">
        <v>1876</v>
      </c>
      <c r="C412" t="s">
        <v>4</v>
      </c>
      <c r="D412" t="s">
        <v>324</v>
      </c>
      <c r="E412" s="2">
        <v>40714</v>
      </c>
      <c r="F412">
        <v>4897</v>
      </c>
      <c r="G412" t="s">
        <v>1746</v>
      </c>
      <c r="H412" t="s">
        <v>1747</v>
      </c>
      <c r="I412" t="b">
        <v>1</v>
      </c>
      <c r="J412" t="s">
        <v>1761</v>
      </c>
      <c r="K412" t="s">
        <v>1988</v>
      </c>
      <c r="L412" t="s">
        <v>1750</v>
      </c>
      <c r="M412">
        <v>977</v>
      </c>
      <c r="N412" t="b">
        <v>0</v>
      </c>
      <c r="O412">
        <v>367</v>
      </c>
      <c r="P412" t="s">
        <v>2266</v>
      </c>
      <c r="Q412" t="s">
        <v>1753</v>
      </c>
      <c r="R412" t="s">
        <v>1759</v>
      </c>
    </row>
    <row r="413" spans="1:18" x14ac:dyDescent="0.25">
      <c r="A413" t="s">
        <v>2429</v>
      </c>
      <c r="B413" t="s">
        <v>1820</v>
      </c>
      <c r="C413" t="s">
        <v>4</v>
      </c>
      <c r="D413" t="s">
        <v>2428</v>
      </c>
      <c r="E413" s="2">
        <v>42999</v>
      </c>
      <c r="F413">
        <v>2612</v>
      </c>
      <c r="G413" t="s">
        <v>1746</v>
      </c>
      <c r="H413" t="s">
        <v>1798</v>
      </c>
      <c r="I413" t="b">
        <v>1</v>
      </c>
      <c r="J413" t="s">
        <v>1748</v>
      </c>
      <c r="K413" t="s">
        <v>1868</v>
      </c>
      <c r="L413" t="s">
        <v>1817</v>
      </c>
      <c r="M413">
        <v>973</v>
      </c>
      <c r="N413" t="b">
        <v>0</v>
      </c>
      <c r="O413">
        <v>628</v>
      </c>
      <c r="P413" t="s">
        <v>1819</v>
      </c>
      <c r="Q413" t="s">
        <v>1753</v>
      </c>
      <c r="R413" t="s">
        <v>1759</v>
      </c>
    </row>
    <row r="414" spans="1:18" x14ac:dyDescent="0.25">
      <c r="A414" t="s">
        <v>1624</v>
      </c>
      <c r="B414" t="s">
        <v>1810</v>
      </c>
      <c r="C414" t="s">
        <v>4</v>
      </c>
      <c r="D414" t="s">
        <v>1625</v>
      </c>
      <c r="E414" s="2">
        <v>42438</v>
      </c>
      <c r="F414">
        <v>3173</v>
      </c>
      <c r="G414" t="s">
        <v>1746</v>
      </c>
      <c r="H414" t="s">
        <v>1747</v>
      </c>
      <c r="I414" t="b">
        <v>1</v>
      </c>
      <c r="J414" t="s">
        <v>1748</v>
      </c>
      <c r="K414" t="s">
        <v>1776</v>
      </c>
      <c r="L414" t="s">
        <v>1750</v>
      </c>
      <c r="M414">
        <v>972</v>
      </c>
      <c r="N414" t="b">
        <v>0</v>
      </c>
      <c r="O414">
        <v>104</v>
      </c>
      <c r="P414" t="s">
        <v>1752</v>
      </c>
      <c r="Q414" t="s">
        <v>1753</v>
      </c>
      <c r="R414" t="s">
        <v>1759</v>
      </c>
    </row>
    <row r="415" spans="1:18" x14ac:dyDescent="0.25">
      <c r="A415" t="s">
        <v>1556</v>
      </c>
      <c r="B415" t="s">
        <v>1810</v>
      </c>
      <c r="C415" t="s">
        <v>6</v>
      </c>
      <c r="D415" t="s">
        <v>1557</v>
      </c>
      <c r="E415" s="2">
        <v>40353</v>
      </c>
      <c r="F415">
        <v>5258</v>
      </c>
      <c r="G415" t="s">
        <v>1746</v>
      </c>
      <c r="H415" t="s">
        <v>1747</v>
      </c>
      <c r="I415" t="b">
        <v>1</v>
      </c>
      <c r="J415" t="s">
        <v>1748</v>
      </c>
      <c r="K415" t="s">
        <v>1757</v>
      </c>
      <c r="L415" t="s">
        <v>1750</v>
      </c>
      <c r="M415">
        <v>971</v>
      </c>
      <c r="N415" t="b">
        <v>0</v>
      </c>
      <c r="O415">
        <v>599</v>
      </c>
      <c r="P415" t="s">
        <v>1752</v>
      </c>
      <c r="Q415" t="s">
        <v>1753</v>
      </c>
    </row>
    <row r="416" spans="1:18" x14ac:dyDescent="0.25">
      <c r="A416" t="s">
        <v>2430</v>
      </c>
      <c r="B416" t="s">
        <v>1829</v>
      </c>
      <c r="C416" t="s">
        <v>572</v>
      </c>
      <c r="D416" t="s">
        <v>648</v>
      </c>
      <c r="E416" s="2">
        <v>37000</v>
      </c>
      <c r="F416">
        <v>8611</v>
      </c>
      <c r="G416" t="s">
        <v>1746</v>
      </c>
      <c r="H416" t="s">
        <v>1798</v>
      </c>
      <c r="I416" t="b">
        <v>0</v>
      </c>
      <c r="J416" t="s">
        <v>1748</v>
      </c>
      <c r="K416" t="s">
        <v>1788</v>
      </c>
      <c r="L416" t="s">
        <v>1750</v>
      </c>
      <c r="M416">
        <v>969</v>
      </c>
      <c r="N416" t="b">
        <v>0</v>
      </c>
      <c r="O416">
        <v>50</v>
      </c>
      <c r="P416" t="s">
        <v>1752</v>
      </c>
      <c r="Q416" t="s">
        <v>1753</v>
      </c>
    </row>
    <row r="417" spans="1:18" x14ac:dyDescent="0.25">
      <c r="A417" t="s">
        <v>2432</v>
      </c>
      <c r="B417" t="s">
        <v>2144</v>
      </c>
      <c r="C417" t="s">
        <v>6</v>
      </c>
      <c r="D417" t="s">
        <v>2431</v>
      </c>
      <c r="E417" s="2">
        <v>44084</v>
      </c>
      <c r="F417">
        <v>1527</v>
      </c>
      <c r="G417" t="s">
        <v>1746</v>
      </c>
      <c r="H417" t="s">
        <v>1747</v>
      </c>
      <c r="I417" t="b">
        <v>0</v>
      </c>
      <c r="J417" t="s">
        <v>1761</v>
      </c>
      <c r="K417" t="s">
        <v>1793</v>
      </c>
      <c r="L417" t="s">
        <v>1766</v>
      </c>
      <c r="M417">
        <v>968</v>
      </c>
      <c r="N417" t="b">
        <v>0</v>
      </c>
      <c r="P417" t="s">
        <v>1752</v>
      </c>
      <c r="Q417" t="s">
        <v>1753</v>
      </c>
    </row>
    <row r="418" spans="1:18" x14ac:dyDescent="0.25">
      <c r="A418" t="s">
        <v>2433</v>
      </c>
      <c r="B418" t="s">
        <v>2269</v>
      </c>
      <c r="C418" t="s">
        <v>6</v>
      </c>
      <c r="D418" t="s">
        <v>1523</v>
      </c>
      <c r="E418" s="2">
        <v>39232</v>
      </c>
      <c r="F418">
        <v>6379</v>
      </c>
      <c r="G418" t="s">
        <v>1746</v>
      </c>
      <c r="H418" t="s">
        <v>1798</v>
      </c>
      <c r="I418" t="b">
        <v>1</v>
      </c>
      <c r="J418" t="s">
        <v>1748</v>
      </c>
      <c r="K418" t="s">
        <v>1824</v>
      </c>
      <c r="L418" t="s">
        <v>1817</v>
      </c>
      <c r="M418">
        <v>964</v>
      </c>
      <c r="N418" t="b">
        <v>0</v>
      </c>
      <c r="O418">
        <v>29</v>
      </c>
      <c r="P418" t="s">
        <v>1819</v>
      </c>
      <c r="Q418" t="s">
        <v>1753</v>
      </c>
      <c r="R418" t="s">
        <v>1828</v>
      </c>
    </row>
    <row r="419" spans="1:18" x14ac:dyDescent="0.25">
      <c r="A419" t="s">
        <v>2435</v>
      </c>
      <c r="B419" t="s">
        <v>2085</v>
      </c>
      <c r="C419" t="s">
        <v>4</v>
      </c>
      <c r="D419" t="s">
        <v>2434</v>
      </c>
      <c r="E419" s="2">
        <v>43152</v>
      </c>
      <c r="F419">
        <v>2459</v>
      </c>
      <c r="G419" t="s">
        <v>1746</v>
      </c>
      <c r="H419" t="s">
        <v>1747</v>
      </c>
      <c r="I419" t="b">
        <v>1</v>
      </c>
      <c r="J419" t="s">
        <v>1761</v>
      </c>
      <c r="K419" t="s">
        <v>1755</v>
      </c>
      <c r="L419" t="s">
        <v>1750</v>
      </c>
      <c r="M419">
        <v>960</v>
      </c>
      <c r="N419" t="b">
        <v>0</v>
      </c>
      <c r="O419">
        <v>124</v>
      </c>
      <c r="P419" t="s">
        <v>1752</v>
      </c>
      <c r="Q419" t="s">
        <v>1753</v>
      </c>
    </row>
    <row r="420" spans="1:18" x14ac:dyDescent="0.25">
      <c r="A420" t="s">
        <v>2436</v>
      </c>
      <c r="B420" t="s">
        <v>1810</v>
      </c>
      <c r="C420" t="s">
        <v>4</v>
      </c>
      <c r="D420" t="s">
        <v>721</v>
      </c>
      <c r="E420" s="2">
        <v>38660</v>
      </c>
      <c r="F420">
        <v>6951</v>
      </c>
      <c r="G420" t="s">
        <v>1746</v>
      </c>
      <c r="H420" t="s">
        <v>1805</v>
      </c>
      <c r="I420" t="b">
        <v>1</v>
      </c>
      <c r="J420" t="s">
        <v>1761</v>
      </c>
      <c r="K420" t="s">
        <v>2021</v>
      </c>
      <c r="L420" t="s">
        <v>1750</v>
      </c>
      <c r="M420">
        <v>960</v>
      </c>
      <c r="N420" t="b">
        <v>0</v>
      </c>
      <c r="O420">
        <v>52</v>
      </c>
      <c r="P420" t="s">
        <v>1752</v>
      </c>
      <c r="Q420" t="s">
        <v>1753</v>
      </c>
    </row>
    <row r="421" spans="1:18" x14ac:dyDescent="0.25">
      <c r="A421" t="s">
        <v>2437</v>
      </c>
      <c r="B421" t="s">
        <v>2035</v>
      </c>
      <c r="C421" t="s">
        <v>6</v>
      </c>
      <c r="D421" t="s">
        <v>857</v>
      </c>
      <c r="E421" s="2">
        <v>38014</v>
      </c>
      <c r="F421">
        <v>7597</v>
      </c>
      <c r="G421" t="s">
        <v>1746</v>
      </c>
      <c r="H421" t="s">
        <v>1798</v>
      </c>
      <c r="I421" t="b">
        <v>1</v>
      </c>
      <c r="J421" t="s">
        <v>1748</v>
      </c>
      <c r="K421" t="s">
        <v>1824</v>
      </c>
      <c r="L421" t="s">
        <v>1750</v>
      </c>
      <c r="M421">
        <v>958</v>
      </c>
      <c r="N421" t="b">
        <v>0</v>
      </c>
      <c r="O421">
        <v>47</v>
      </c>
      <c r="P421" t="s">
        <v>1819</v>
      </c>
      <c r="Q421" t="s">
        <v>1753</v>
      </c>
      <c r="R421" t="s">
        <v>1828</v>
      </c>
    </row>
    <row r="422" spans="1:18" x14ac:dyDescent="0.25">
      <c r="A422" t="s">
        <v>2438</v>
      </c>
      <c r="B422" t="s">
        <v>1810</v>
      </c>
      <c r="C422" t="s">
        <v>4</v>
      </c>
      <c r="D422" t="s">
        <v>1246</v>
      </c>
      <c r="E422" s="2">
        <v>43208</v>
      </c>
      <c r="F422">
        <v>2403</v>
      </c>
      <c r="G422" t="s">
        <v>1746</v>
      </c>
      <c r="H422" t="s">
        <v>1747</v>
      </c>
      <c r="I422" t="b">
        <v>0</v>
      </c>
      <c r="J422" t="s">
        <v>1748</v>
      </c>
      <c r="K422" t="s">
        <v>1868</v>
      </c>
      <c r="L422" t="s">
        <v>1750</v>
      </c>
      <c r="M422">
        <v>954</v>
      </c>
      <c r="N422" t="b">
        <v>0</v>
      </c>
      <c r="O422">
        <v>130</v>
      </c>
      <c r="P422" t="s">
        <v>1752</v>
      </c>
      <c r="Q422" t="s">
        <v>1753</v>
      </c>
      <c r="R422" t="s">
        <v>1759</v>
      </c>
    </row>
    <row r="423" spans="1:18" x14ac:dyDescent="0.25">
      <c r="A423" t="s">
        <v>2439</v>
      </c>
      <c r="B423" t="s">
        <v>1754</v>
      </c>
      <c r="C423" t="s">
        <v>4</v>
      </c>
      <c r="D423" t="s">
        <v>597</v>
      </c>
      <c r="E423" s="2">
        <v>42621</v>
      </c>
      <c r="F423">
        <v>2990</v>
      </c>
      <c r="G423" t="s">
        <v>1746</v>
      </c>
      <c r="H423" t="s">
        <v>1747</v>
      </c>
      <c r="I423" t="b">
        <v>1</v>
      </c>
      <c r="J423" t="s">
        <v>1748</v>
      </c>
      <c r="K423" t="s">
        <v>2021</v>
      </c>
      <c r="L423" t="s">
        <v>1756</v>
      </c>
      <c r="M423">
        <v>951</v>
      </c>
      <c r="N423" t="b">
        <v>1</v>
      </c>
      <c r="O423">
        <v>197</v>
      </c>
      <c r="P423" t="s">
        <v>1752</v>
      </c>
      <c r="Q423" t="s">
        <v>1753</v>
      </c>
      <c r="R423" t="s">
        <v>1759</v>
      </c>
    </row>
    <row r="424" spans="1:18" x14ac:dyDescent="0.25">
      <c r="A424" t="s">
        <v>2441</v>
      </c>
      <c r="B424" t="s">
        <v>1840</v>
      </c>
      <c r="C424" t="s">
        <v>4</v>
      </c>
      <c r="D424" t="s">
        <v>2440</v>
      </c>
      <c r="E424" s="2">
        <v>41796</v>
      </c>
      <c r="F424">
        <v>3815</v>
      </c>
      <c r="G424" t="s">
        <v>1746</v>
      </c>
      <c r="H424" t="s">
        <v>1747</v>
      </c>
      <c r="I424" t="b">
        <v>1</v>
      </c>
      <c r="J424" t="s">
        <v>1761</v>
      </c>
      <c r="K424" t="s">
        <v>1880</v>
      </c>
      <c r="L424" t="s">
        <v>1750</v>
      </c>
      <c r="M424">
        <v>949</v>
      </c>
      <c r="N424" t="b">
        <v>1</v>
      </c>
      <c r="O424">
        <v>94</v>
      </c>
      <c r="P424" t="s">
        <v>1752</v>
      </c>
      <c r="Q424" t="s">
        <v>1753</v>
      </c>
    </row>
    <row r="425" spans="1:18" x14ac:dyDescent="0.25">
      <c r="A425" t="s">
        <v>2443</v>
      </c>
      <c r="B425" t="s">
        <v>1907</v>
      </c>
      <c r="C425" t="s">
        <v>4</v>
      </c>
      <c r="D425" t="s">
        <v>2442</v>
      </c>
      <c r="E425" s="2">
        <v>43965</v>
      </c>
      <c r="F425">
        <v>1646</v>
      </c>
      <c r="G425" t="s">
        <v>1746</v>
      </c>
      <c r="H425" t="s">
        <v>1798</v>
      </c>
      <c r="I425" t="b">
        <v>0</v>
      </c>
      <c r="J425" t="s">
        <v>1761</v>
      </c>
      <c r="K425" t="s">
        <v>1825</v>
      </c>
      <c r="L425" t="s">
        <v>1817</v>
      </c>
      <c r="M425">
        <v>945</v>
      </c>
      <c r="N425" t="b">
        <v>1</v>
      </c>
      <c r="O425">
        <v>5611</v>
      </c>
      <c r="P425" t="s">
        <v>1819</v>
      </c>
      <c r="Q425" t="s">
        <v>1753</v>
      </c>
      <c r="R425" t="s">
        <v>1759</v>
      </c>
    </row>
    <row r="426" spans="1:18" x14ac:dyDescent="0.25">
      <c r="A426" t="s">
        <v>2444</v>
      </c>
      <c r="B426" t="s">
        <v>1768</v>
      </c>
      <c r="C426" t="s">
        <v>4</v>
      </c>
      <c r="D426" t="s">
        <v>700</v>
      </c>
      <c r="E426" s="2">
        <v>43754</v>
      </c>
      <c r="F426">
        <v>1857</v>
      </c>
      <c r="G426" t="s">
        <v>1746</v>
      </c>
      <c r="H426" t="s">
        <v>1747</v>
      </c>
      <c r="I426" t="b">
        <v>1</v>
      </c>
      <c r="J426" t="s">
        <v>1761</v>
      </c>
      <c r="K426" t="s">
        <v>1770</v>
      </c>
      <c r="L426" t="s">
        <v>1750</v>
      </c>
      <c r="M426">
        <v>945</v>
      </c>
      <c r="N426" t="b">
        <v>1</v>
      </c>
      <c r="O426">
        <v>152</v>
      </c>
      <c r="P426" t="s">
        <v>1752</v>
      </c>
      <c r="Q426" t="s">
        <v>1753</v>
      </c>
      <c r="R426" t="s">
        <v>1759</v>
      </c>
    </row>
    <row r="427" spans="1:18" x14ac:dyDescent="0.25">
      <c r="A427" t="s">
        <v>2446</v>
      </c>
      <c r="B427" t="s">
        <v>1820</v>
      </c>
      <c r="C427" t="s">
        <v>4</v>
      </c>
      <c r="D427" t="s">
        <v>2445</v>
      </c>
      <c r="E427" s="2">
        <v>38072</v>
      </c>
      <c r="F427">
        <v>7539</v>
      </c>
      <c r="G427" t="s">
        <v>1746</v>
      </c>
      <c r="H427" t="s">
        <v>1805</v>
      </c>
      <c r="I427" t="b">
        <v>1</v>
      </c>
      <c r="J427" t="s">
        <v>1761</v>
      </c>
      <c r="K427" t="s">
        <v>2021</v>
      </c>
      <c r="L427" t="s">
        <v>1756</v>
      </c>
      <c r="M427">
        <v>938</v>
      </c>
      <c r="N427" t="b">
        <v>0</v>
      </c>
      <c r="O427">
        <v>251</v>
      </c>
      <c r="P427" t="s">
        <v>1752</v>
      </c>
      <c r="Q427" t="s">
        <v>1753</v>
      </c>
    </row>
    <row r="428" spans="1:18" x14ac:dyDescent="0.25">
      <c r="A428" t="s">
        <v>2447</v>
      </c>
      <c r="B428" t="s">
        <v>1754</v>
      </c>
      <c r="C428" t="s">
        <v>6</v>
      </c>
      <c r="D428" t="s">
        <v>1137</v>
      </c>
      <c r="E428" s="2">
        <v>40777</v>
      </c>
      <c r="F428">
        <v>4834</v>
      </c>
      <c r="G428" t="s">
        <v>1746</v>
      </c>
      <c r="H428" t="s">
        <v>1747</v>
      </c>
      <c r="I428" t="b">
        <v>0</v>
      </c>
      <c r="J428" t="s">
        <v>1761</v>
      </c>
      <c r="K428" t="s">
        <v>1846</v>
      </c>
      <c r="L428" t="s">
        <v>1750</v>
      </c>
      <c r="M428">
        <v>931</v>
      </c>
      <c r="N428" t="b">
        <v>1</v>
      </c>
      <c r="O428">
        <v>82</v>
      </c>
      <c r="P428" t="s">
        <v>1752</v>
      </c>
      <c r="Q428" t="s">
        <v>1753</v>
      </c>
      <c r="R428" t="s">
        <v>2028</v>
      </c>
    </row>
    <row r="429" spans="1:18" x14ac:dyDescent="0.25">
      <c r="A429" t="s">
        <v>1706</v>
      </c>
      <c r="B429" t="s">
        <v>2235</v>
      </c>
      <c r="C429" t="s">
        <v>2338</v>
      </c>
      <c r="D429" t="s">
        <v>2448</v>
      </c>
      <c r="E429" s="2">
        <v>43522</v>
      </c>
      <c r="F429">
        <v>2089</v>
      </c>
      <c r="G429" t="s">
        <v>1746</v>
      </c>
      <c r="H429" t="s">
        <v>1747</v>
      </c>
      <c r="I429" t="b">
        <v>0</v>
      </c>
      <c r="J429" t="s">
        <v>1748</v>
      </c>
      <c r="K429" t="s">
        <v>1845</v>
      </c>
      <c r="L429" t="s">
        <v>1775</v>
      </c>
      <c r="M429">
        <v>928</v>
      </c>
      <c r="N429" t="b">
        <v>0</v>
      </c>
      <c r="P429" t="s">
        <v>2283</v>
      </c>
      <c r="Q429" t="s">
        <v>1705</v>
      </c>
    </row>
    <row r="430" spans="1:18" x14ac:dyDescent="0.25">
      <c r="A430" t="s">
        <v>2449</v>
      </c>
      <c r="B430" t="s">
        <v>1874</v>
      </c>
      <c r="C430" t="s">
        <v>6</v>
      </c>
      <c r="D430" t="s">
        <v>940</v>
      </c>
      <c r="E430" s="2">
        <v>38954</v>
      </c>
      <c r="F430">
        <v>6657</v>
      </c>
      <c r="G430" t="s">
        <v>1746</v>
      </c>
      <c r="H430" t="s">
        <v>1798</v>
      </c>
      <c r="I430" t="b">
        <v>0</v>
      </c>
      <c r="J430" t="s">
        <v>1748</v>
      </c>
      <c r="K430" t="s">
        <v>1853</v>
      </c>
      <c r="L430" t="s">
        <v>1766</v>
      </c>
      <c r="M430">
        <v>926</v>
      </c>
      <c r="N430" t="b">
        <v>0</v>
      </c>
      <c r="P430" t="s">
        <v>1752</v>
      </c>
      <c r="Q430" t="s">
        <v>1753</v>
      </c>
      <c r="R430" t="s">
        <v>1828</v>
      </c>
    </row>
    <row r="431" spans="1:18" x14ac:dyDescent="0.25">
      <c r="A431" t="s">
        <v>2451</v>
      </c>
      <c r="B431" t="s">
        <v>1840</v>
      </c>
      <c r="C431" t="s">
        <v>4</v>
      </c>
      <c r="D431" t="s">
        <v>2450</v>
      </c>
      <c r="E431" s="2">
        <v>40799</v>
      </c>
      <c r="F431">
        <v>4812</v>
      </c>
      <c r="G431" t="s">
        <v>1746</v>
      </c>
      <c r="H431" t="s">
        <v>1747</v>
      </c>
      <c r="I431" t="b">
        <v>1</v>
      </c>
      <c r="J431" t="s">
        <v>1761</v>
      </c>
      <c r="K431" t="s">
        <v>1776</v>
      </c>
      <c r="L431" t="s">
        <v>1817</v>
      </c>
      <c r="M431">
        <v>925</v>
      </c>
      <c r="N431" t="b">
        <v>0</v>
      </c>
      <c r="O431">
        <v>8907</v>
      </c>
      <c r="P431" t="s">
        <v>1819</v>
      </c>
      <c r="Q431" t="s">
        <v>1753</v>
      </c>
      <c r="R431" t="s">
        <v>1759</v>
      </c>
    </row>
    <row r="432" spans="1:18" x14ac:dyDescent="0.25">
      <c r="A432" t="s">
        <v>2452</v>
      </c>
      <c r="B432" t="s">
        <v>2453</v>
      </c>
      <c r="C432" t="s">
        <v>6</v>
      </c>
      <c r="D432" t="s">
        <v>79</v>
      </c>
      <c r="E432" s="2">
        <v>43354</v>
      </c>
      <c r="F432">
        <v>2257</v>
      </c>
      <c r="G432" t="s">
        <v>1746</v>
      </c>
      <c r="H432" t="s">
        <v>1798</v>
      </c>
      <c r="I432" t="b">
        <v>1</v>
      </c>
      <c r="J432" t="s">
        <v>1748</v>
      </c>
      <c r="K432" t="s">
        <v>2021</v>
      </c>
      <c r="L432" t="s">
        <v>1750</v>
      </c>
      <c r="M432">
        <v>918</v>
      </c>
      <c r="N432" t="b">
        <v>1</v>
      </c>
      <c r="O432">
        <v>164</v>
      </c>
      <c r="P432" t="s">
        <v>1752</v>
      </c>
      <c r="Q432" t="s">
        <v>1753</v>
      </c>
      <c r="R432" t="s">
        <v>1759</v>
      </c>
    </row>
    <row r="433" spans="1:18" x14ac:dyDescent="0.25">
      <c r="A433" t="s">
        <v>2455</v>
      </c>
      <c r="B433" t="s">
        <v>2456</v>
      </c>
      <c r="C433" t="s">
        <v>4</v>
      </c>
      <c r="D433" t="s">
        <v>2454</v>
      </c>
      <c r="E433" s="2">
        <v>43858</v>
      </c>
      <c r="F433">
        <v>1753</v>
      </c>
      <c r="G433" t="s">
        <v>1746</v>
      </c>
      <c r="H433" t="s">
        <v>1798</v>
      </c>
      <c r="I433" t="b">
        <v>0</v>
      </c>
      <c r="J433" t="s">
        <v>1748</v>
      </c>
      <c r="K433" t="s">
        <v>1846</v>
      </c>
      <c r="L433" t="s">
        <v>1750</v>
      </c>
      <c r="M433">
        <v>918</v>
      </c>
      <c r="N433" t="b">
        <v>1</v>
      </c>
      <c r="O433">
        <v>310</v>
      </c>
      <c r="P433" t="s">
        <v>1752</v>
      </c>
      <c r="Q433" t="s">
        <v>1753</v>
      </c>
    </row>
    <row r="434" spans="1:18" x14ac:dyDescent="0.25">
      <c r="A434" t="s">
        <v>2457</v>
      </c>
      <c r="B434" t="s">
        <v>1814</v>
      </c>
      <c r="C434" t="s">
        <v>4</v>
      </c>
      <c r="D434" t="s">
        <v>989</v>
      </c>
      <c r="E434" s="2">
        <v>40861</v>
      </c>
      <c r="F434">
        <v>4750</v>
      </c>
      <c r="G434" t="s">
        <v>1746</v>
      </c>
      <c r="H434" t="s">
        <v>1798</v>
      </c>
      <c r="I434" t="b">
        <v>1</v>
      </c>
      <c r="J434" t="s">
        <v>1761</v>
      </c>
      <c r="K434" t="s">
        <v>1824</v>
      </c>
      <c r="L434" t="s">
        <v>1817</v>
      </c>
      <c r="M434">
        <v>917</v>
      </c>
      <c r="N434" t="b">
        <v>0</v>
      </c>
      <c r="O434">
        <v>99</v>
      </c>
      <c r="P434" t="s">
        <v>1819</v>
      </c>
      <c r="Q434" t="s">
        <v>1753</v>
      </c>
      <c r="R434" t="s">
        <v>1828</v>
      </c>
    </row>
    <row r="435" spans="1:18" x14ac:dyDescent="0.25">
      <c r="A435" t="s">
        <v>2458</v>
      </c>
      <c r="B435" t="s">
        <v>1936</v>
      </c>
      <c r="C435" t="s">
        <v>4</v>
      </c>
      <c r="D435" t="s">
        <v>1096</v>
      </c>
      <c r="E435" s="2">
        <v>43873</v>
      </c>
      <c r="F435">
        <v>1738</v>
      </c>
      <c r="G435" t="s">
        <v>1746</v>
      </c>
      <c r="H435" t="s">
        <v>1747</v>
      </c>
      <c r="I435" t="b">
        <v>0</v>
      </c>
      <c r="J435" t="s">
        <v>1748</v>
      </c>
      <c r="K435" t="s">
        <v>1793</v>
      </c>
      <c r="L435" t="s">
        <v>1775</v>
      </c>
      <c r="M435">
        <v>915</v>
      </c>
      <c r="N435" t="b">
        <v>0</v>
      </c>
      <c r="P435" t="s">
        <v>1778</v>
      </c>
      <c r="Q435" t="s">
        <v>1779</v>
      </c>
    </row>
    <row r="436" spans="1:18" x14ac:dyDescent="0.25">
      <c r="A436" t="s">
        <v>2459</v>
      </c>
      <c r="B436" t="s">
        <v>1945</v>
      </c>
      <c r="C436" t="s">
        <v>6</v>
      </c>
      <c r="D436" t="s">
        <v>8</v>
      </c>
      <c r="E436" s="2">
        <v>37680</v>
      </c>
      <c r="F436">
        <v>7931</v>
      </c>
      <c r="G436" t="s">
        <v>1746</v>
      </c>
      <c r="H436" t="s">
        <v>1798</v>
      </c>
      <c r="I436" t="b">
        <v>1</v>
      </c>
      <c r="J436" t="s">
        <v>1748</v>
      </c>
      <c r="K436" t="s">
        <v>1776</v>
      </c>
      <c r="L436" t="s">
        <v>1750</v>
      </c>
      <c r="M436">
        <v>914</v>
      </c>
      <c r="N436" t="b">
        <v>1</v>
      </c>
      <c r="O436">
        <v>40</v>
      </c>
      <c r="P436" t="s">
        <v>1752</v>
      </c>
      <c r="Q436" t="s">
        <v>1753</v>
      </c>
    </row>
    <row r="437" spans="1:18" x14ac:dyDescent="0.25">
      <c r="A437" t="s">
        <v>2460</v>
      </c>
      <c r="B437" t="s">
        <v>1814</v>
      </c>
      <c r="C437" t="s">
        <v>4</v>
      </c>
      <c r="D437" t="s">
        <v>1072</v>
      </c>
      <c r="E437" s="2">
        <v>40967</v>
      </c>
      <c r="F437">
        <v>4644</v>
      </c>
      <c r="G437" t="s">
        <v>1746</v>
      </c>
      <c r="H437" t="s">
        <v>1798</v>
      </c>
      <c r="I437" t="b">
        <v>1</v>
      </c>
      <c r="J437" t="s">
        <v>1761</v>
      </c>
      <c r="K437" t="s">
        <v>1853</v>
      </c>
      <c r="L437" t="s">
        <v>1750</v>
      </c>
      <c r="M437">
        <v>914</v>
      </c>
      <c r="N437" t="b">
        <v>0</v>
      </c>
      <c r="O437">
        <v>39</v>
      </c>
      <c r="P437" t="s">
        <v>1752</v>
      </c>
      <c r="Q437" t="s">
        <v>1753</v>
      </c>
      <c r="R437" t="s">
        <v>1828</v>
      </c>
    </row>
    <row r="438" spans="1:18" x14ac:dyDescent="0.25">
      <c r="A438" t="s">
        <v>2462</v>
      </c>
      <c r="B438" t="s">
        <v>1840</v>
      </c>
      <c r="C438" t="s">
        <v>4</v>
      </c>
      <c r="D438" t="s">
        <v>2461</v>
      </c>
      <c r="E438" s="2">
        <v>41603</v>
      </c>
      <c r="F438">
        <v>4008</v>
      </c>
      <c r="G438" t="s">
        <v>1746</v>
      </c>
      <c r="H438" t="s">
        <v>1747</v>
      </c>
      <c r="I438" t="b">
        <v>1</v>
      </c>
      <c r="J438" t="s">
        <v>1748</v>
      </c>
      <c r="K438" t="s">
        <v>1856</v>
      </c>
      <c r="L438" t="s">
        <v>1756</v>
      </c>
      <c r="M438">
        <v>909</v>
      </c>
      <c r="N438" t="b">
        <v>0</v>
      </c>
      <c r="O438">
        <v>3564</v>
      </c>
      <c r="P438" t="s">
        <v>1752</v>
      </c>
      <c r="Q438" t="s">
        <v>1753</v>
      </c>
      <c r="R438" t="s">
        <v>1759</v>
      </c>
    </row>
    <row r="439" spans="1:18" x14ac:dyDescent="0.25">
      <c r="A439" t="s">
        <v>2463</v>
      </c>
      <c r="B439" t="s">
        <v>1754</v>
      </c>
      <c r="C439" t="s">
        <v>4</v>
      </c>
      <c r="D439" t="s">
        <v>1081</v>
      </c>
      <c r="E439" s="2">
        <v>42192</v>
      </c>
      <c r="F439">
        <v>3419</v>
      </c>
      <c r="G439" t="s">
        <v>1746</v>
      </c>
      <c r="H439" t="s">
        <v>1747</v>
      </c>
      <c r="I439" t="b">
        <v>1</v>
      </c>
      <c r="J439" t="s">
        <v>1748</v>
      </c>
      <c r="K439" t="s">
        <v>1824</v>
      </c>
      <c r="L439" t="s">
        <v>1750</v>
      </c>
      <c r="M439">
        <v>907</v>
      </c>
      <c r="N439" t="b">
        <v>0</v>
      </c>
      <c r="O439">
        <v>22</v>
      </c>
      <c r="P439" t="s">
        <v>1752</v>
      </c>
      <c r="Q439" t="s">
        <v>1753</v>
      </c>
    </row>
    <row r="440" spans="1:18" x14ac:dyDescent="0.25">
      <c r="A440" t="s">
        <v>2464</v>
      </c>
      <c r="B440" t="s">
        <v>1945</v>
      </c>
      <c r="C440" t="s">
        <v>6</v>
      </c>
      <c r="D440" t="s">
        <v>25</v>
      </c>
      <c r="E440" s="2">
        <v>41884</v>
      </c>
      <c r="F440">
        <v>3727</v>
      </c>
      <c r="G440" t="s">
        <v>1746</v>
      </c>
      <c r="H440" t="s">
        <v>1798</v>
      </c>
      <c r="I440" t="b">
        <v>0</v>
      </c>
      <c r="J440" t="s">
        <v>1748</v>
      </c>
      <c r="K440" t="s">
        <v>1770</v>
      </c>
      <c r="L440" t="s">
        <v>1817</v>
      </c>
      <c r="M440">
        <v>906</v>
      </c>
      <c r="N440" t="b">
        <v>1</v>
      </c>
      <c r="O440">
        <v>86</v>
      </c>
      <c r="P440" t="s">
        <v>1819</v>
      </c>
      <c r="Q440" t="s">
        <v>1753</v>
      </c>
      <c r="R440" t="s">
        <v>1759</v>
      </c>
    </row>
    <row r="441" spans="1:18" x14ac:dyDescent="0.25">
      <c r="A441" t="s">
        <v>2465</v>
      </c>
      <c r="B441" t="s">
        <v>2353</v>
      </c>
      <c r="C441" t="s">
        <v>4</v>
      </c>
      <c r="D441" t="s">
        <v>1313</v>
      </c>
      <c r="E441" s="2">
        <v>43634</v>
      </c>
      <c r="F441">
        <v>1977</v>
      </c>
      <c r="G441" t="s">
        <v>1746</v>
      </c>
      <c r="H441" t="s">
        <v>1798</v>
      </c>
      <c r="I441" t="b">
        <v>0</v>
      </c>
      <c r="J441" t="s">
        <v>1748</v>
      </c>
      <c r="K441" t="s">
        <v>1822</v>
      </c>
      <c r="L441" t="s">
        <v>1817</v>
      </c>
      <c r="M441">
        <v>906</v>
      </c>
      <c r="N441" t="b">
        <v>0</v>
      </c>
      <c r="O441">
        <v>9003</v>
      </c>
      <c r="P441" t="s">
        <v>1819</v>
      </c>
      <c r="Q441" t="s">
        <v>1753</v>
      </c>
      <c r="R441" t="s">
        <v>1759</v>
      </c>
    </row>
    <row r="442" spans="1:18" x14ac:dyDescent="0.25">
      <c r="A442" t="s">
        <v>2466</v>
      </c>
      <c r="B442" t="s">
        <v>1781</v>
      </c>
      <c r="C442" t="s">
        <v>4</v>
      </c>
      <c r="D442" t="s">
        <v>1298</v>
      </c>
      <c r="E442" s="2">
        <v>43599</v>
      </c>
      <c r="F442">
        <v>2012</v>
      </c>
      <c r="G442" t="s">
        <v>1746</v>
      </c>
      <c r="H442" t="s">
        <v>1805</v>
      </c>
      <c r="I442" t="b">
        <v>1</v>
      </c>
      <c r="J442" t="s">
        <v>1748</v>
      </c>
      <c r="K442" t="s">
        <v>1822</v>
      </c>
      <c r="L442" t="s">
        <v>1750</v>
      </c>
      <c r="M442">
        <v>905</v>
      </c>
      <c r="N442" t="b">
        <v>0</v>
      </c>
      <c r="O442">
        <v>252</v>
      </c>
      <c r="P442" t="s">
        <v>1752</v>
      </c>
      <c r="Q442" t="s">
        <v>1753</v>
      </c>
    </row>
    <row r="443" spans="1:18" x14ac:dyDescent="0.25">
      <c r="A443" t="s">
        <v>2468</v>
      </c>
      <c r="B443" t="s">
        <v>2144</v>
      </c>
      <c r="C443" t="s">
        <v>6</v>
      </c>
      <c r="D443" t="s">
        <v>2467</v>
      </c>
      <c r="E443" s="2">
        <v>43069</v>
      </c>
      <c r="F443">
        <v>2542</v>
      </c>
      <c r="G443" t="s">
        <v>1746</v>
      </c>
      <c r="H443" t="s">
        <v>1798</v>
      </c>
      <c r="I443" t="b">
        <v>0</v>
      </c>
      <c r="J443" t="s">
        <v>1748</v>
      </c>
      <c r="K443" t="s">
        <v>1986</v>
      </c>
      <c r="L443" t="s">
        <v>1817</v>
      </c>
      <c r="M443">
        <v>904</v>
      </c>
      <c r="N443" t="b">
        <v>1</v>
      </c>
      <c r="O443">
        <v>707</v>
      </c>
      <c r="P443" t="s">
        <v>1819</v>
      </c>
      <c r="Q443" t="s">
        <v>1753</v>
      </c>
      <c r="R443" t="s">
        <v>1828</v>
      </c>
    </row>
    <row r="444" spans="1:18" x14ac:dyDescent="0.25">
      <c r="A444" t="s">
        <v>2469</v>
      </c>
      <c r="B444" t="s">
        <v>1945</v>
      </c>
      <c r="C444" t="s">
        <v>6</v>
      </c>
      <c r="D444" t="s">
        <v>962</v>
      </c>
      <c r="E444" s="2">
        <v>42177</v>
      </c>
      <c r="F444">
        <v>3434</v>
      </c>
      <c r="G444" t="s">
        <v>1746</v>
      </c>
      <c r="H444" t="s">
        <v>1798</v>
      </c>
      <c r="I444" t="b">
        <v>0</v>
      </c>
      <c r="J444" t="s">
        <v>1748</v>
      </c>
      <c r="K444" t="s">
        <v>1757</v>
      </c>
      <c r="L444" t="s">
        <v>2102</v>
      </c>
      <c r="M444">
        <v>900</v>
      </c>
      <c r="N444" t="b">
        <v>0</v>
      </c>
      <c r="P444" t="s">
        <v>1752</v>
      </c>
      <c r="Q444" t="s">
        <v>1753</v>
      </c>
    </row>
    <row r="445" spans="1:18" x14ac:dyDescent="0.25">
      <c r="A445" t="s">
        <v>2470</v>
      </c>
      <c r="B445" t="s">
        <v>1847</v>
      </c>
      <c r="C445" t="s">
        <v>6</v>
      </c>
      <c r="D445" t="s">
        <v>869</v>
      </c>
      <c r="E445" s="2">
        <v>41620</v>
      </c>
      <c r="F445">
        <v>3991</v>
      </c>
      <c r="G445" t="s">
        <v>1746</v>
      </c>
      <c r="H445" t="s">
        <v>1798</v>
      </c>
      <c r="I445" t="b">
        <v>1</v>
      </c>
      <c r="J445" t="s">
        <v>1748</v>
      </c>
      <c r="K445" t="s">
        <v>1853</v>
      </c>
      <c r="L445" t="s">
        <v>1750</v>
      </c>
      <c r="M445">
        <v>895</v>
      </c>
      <c r="N445" t="b">
        <v>0</v>
      </c>
      <c r="O445">
        <v>27</v>
      </c>
      <c r="P445" t="s">
        <v>1752</v>
      </c>
      <c r="Q445" t="s">
        <v>1753</v>
      </c>
      <c r="R445" t="s">
        <v>1828</v>
      </c>
    </row>
    <row r="446" spans="1:18" x14ac:dyDescent="0.25">
      <c r="A446" t="s">
        <v>2472</v>
      </c>
      <c r="B446" t="s">
        <v>1840</v>
      </c>
      <c r="C446" t="s">
        <v>4</v>
      </c>
      <c r="D446" t="s">
        <v>2471</v>
      </c>
      <c r="E446" s="2">
        <v>39878</v>
      </c>
      <c r="F446">
        <v>5733</v>
      </c>
      <c r="G446" t="s">
        <v>1746</v>
      </c>
      <c r="H446" t="s">
        <v>1747</v>
      </c>
      <c r="I446" t="b">
        <v>1</v>
      </c>
      <c r="J446" t="s">
        <v>1761</v>
      </c>
      <c r="K446" t="s">
        <v>1755</v>
      </c>
      <c r="L446" t="s">
        <v>1817</v>
      </c>
      <c r="M446">
        <v>893</v>
      </c>
      <c r="N446" t="b">
        <v>0</v>
      </c>
      <c r="O446">
        <v>855</v>
      </c>
      <c r="P446" t="s">
        <v>1819</v>
      </c>
      <c r="Q446" t="s">
        <v>1753</v>
      </c>
      <c r="R446" t="s">
        <v>1759</v>
      </c>
    </row>
    <row r="447" spans="1:18" x14ac:dyDescent="0.25">
      <c r="A447" t="s">
        <v>2474</v>
      </c>
      <c r="B447" t="s">
        <v>2173</v>
      </c>
      <c r="C447" t="s">
        <v>6</v>
      </c>
      <c r="D447" t="s">
        <v>2473</v>
      </c>
      <c r="E447" s="2">
        <v>44006</v>
      </c>
      <c r="F447">
        <v>1605</v>
      </c>
      <c r="G447" t="s">
        <v>1746</v>
      </c>
      <c r="H447" t="s">
        <v>1747</v>
      </c>
      <c r="I447" t="b">
        <v>1</v>
      </c>
      <c r="J447" t="s">
        <v>1748</v>
      </c>
      <c r="K447" t="s">
        <v>1891</v>
      </c>
      <c r="L447" t="s">
        <v>1750</v>
      </c>
      <c r="M447">
        <v>893</v>
      </c>
      <c r="N447" t="b">
        <v>0</v>
      </c>
      <c r="O447">
        <v>77</v>
      </c>
      <c r="P447" t="s">
        <v>1752</v>
      </c>
      <c r="Q447" t="s">
        <v>1753</v>
      </c>
    </row>
    <row r="448" spans="1:18" x14ac:dyDescent="0.25">
      <c r="A448" t="s">
        <v>2475</v>
      </c>
      <c r="B448" t="s">
        <v>1754</v>
      </c>
      <c r="C448" t="s">
        <v>4</v>
      </c>
      <c r="D448" t="s">
        <v>1301</v>
      </c>
      <c r="E448" s="2">
        <v>43669</v>
      </c>
      <c r="F448">
        <v>1942</v>
      </c>
      <c r="G448" t="s">
        <v>1746</v>
      </c>
      <c r="H448" t="s">
        <v>1798</v>
      </c>
      <c r="I448" t="b">
        <v>1</v>
      </c>
      <c r="J448" t="s">
        <v>1748</v>
      </c>
      <c r="K448" t="s">
        <v>1822</v>
      </c>
      <c r="L448" t="s">
        <v>1750</v>
      </c>
      <c r="M448">
        <v>891</v>
      </c>
      <c r="N448" t="b">
        <v>0</v>
      </c>
      <c r="O448">
        <v>532</v>
      </c>
      <c r="P448" t="s">
        <v>1752</v>
      </c>
      <c r="Q448" t="s">
        <v>1753</v>
      </c>
      <c r="R448" t="s">
        <v>1828</v>
      </c>
    </row>
    <row r="449" spans="1:18" x14ac:dyDescent="0.25">
      <c r="A449" t="s">
        <v>2476</v>
      </c>
      <c r="B449" t="s">
        <v>1876</v>
      </c>
      <c r="C449" t="s">
        <v>4</v>
      </c>
      <c r="D449" t="s">
        <v>1653</v>
      </c>
      <c r="E449" s="2">
        <v>44217</v>
      </c>
      <c r="F449">
        <v>1394</v>
      </c>
      <c r="G449" t="s">
        <v>1746</v>
      </c>
      <c r="H449" t="s">
        <v>1747</v>
      </c>
      <c r="I449" t="b">
        <v>1</v>
      </c>
      <c r="J449" t="s">
        <v>1748</v>
      </c>
      <c r="K449" t="s">
        <v>1755</v>
      </c>
      <c r="L449" t="s">
        <v>1750</v>
      </c>
      <c r="M449">
        <v>891</v>
      </c>
      <c r="N449" t="b">
        <v>0</v>
      </c>
      <c r="O449">
        <v>101</v>
      </c>
      <c r="P449" t="s">
        <v>1752</v>
      </c>
      <c r="Q449" t="s">
        <v>1753</v>
      </c>
    </row>
    <row r="450" spans="1:18" x14ac:dyDescent="0.25">
      <c r="A450" t="s">
        <v>2478</v>
      </c>
      <c r="B450" t="s">
        <v>2177</v>
      </c>
      <c r="C450" t="s">
        <v>4</v>
      </c>
      <c r="D450" t="s">
        <v>2477</v>
      </c>
      <c r="E450" s="2">
        <v>43055</v>
      </c>
      <c r="F450">
        <v>2556</v>
      </c>
      <c r="G450" t="s">
        <v>1746</v>
      </c>
      <c r="H450" t="s">
        <v>1747</v>
      </c>
      <c r="I450" t="b">
        <v>1</v>
      </c>
      <c r="J450" t="s">
        <v>1748</v>
      </c>
      <c r="K450" t="s">
        <v>1913</v>
      </c>
      <c r="L450" t="s">
        <v>1817</v>
      </c>
      <c r="M450">
        <v>891</v>
      </c>
      <c r="N450" t="b">
        <v>0</v>
      </c>
      <c r="O450">
        <v>628</v>
      </c>
      <c r="P450" t="s">
        <v>1819</v>
      </c>
      <c r="Q450" t="s">
        <v>1753</v>
      </c>
      <c r="R450" t="s">
        <v>1759</v>
      </c>
    </row>
    <row r="451" spans="1:18" x14ac:dyDescent="0.25">
      <c r="A451" t="s">
        <v>2479</v>
      </c>
      <c r="B451" t="s">
        <v>2269</v>
      </c>
      <c r="C451" t="s">
        <v>6</v>
      </c>
      <c r="D451" t="s">
        <v>1535</v>
      </c>
      <c r="E451" s="2">
        <v>40443</v>
      </c>
      <c r="F451">
        <v>5168</v>
      </c>
      <c r="G451" t="s">
        <v>1746</v>
      </c>
      <c r="H451" t="s">
        <v>1798</v>
      </c>
      <c r="I451" t="b">
        <v>1</v>
      </c>
      <c r="J451" t="s">
        <v>1748</v>
      </c>
      <c r="K451" t="s">
        <v>1824</v>
      </c>
      <c r="L451" t="s">
        <v>1817</v>
      </c>
      <c r="M451">
        <v>890</v>
      </c>
      <c r="N451" t="b">
        <v>0</v>
      </c>
      <c r="O451">
        <v>179</v>
      </c>
      <c r="P451" t="s">
        <v>1819</v>
      </c>
      <c r="Q451" t="s">
        <v>1753</v>
      </c>
      <c r="R451" t="s">
        <v>1828</v>
      </c>
    </row>
    <row r="452" spans="1:18" x14ac:dyDescent="0.25">
      <c r="A452" t="s">
        <v>2480</v>
      </c>
      <c r="B452" t="s">
        <v>1847</v>
      </c>
      <c r="C452" t="s">
        <v>6</v>
      </c>
      <c r="D452" t="s">
        <v>829</v>
      </c>
      <c r="E452" s="2">
        <v>38456</v>
      </c>
      <c r="F452">
        <v>7155</v>
      </c>
      <c r="G452" t="s">
        <v>1746</v>
      </c>
      <c r="H452" t="s">
        <v>1798</v>
      </c>
      <c r="I452" t="b">
        <v>1</v>
      </c>
      <c r="J452" t="s">
        <v>1748</v>
      </c>
      <c r="K452" t="s">
        <v>1863</v>
      </c>
      <c r="L452" t="s">
        <v>1750</v>
      </c>
      <c r="M452">
        <v>888</v>
      </c>
      <c r="N452" t="b">
        <v>0</v>
      </c>
      <c r="O452">
        <v>38</v>
      </c>
      <c r="P452" t="s">
        <v>1819</v>
      </c>
      <c r="Q452" t="s">
        <v>1753</v>
      </c>
      <c r="R452" t="s">
        <v>1828</v>
      </c>
    </row>
    <row r="453" spans="1:18" x14ac:dyDescent="0.25">
      <c r="A453" t="s">
        <v>1626</v>
      </c>
      <c r="B453" t="s">
        <v>1810</v>
      </c>
      <c r="C453" t="s">
        <v>4</v>
      </c>
      <c r="D453" t="s">
        <v>1627</v>
      </c>
      <c r="E453" s="2">
        <v>42438</v>
      </c>
      <c r="F453">
        <v>3173</v>
      </c>
      <c r="G453" t="s">
        <v>1746</v>
      </c>
      <c r="H453" t="s">
        <v>1747</v>
      </c>
      <c r="I453" t="b">
        <v>1</v>
      </c>
      <c r="J453" t="s">
        <v>1748</v>
      </c>
      <c r="K453" t="s">
        <v>1776</v>
      </c>
      <c r="L453" t="s">
        <v>1756</v>
      </c>
      <c r="M453">
        <v>887</v>
      </c>
      <c r="N453" t="b">
        <v>0</v>
      </c>
      <c r="O453">
        <v>58</v>
      </c>
      <c r="P453" t="s">
        <v>1752</v>
      </c>
      <c r="Q453" t="s">
        <v>1753</v>
      </c>
      <c r="R453" t="s">
        <v>1759</v>
      </c>
    </row>
    <row r="454" spans="1:18" x14ac:dyDescent="0.25">
      <c r="A454" t="s">
        <v>2482</v>
      </c>
      <c r="B454" t="s">
        <v>2483</v>
      </c>
      <c r="C454" t="s">
        <v>4</v>
      </c>
      <c r="D454" t="s">
        <v>2481</v>
      </c>
      <c r="E454" s="2">
        <v>43145</v>
      </c>
      <c r="F454">
        <v>2466</v>
      </c>
      <c r="G454" t="s">
        <v>1746</v>
      </c>
      <c r="H454" t="s">
        <v>1747</v>
      </c>
      <c r="I454" t="b">
        <v>1</v>
      </c>
      <c r="J454" t="s">
        <v>1761</v>
      </c>
      <c r="K454" t="s">
        <v>1822</v>
      </c>
      <c r="L454" t="s">
        <v>1817</v>
      </c>
      <c r="M454">
        <v>886</v>
      </c>
      <c r="N454" t="b">
        <v>0</v>
      </c>
      <c r="O454">
        <v>10057</v>
      </c>
      <c r="P454" t="s">
        <v>1819</v>
      </c>
      <c r="Q454" t="s">
        <v>1753</v>
      </c>
      <c r="R454" t="s">
        <v>1759</v>
      </c>
    </row>
    <row r="455" spans="1:18" x14ac:dyDescent="0.25">
      <c r="A455" t="s">
        <v>2485</v>
      </c>
      <c r="B455" t="s">
        <v>2235</v>
      </c>
      <c r="C455" t="s">
        <v>186</v>
      </c>
      <c r="D455" t="s">
        <v>2484</v>
      </c>
      <c r="E455" s="2">
        <v>43797</v>
      </c>
      <c r="F455">
        <v>1814</v>
      </c>
      <c r="G455" t="s">
        <v>1746</v>
      </c>
      <c r="H455" t="s">
        <v>1747</v>
      </c>
      <c r="I455" t="b">
        <v>0</v>
      </c>
      <c r="J455" t="s">
        <v>1748</v>
      </c>
      <c r="K455" t="s">
        <v>1880</v>
      </c>
      <c r="L455" t="s">
        <v>1775</v>
      </c>
      <c r="M455">
        <v>884</v>
      </c>
      <c r="N455" t="b">
        <v>0</v>
      </c>
      <c r="P455" t="s">
        <v>2283</v>
      </c>
      <c r="Q455" t="s">
        <v>1705</v>
      </c>
    </row>
    <row r="456" spans="1:18" x14ac:dyDescent="0.25">
      <c r="A456" t="s">
        <v>2486</v>
      </c>
      <c r="B456" t="s">
        <v>2180</v>
      </c>
      <c r="C456" t="s">
        <v>11</v>
      </c>
      <c r="D456" t="s">
        <v>904</v>
      </c>
      <c r="E456" s="2">
        <v>39189</v>
      </c>
      <c r="F456">
        <v>6422</v>
      </c>
      <c r="G456" t="s">
        <v>1746</v>
      </c>
      <c r="H456" t="s">
        <v>1798</v>
      </c>
      <c r="I456" t="b">
        <v>0</v>
      </c>
      <c r="J456" t="s">
        <v>1748</v>
      </c>
      <c r="K456" t="s">
        <v>1913</v>
      </c>
      <c r="L456" t="s">
        <v>1766</v>
      </c>
      <c r="M456">
        <v>883</v>
      </c>
      <c r="N456" t="b">
        <v>0</v>
      </c>
      <c r="P456" t="s">
        <v>1752</v>
      </c>
      <c r="Q456" t="s">
        <v>1753</v>
      </c>
      <c r="R456" t="s">
        <v>1772</v>
      </c>
    </row>
    <row r="457" spans="1:18" x14ac:dyDescent="0.25">
      <c r="A457" t="s">
        <v>2487</v>
      </c>
      <c r="B457" t="s">
        <v>1810</v>
      </c>
      <c r="C457" t="s">
        <v>4</v>
      </c>
      <c r="D457" t="s">
        <v>1232</v>
      </c>
      <c r="E457" s="2">
        <v>40532</v>
      </c>
      <c r="F457">
        <v>5079</v>
      </c>
      <c r="G457" t="s">
        <v>1746</v>
      </c>
      <c r="H457" t="s">
        <v>1747</v>
      </c>
      <c r="I457" t="b">
        <v>0</v>
      </c>
      <c r="J457" t="s">
        <v>1748</v>
      </c>
      <c r="K457" t="s">
        <v>1808</v>
      </c>
      <c r="L457" t="s">
        <v>2102</v>
      </c>
      <c r="M457">
        <v>881</v>
      </c>
      <c r="N457" t="b">
        <v>0</v>
      </c>
      <c r="P457" t="s">
        <v>2070</v>
      </c>
      <c r="Q457" t="s">
        <v>1753</v>
      </c>
    </row>
    <row r="458" spans="1:18" x14ac:dyDescent="0.25">
      <c r="A458" t="s">
        <v>2488</v>
      </c>
      <c r="B458" t="s">
        <v>1829</v>
      </c>
      <c r="C458" t="s">
        <v>4</v>
      </c>
      <c r="D458" t="s">
        <v>642</v>
      </c>
      <c r="E458" s="2">
        <v>41037</v>
      </c>
      <c r="F458">
        <v>4574</v>
      </c>
      <c r="G458" t="s">
        <v>1746</v>
      </c>
      <c r="H458" t="s">
        <v>1798</v>
      </c>
      <c r="I458" t="b">
        <v>1</v>
      </c>
      <c r="J458" t="s">
        <v>1761</v>
      </c>
      <c r="K458" t="s">
        <v>1755</v>
      </c>
      <c r="L458" t="s">
        <v>1817</v>
      </c>
      <c r="M458">
        <v>879</v>
      </c>
      <c r="N458" t="b">
        <v>0</v>
      </c>
      <c r="O458">
        <v>92</v>
      </c>
      <c r="P458" t="s">
        <v>1819</v>
      </c>
      <c r="Q458" t="s">
        <v>1753</v>
      </c>
    </row>
    <row r="459" spans="1:18" x14ac:dyDescent="0.25">
      <c r="A459" t="s">
        <v>2489</v>
      </c>
      <c r="B459" t="s">
        <v>2060</v>
      </c>
      <c r="C459" t="s">
        <v>6</v>
      </c>
      <c r="D459" t="s">
        <v>95</v>
      </c>
      <c r="E459" s="2">
        <v>43495</v>
      </c>
      <c r="F459">
        <v>2116</v>
      </c>
      <c r="G459" t="s">
        <v>1746</v>
      </c>
      <c r="H459" t="s">
        <v>1747</v>
      </c>
      <c r="I459" t="b">
        <v>1</v>
      </c>
      <c r="J459" t="s">
        <v>1761</v>
      </c>
      <c r="K459" t="s">
        <v>1765</v>
      </c>
      <c r="L459" t="s">
        <v>1750</v>
      </c>
      <c r="M459">
        <v>874</v>
      </c>
      <c r="N459" t="b">
        <v>0</v>
      </c>
      <c r="O459">
        <v>1404</v>
      </c>
      <c r="P459" t="s">
        <v>1752</v>
      </c>
      <c r="Q459" t="s">
        <v>1753</v>
      </c>
      <c r="R459" t="s">
        <v>1759</v>
      </c>
    </row>
    <row r="460" spans="1:18" x14ac:dyDescent="0.25">
      <c r="A460" t="s">
        <v>2490</v>
      </c>
      <c r="B460" t="s">
        <v>1754</v>
      </c>
      <c r="C460" t="s">
        <v>4</v>
      </c>
      <c r="D460" t="s">
        <v>1114</v>
      </c>
      <c r="E460" s="2">
        <v>41010</v>
      </c>
      <c r="F460">
        <v>4601</v>
      </c>
      <c r="G460" t="s">
        <v>1746</v>
      </c>
      <c r="H460" t="s">
        <v>1747</v>
      </c>
      <c r="I460" t="b">
        <v>1</v>
      </c>
      <c r="J460" t="s">
        <v>1761</v>
      </c>
      <c r="K460" t="s">
        <v>1863</v>
      </c>
      <c r="L460" t="s">
        <v>1750</v>
      </c>
      <c r="M460">
        <v>869</v>
      </c>
      <c r="N460" t="b">
        <v>0</v>
      </c>
      <c r="O460">
        <v>505</v>
      </c>
      <c r="P460" t="s">
        <v>1752</v>
      </c>
      <c r="Q460" t="s">
        <v>1753</v>
      </c>
    </row>
    <row r="461" spans="1:18" x14ac:dyDescent="0.25">
      <c r="A461" t="s">
        <v>2491</v>
      </c>
      <c r="B461" t="s">
        <v>1876</v>
      </c>
      <c r="C461" t="s">
        <v>4</v>
      </c>
      <c r="D461" t="s">
        <v>744</v>
      </c>
      <c r="E461" s="2">
        <v>44139</v>
      </c>
      <c r="F461">
        <v>1472</v>
      </c>
      <c r="G461" t="s">
        <v>1746</v>
      </c>
      <c r="H461" t="s">
        <v>1747</v>
      </c>
      <c r="I461" t="b">
        <v>0</v>
      </c>
      <c r="J461" t="s">
        <v>1748</v>
      </c>
      <c r="K461" t="s">
        <v>1809</v>
      </c>
      <c r="L461" t="s">
        <v>1750</v>
      </c>
      <c r="M461">
        <v>867</v>
      </c>
      <c r="N461" t="b">
        <v>1</v>
      </c>
      <c r="O461">
        <v>409</v>
      </c>
      <c r="P461" t="s">
        <v>1752</v>
      </c>
      <c r="Q461" t="s">
        <v>1753</v>
      </c>
      <c r="R461" t="s">
        <v>1759</v>
      </c>
    </row>
    <row r="462" spans="1:18" x14ac:dyDescent="0.25">
      <c r="A462" t="s">
        <v>2493</v>
      </c>
      <c r="B462" t="s">
        <v>2494</v>
      </c>
      <c r="C462" t="s">
        <v>6</v>
      </c>
      <c r="D462" t="s">
        <v>2492</v>
      </c>
      <c r="E462" s="2">
        <v>40533</v>
      </c>
      <c r="F462">
        <v>5078</v>
      </c>
      <c r="G462" t="s">
        <v>1746</v>
      </c>
      <c r="H462" t="s">
        <v>1747</v>
      </c>
      <c r="I462" t="b">
        <v>0</v>
      </c>
      <c r="J462" t="s">
        <v>1748</v>
      </c>
      <c r="K462" t="s">
        <v>1755</v>
      </c>
      <c r="L462" t="s">
        <v>1766</v>
      </c>
      <c r="M462">
        <v>867</v>
      </c>
      <c r="N462" t="b">
        <v>0</v>
      </c>
      <c r="P462" t="s">
        <v>1752</v>
      </c>
      <c r="Q462" t="s">
        <v>1753</v>
      </c>
      <c r="R462" t="s">
        <v>1772</v>
      </c>
    </row>
    <row r="463" spans="1:18" x14ac:dyDescent="0.25">
      <c r="A463" t="s">
        <v>2496</v>
      </c>
      <c r="B463" t="s">
        <v>1803</v>
      </c>
      <c r="C463" t="s">
        <v>6</v>
      </c>
      <c r="D463" t="s">
        <v>2495</v>
      </c>
      <c r="E463" s="2">
        <v>39518</v>
      </c>
      <c r="F463">
        <v>6093</v>
      </c>
      <c r="G463" t="s">
        <v>1746</v>
      </c>
      <c r="H463" t="s">
        <v>1798</v>
      </c>
      <c r="I463" t="b">
        <v>0</v>
      </c>
      <c r="J463" t="s">
        <v>1761</v>
      </c>
      <c r="K463" t="s">
        <v>1822</v>
      </c>
      <c r="L463" t="s">
        <v>1766</v>
      </c>
      <c r="M463">
        <v>866</v>
      </c>
      <c r="N463" t="b">
        <v>0</v>
      </c>
      <c r="P463" t="s">
        <v>1827</v>
      </c>
      <c r="Q463" t="s">
        <v>1753</v>
      </c>
      <c r="R463" t="s">
        <v>1828</v>
      </c>
    </row>
    <row r="464" spans="1:18" x14ac:dyDescent="0.25">
      <c r="A464" t="s">
        <v>2498</v>
      </c>
      <c r="B464" t="s">
        <v>1803</v>
      </c>
      <c r="C464" t="s">
        <v>572</v>
      </c>
      <c r="D464" t="s">
        <v>2497</v>
      </c>
      <c r="E464" s="2">
        <v>38446</v>
      </c>
      <c r="F464">
        <v>7165</v>
      </c>
      <c r="G464" t="s">
        <v>1746</v>
      </c>
      <c r="H464" t="s">
        <v>1798</v>
      </c>
      <c r="I464" t="b">
        <v>0</v>
      </c>
      <c r="J464" t="s">
        <v>1761</v>
      </c>
      <c r="K464" t="s">
        <v>1755</v>
      </c>
      <c r="L464" t="s">
        <v>1750</v>
      </c>
      <c r="M464">
        <v>861</v>
      </c>
      <c r="N464" t="b">
        <v>0</v>
      </c>
      <c r="O464">
        <v>200</v>
      </c>
      <c r="P464" t="s">
        <v>1752</v>
      </c>
      <c r="Q464" t="s">
        <v>1753</v>
      </c>
      <c r="R464" t="s">
        <v>1828</v>
      </c>
    </row>
    <row r="465" spans="1:18" x14ac:dyDescent="0.25">
      <c r="A465" t="s">
        <v>2500</v>
      </c>
      <c r="B465" t="s">
        <v>2150</v>
      </c>
      <c r="C465" t="s">
        <v>4</v>
      </c>
      <c r="D465" t="s">
        <v>2499</v>
      </c>
      <c r="E465" s="2">
        <v>43634</v>
      </c>
      <c r="F465">
        <v>1977</v>
      </c>
      <c r="G465" t="s">
        <v>1746</v>
      </c>
      <c r="H465" t="s">
        <v>1747</v>
      </c>
      <c r="I465" t="b">
        <v>0</v>
      </c>
      <c r="J465" t="s">
        <v>1748</v>
      </c>
      <c r="K465" t="s">
        <v>1822</v>
      </c>
      <c r="L465" t="s">
        <v>1817</v>
      </c>
      <c r="M465">
        <v>858</v>
      </c>
      <c r="N465" t="b">
        <v>0</v>
      </c>
      <c r="O465">
        <v>9003</v>
      </c>
      <c r="P465" t="s">
        <v>1819</v>
      </c>
      <c r="Q465" t="s">
        <v>1753</v>
      </c>
      <c r="R465" t="s">
        <v>1759</v>
      </c>
    </row>
    <row r="466" spans="1:18" x14ac:dyDescent="0.25">
      <c r="A466" t="s">
        <v>2502</v>
      </c>
      <c r="B466" t="s">
        <v>2503</v>
      </c>
      <c r="C466" t="s">
        <v>4</v>
      </c>
      <c r="D466" t="s">
        <v>2501</v>
      </c>
      <c r="E466" s="2">
        <v>43893</v>
      </c>
      <c r="F466">
        <v>1718</v>
      </c>
      <c r="G466" t="s">
        <v>1746</v>
      </c>
      <c r="H466" t="s">
        <v>1747</v>
      </c>
      <c r="I466" t="b">
        <v>0</v>
      </c>
      <c r="J466" t="s">
        <v>1748</v>
      </c>
      <c r="K466" t="s">
        <v>1824</v>
      </c>
      <c r="L466" t="s">
        <v>1817</v>
      </c>
      <c r="M466">
        <v>850</v>
      </c>
      <c r="N466" t="b">
        <v>1</v>
      </c>
      <c r="O466">
        <v>5611</v>
      </c>
      <c r="P466" t="s">
        <v>1819</v>
      </c>
      <c r="Q466" t="s">
        <v>1753</v>
      </c>
      <c r="R466" t="s">
        <v>1759</v>
      </c>
    </row>
    <row r="467" spans="1:18" x14ac:dyDescent="0.25">
      <c r="A467" t="s">
        <v>2504</v>
      </c>
      <c r="B467" t="s">
        <v>1754</v>
      </c>
      <c r="C467" t="s">
        <v>6</v>
      </c>
      <c r="D467" t="s">
        <v>1166</v>
      </c>
      <c r="E467" s="2">
        <v>40086</v>
      </c>
      <c r="F467">
        <v>5525</v>
      </c>
      <c r="G467" t="s">
        <v>1746</v>
      </c>
      <c r="H467" t="s">
        <v>2505</v>
      </c>
      <c r="I467" t="b">
        <v>1</v>
      </c>
      <c r="J467" t="s">
        <v>1761</v>
      </c>
      <c r="K467" t="s">
        <v>1787</v>
      </c>
      <c r="L467" t="s">
        <v>1750</v>
      </c>
      <c r="M467">
        <v>849</v>
      </c>
      <c r="N467" t="b">
        <v>0</v>
      </c>
      <c r="O467">
        <v>86</v>
      </c>
      <c r="P467" t="s">
        <v>1752</v>
      </c>
      <c r="Q467" t="s">
        <v>1753</v>
      </c>
    </row>
    <row r="468" spans="1:18" x14ac:dyDescent="0.25">
      <c r="A468" t="s">
        <v>1032</v>
      </c>
      <c r="B468" t="s">
        <v>1814</v>
      </c>
      <c r="C468" t="s">
        <v>4</v>
      </c>
      <c r="D468" t="s">
        <v>1033</v>
      </c>
      <c r="E468" s="2">
        <v>41978</v>
      </c>
      <c r="F468">
        <v>3633</v>
      </c>
      <c r="G468" t="s">
        <v>1746</v>
      </c>
      <c r="H468" t="s">
        <v>1798</v>
      </c>
      <c r="I468" t="b">
        <v>1</v>
      </c>
      <c r="J468" t="s">
        <v>1748</v>
      </c>
      <c r="K468" t="s">
        <v>1770</v>
      </c>
      <c r="L468" t="s">
        <v>1750</v>
      </c>
      <c r="M468">
        <v>848</v>
      </c>
      <c r="N468" t="b">
        <v>0</v>
      </c>
      <c r="O468">
        <v>11</v>
      </c>
      <c r="P468" t="s">
        <v>1752</v>
      </c>
      <c r="Q468" t="s">
        <v>1753</v>
      </c>
      <c r="R468" t="s">
        <v>1828</v>
      </c>
    </row>
    <row r="469" spans="1:18" x14ac:dyDescent="0.25">
      <c r="A469" t="s">
        <v>2507</v>
      </c>
      <c r="B469" t="s">
        <v>1803</v>
      </c>
      <c r="C469" t="s">
        <v>6</v>
      </c>
      <c r="D469" t="s">
        <v>2506</v>
      </c>
      <c r="E469" s="2">
        <v>40779</v>
      </c>
      <c r="F469">
        <v>4832</v>
      </c>
      <c r="G469" t="s">
        <v>1746</v>
      </c>
      <c r="H469" t="s">
        <v>1798</v>
      </c>
      <c r="I469" t="b">
        <v>1</v>
      </c>
      <c r="J469" t="s">
        <v>1761</v>
      </c>
      <c r="K469" t="s">
        <v>1863</v>
      </c>
      <c r="L469" t="s">
        <v>1817</v>
      </c>
      <c r="M469">
        <v>845</v>
      </c>
      <c r="N469" t="b">
        <v>0</v>
      </c>
      <c r="O469">
        <v>519</v>
      </c>
      <c r="P469" t="s">
        <v>1819</v>
      </c>
      <c r="Q469" t="s">
        <v>1753</v>
      </c>
      <c r="R469" t="s">
        <v>1828</v>
      </c>
    </row>
    <row r="470" spans="1:18" x14ac:dyDescent="0.25">
      <c r="A470" t="s">
        <v>2508</v>
      </c>
      <c r="B470" t="s">
        <v>1876</v>
      </c>
      <c r="C470" t="s">
        <v>4</v>
      </c>
      <c r="D470" t="s">
        <v>815</v>
      </c>
      <c r="E470" s="2">
        <v>44379</v>
      </c>
      <c r="F470">
        <v>1232</v>
      </c>
      <c r="G470" t="s">
        <v>1746</v>
      </c>
      <c r="H470" t="s">
        <v>1747</v>
      </c>
      <c r="I470" t="b">
        <v>0</v>
      </c>
      <c r="J470" t="s">
        <v>1748</v>
      </c>
      <c r="K470" t="s">
        <v>1853</v>
      </c>
      <c r="L470" t="s">
        <v>1766</v>
      </c>
      <c r="M470">
        <v>844</v>
      </c>
      <c r="N470" t="b">
        <v>0</v>
      </c>
      <c r="P470" t="s">
        <v>2070</v>
      </c>
      <c r="Q470" t="s">
        <v>1753</v>
      </c>
    </row>
    <row r="471" spans="1:18" x14ac:dyDescent="0.25">
      <c r="A471" t="s">
        <v>2509</v>
      </c>
      <c r="B471" t="s">
        <v>1876</v>
      </c>
      <c r="C471" t="s">
        <v>4</v>
      </c>
      <c r="D471" t="s">
        <v>1310</v>
      </c>
      <c r="E471" s="2">
        <v>43732</v>
      </c>
      <c r="F471">
        <v>1879</v>
      </c>
      <c r="G471" t="s">
        <v>1746</v>
      </c>
      <c r="H471" t="s">
        <v>1747</v>
      </c>
      <c r="I471" t="b">
        <v>1</v>
      </c>
      <c r="J471" t="s">
        <v>1748</v>
      </c>
      <c r="K471" t="s">
        <v>1824</v>
      </c>
      <c r="L471" t="s">
        <v>1750</v>
      </c>
      <c r="M471">
        <v>841</v>
      </c>
      <c r="N471" t="b">
        <v>0</v>
      </c>
      <c r="O471">
        <v>495</v>
      </c>
      <c r="P471" t="s">
        <v>1752</v>
      </c>
      <c r="Q471" t="s">
        <v>1753</v>
      </c>
    </row>
    <row r="472" spans="1:18" x14ac:dyDescent="0.25">
      <c r="A472" t="s">
        <v>2510</v>
      </c>
      <c r="B472" t="s">
        <v>2035</v>
      </c>
      <c r="C472" t="s">
        <v>6</v>
      </c>
      <c r="D472" t="s">
        <v>177</v>
      </c>
      <c r="E472" s="2">
        <v>42426</v>
      </c>
      <c r="F472">
        <v>3185</v>
      </c>
      <c r="G472" t="s">
        <v>1746</v>
      </c>
      <c r="H472" t="s">
        <v>1798</v>
      </c>
      <c r="I472" t="b">
        <v>0</v>
      </c>
      <c r="J472" t="s">
        <v>1748</v>
      </c>
      <c r="K472" t="s">
        <v>1909</v>
      </c>
      <c r="L472" t="s">
        <v>1750</v>
      </c>
      <c r="M472">
        <v>840</v>
      </c>
      <c r="N472" t="b">
        <v>1</v>
      </c>
      <c r="O472">
        <v>322</v>
      </c>
      <c r="P472" t="s">
        <v>1752</v>
      </c>
      <c r="Q472" t="s">
        <v>1753</v>
      </c>
      <c r="R472" t="s">
        <v>1759</v>
      </c>
    </row>
    <row r="473" spans="1:18" x14ac:dyDescent="0.25">
      <c r="A473" t="s">
        <v>2512</v>
      </c>
      <c r="B473" t="s">
        <v>1866</v>
      </c>
      <c r="C473" t="s">
        <v>572</v>
      </c>
      <c r="D473" t="s">
        <v>2511</v>
      </c>
      <c r="E473" s="2">
        <v>37006</v>
      </c>
      <c r="F473">
        <v>8605</v>
      </c>
      <c r="G473" t="s">
        <v>1746</v>
      </c>
      <c r="H473" t="s">
        <v>1798</v>
      </c>
      <c r="I473" t="b">
        <v>0</v>
      </c>
      <c r="J473" t="s">
        <v>1761</v>
      </c>
      <c r="K473" t="s">
        <v>1901</v>
      </c>
      <c r="L473" t="s">
        <v>1750</v>
      </c>
      <c r="M473">
        <v>839</v>
      </c>
      <c r="N473" t="b">
        <v>0</v>
      </c>
      <c r="O473">
        <v>27</v>
      </c>
      <c r="P473" t="s">
        <v>1752</v>
      </c>
      <c r="Q473" t="s">
        <v>1753</v>
      </c>
      <c r="R473" t="s">
        <v>1828</v>
      </c>
    </row>
    <row r="474" spans="1:18" x14ac:dyDescent="0.25">
      <c r="A474" t="s">
        <v>2513</v>
      </c>
      <c r="B474" t="s">
        <v>1945</v>
      </c>
      <c r="C474" t="s">
        <v>6</v>
      </c>
      <c r="D474" t="s">
        <v>65</v>
      </c>
      <c r="E474" s="2">
        <v>40661</v>
      </c>
      <c r="F474">
        <v>4950</v>
      </c>
      <c r="G474" t="s">
        <v>1746</v>
      </c>
      <c r="H474" t="s">
        <v>1798</v>
      </c>
      <c r="I474" t="b">
        <v>0</v>
      </c>
      <c r="J474" t="s">
        <v>1748</v>
      </c>
      <c r="K474" t="s">
        <v>1755</v>
      </c>
      <c r="L474" t="s">
        <v>1766</v>
      </c>
      <c r="M474">
        <v>833</v>
      </c>
      <c r="N474" t="b">
        <v>0</v>
      </c>
      <c r="P474" t="s">
        <v>1752</v>
      </c>
      <c r="Q474" t="s">
        <v>1753</v>
      </c>
      <c r="R474" t="s">
        <v>2028</v>
      </c>
    </row>
    <row r="475" spans="1:18" x14ac:dyDescent="0.25">
      <c r="A475" t="s">
        <v>2514</v>
      </c>
      <c r="B475" t="s">
        <v>1810</v>
      </c>
      <c r="C475" t="s">
        <v>4</v>
      </c>
      <c r="D475" t="s">
        <v>724</v>
      </c>
      <c r="E475" s="2">
        <v>39995</v>
      </c>
      <c r="F475">
        <v>5616</v>
      </c>
      <c r="G475" t="s">
        <v>1746</v>
      </c>
      <c r="H475" t="s">
        <v>1798</v>
      </c>
      <c r="I475" t="b">
        <v>1</v>
      </c>
      <c r="J475" t="s">
        <v>1748</v>
      </c>
      <c r="K475" t="s">
        <v>1807</v>
      </c>
      <c r="L475" t="s">
        <v>1756</v>
      </c>
      <c r="M475">
        <v>833</v>
      </c>
      <c r="N475" t="b">
        <v>0</v>
      </c>
      <c r="O475">
        <v>392</v>
      </c>
      <c r="P475" t="s">
        <v>1752</v>
      </c>
      <c r="Q475" t="s">
        <v>1753</v>
      </c>
      <c r="R475" t="s">
        <v>1828</v>
      </c>
    </row>
    <row r="476" spans="1:18" x14ac:dyDescent="0.25">
      <c r="A476" t="s">
        <v>2516</v>
      </c>
      <c r="B476" t="s">
        <v>2503</v>
      </c>
      <c r="C476" t="s">
        <v>4</v>
      </c>
      <c r="D476" t="s">
        <v>2515</v>
      </c>
      <c r="E476" s="2">
        <v>44308</v>
      </c>
      <c r="F476">
        <v>1303</v>
      </c>
      <c r="G476" t="s">
        <v>1746</v>
      </c>
      <c r="H476" t="s">
        <v>1747</v>
      </c>
      <c r="I476" t="b">
        <v>0</v>
      </c>
      <c r="J476" t="s">
        <v>1748</v>
      </c>
      <c r="K476" t="s">
        <v>1749</v>
      </c>
      <c r="L476" t="s">
        <v>1750</v>
      </c>
      <c r="M476">
        <v>833</v>
      </c>
      <c r="N476" t="b">
        <v>1</v>
      </c>
      <c r="O476">
        <v>301</v>
      </c>
      <c r="P476" t="s">
        <v>1752</v>
      </c>
      <c r="Q476" t="s">
        <v>1753</v>
      </c>
    </row>
    <row r="477" spans="1:18" x14ac:dyDescent="0.25">
      <c r="A477" t="s">
        <v>2517</v>
      </c>
      <c r="B477" t="s">
        <v>1754</v>
      </c>
      <c r="C477" t="s">
        <v>4</v>
      </c>
      <c r="D477" t="s">
        <v>618</v>
      </c>
      <c r="E477" s="2">
        <v>39966</v>
      </c>
      <c r="F477">
        <v>5645</v>
      </c>
      <c r="G477" t="s">
        <v>1746</v>
      </c>
      <c r="H477" t="s">
        <v>1798</v>
      </c>
      <c r="I477" t="b">
        <v>1</v>
      </c>
      <c r="J477" t="s">
        <v>1748</v>
      </c>
      <c r="K477" t="s">
        <v>1824</v>
      </c>
      <c r="L477" t="s">
        <v>1817</v>
      </c>
      <c r="M477">
        <v>832</v>
      </c>
      <c r="N477" t="b">
        <v>0</v>
      </c>
      <c r="O477">
        <v>71</v>
      </c>
      <c r="P477" t="s">
        <v>1819</v>
      </c>
      <c r="Q477" t="s">
        <v>1753</v>
      </c>
      <c r="R477" t="s">
        <v>1828</v>
      </c>
    </row>
    <row r="478" spans="1:18" x14ac:dyDescent="0.25">
      <c r="A478" t="s">
        <v>2519</v>
      </c>
      <c r="B478" t="s">
        <v>1907</v>
      </c>
      <c r="C478" t="s">
        <v>4</v>
      </c>
      <c r="D478" t="s">
        <v>2518</v>
      </c>
      <c r="E478" s="2">
        <v>43521</v>
      </c>
      <c r="F478">
        <v>2090</v>
      </c>
      <c r="G478" t="s">
        <v>1746</v>
      </c>
      <c r="H478" t="s">
        <v>1798</v>
      </c>
      <c r="I478" t="b">
        <v>1</v>
      </c>
      <c r="J478" t="s">
        <v>1761</v>
      </c>
      <c r="K478" t="s">
        <v>1822</v>
      </c>
      <c r="L478" t="s">
        <v>1817</v>
      </c>
      <c r="M478">
        <v>830</v>
      </c>
      <c r="N478" t="b">
        <v>0</v>
      </c>
      <c r="O478">
        <v>90</v>
      </c>
      <c r="P478" t="s">
        <v>1819</v>
      </c>
      <c r="Q478" t="s">
        <v>1753</v>
      </c>
    </row>
    <row r="479" spans="1:18" x14ac:dyDescent="0.25">
      <c r="A479" t="s">
        <v>2521</v>
      </c>
      <c r="B479" t="s">
        <v>1803</v>
      </c>
      <c r="C479" t="s">
        <v>572</v>
      </c>
      <c r="D479" t="s">
        <v>2520</v>
      </c>
      <c r="E479" s="2">
        <v>39521</v>
      </c>
      <c r="F479">
        <v>6090</v>
      </c>
      <c r="G479" t="s">
        <v>1746</v>
      </c>
      <c r="H479" t="s">
        <v>1798</v>
      </c>
      <c r="I479" t="b">
        <v>0</v>
      </c>
      <c r="J479" t="s">
        <v>1761</v>
      </c>
      <c r="K479" t="s">
        <v>1824</v>
      </c>
      <c r="L479" t="s">
        <v>1750</v>
      </c>
      <c r="M479">
        <v>830</v>
      </c>
      <c r="N479" t="b">
        <v>0</v>
      </c>
      <c r="O479">
        <v>50</v>
      </c>
      <c r="P479" t="s">
        <v>1752</v>
      </c>
      <c r="Q479" t="s">
        <v>1753</v>
      </c>
      <c r="R479" t="s">
        <v>1828</v>
      </c>
    </row>
    <row r="480" spans="1:18" x14ac:dyDescent="0.25">
      <c r="A480" t="s">
        <v>1019</v>
      </c>
      <c r="B480" t="s">
        <v>1810</v>
      </c>
      <c r="C480" t="s">
        <v>4</v>
      </c>
      <c r="D480" t="s">
        <v>1020</v>
      </c>
      <c r="E480" s="2">
        <v>40676</v>
      </c>
      <c r="F480">
        <v>4935</v>
      </c>
      <c r="G480" t="s">
        <v>1746</v>
      </c>
      <c r="H480" t="s">
        <v>1747</v>
      </c>
      <c r="I480" t="b">
        <v>1</v>
      </c>
      <c r="J480" t="s">
        <v>1748</v>
      </c>
      <c r="K480" t="s">
        <v>1913</v>
      </c>
      <c r="L480" t="s">
        <v>1750</v>
      </c>
      <c r="M480">
        <v>829</v>
      </c>
      <c r="N480" t="b">
        <v>0</v>
      </c>
      <c r="O480">
        <v>850</v>
      </c>
      <c r="P480" t="s">
        <v>1752</v>
      </c>
      <c r="Q480" t="s">
        <v>1753</v>
      </c>
      <c r="R480" t="s">
        <v>2028</v>
      </c>
    </row>
    <row r="481" spans="1:18" x14ac:dyDescent="0.25">
      <c r="A481" t="s">
        <v>2523</v>
      </c>
      <c r="B481" t="s">
        <v>1820</v>
      </c>
      <c r="C481" t="s">
        <v>6</v>
      </c>
      <c r="D481" t="s">
        <v>2522</v>
      </c>
      <c r="E481" s="2">
        <v>42153</v>
      </c>
      <c r="F481">
        <v>3458</v>
      </c>
      <c r="G481" t="s">
        <v>1833</v>
      </c>
      <c r="H481" t="s">
        <v>1805</v>
      </c>
      <c r="I481" t="b">
        <v>0</v>
      </c>
      <c r="J481" t="s">
        <v>1748</v>
      </c>
      <c r="K481" t="s">
        <v>1822</v>
      </c>
      <c r="L481" t="s">
        <v>1766</v>
      </c>
      <c r="M481">
        <v>829</v>
      </c>
      <c r="N481" t="b">
        <v>0</v>
      </c>
      <c r="P481" t="s">
        <v>1827</v>
      </c>
      <c r="Q481" t="s">
        <v>1753</v>
      </c>
      <c r="R481" t="s">
        <v>1759</v>
      </c>
    </row>
    <row r="482" spans="1:18" x14ac:dyDescent="0.25">
      <c r="A482" t="s">
        <v>2525</v>
      </c>
      <c r="B482" t="s">
        <v>1785</v>
      </c>
      <c r="C482" t="s">
        <v>4</v>
      </c>
      <c r="D482" t="s">
        <v>2524</v>
      </c>
      <c r="E482" s="2">
        <v>42898</v>
      </c>
      <c r="F482">
        <v>2713</v>
      </c>
      <c r="G482" t="s">
        <v>1746</v>
      </c>
      <c r="H482" t="s">
        <v>1747</v>
      </c>
      <c r="I482" t="b">
        <v>1</v>
      </c>
      <c r="J482" t="s">
        <v>1761</v>
      </c>
      <c r="K482" t="s">
        <v>1800</v>
      </c>
      <c r="L482" t="s">
        <v>1750</v>
      </c>
      <c r="M482">
        <v>826</v>
      </c>
      <c r="N482" t="b">
        <v>1</v>
      </c>
      <c r="O482">
        <v>178</v>
      </c>
      <c r="P482" t="s">
        <v>1752</v>
      </c>
      <c r="Q482" t="s">
        <v>1753</v>
      </c>
      <c r="R482" t="s">
        <v>1759</v>
      </c>
    </row>
    <row r="483" spans="1:18" x14ac:dyDescent="0.25">
      <c r="A483" t="s">
        <v>2526</v>
      </c>
      <c r="B483" t="s">
        <v>1945</v>
      </c>
      <c r="C483" t="s">
        <v>6</v>
      </c>
      <c r="D483" t="s">
        <v>170</v>
      </c>
      <c r="E483" s="2">
        <v>42412</v>
      </c>
      <c r="F483">
        <v>3199</v>
      </c>
      <c r="G483" t="s">
        <v>1746</v>
      </c>
      <c r="H483" t="s">
        <v>1798</v>
      </c>
      <c r="I483" t="b">
        <v>0</v>
      </c>
      <c r="J483" t="s">
        <v>1748</v>
      </c>
      <c r="K483" t="s">
        <v>1824</v>
      </c>
      <c r="L483" t="s">
        <v>1750</v>
      </c>
      <c r="M483">
        <v>825</v>
      </c>
      <c r="N483" t="b">
        <v>1</v>
      </c>
      <c r="O483">
        <v>321</v>
      </c>
      <c r="P483" t="s">
        <v>1752</v>
      </c>
      <c r="Q483" t="s">
        <v>1753</v>
      </c>
      <c r="R483" t="s">
        <v>1828</v>
      </c>
    </row>
    <row r="484" spans="1:18" x14ac:dyDescent="0.25">
      <c r="A484" t="s">
        <v>2528</v>
      </c>
      <c r="B484" t="s">
        <v>1704</v>
      </c>
      <c r="C484" t="s">
        <v>4</v>
      </c>
      <c r="D484" t="s">
        <v>2527</v>
      </c>
      <c r="E484" s="2">
        <v>45481</v>
      </c>
      <c r="F484">
        <v>130</v>
      </c>
      <c r="G484" t="s">
        <v>1746</v>
      </c>
      <c r="H484" t="s">
        <v>1747</v>
      </c>
      <c r="I484" t="b">
        <v>0</v>
      </c>
      <c r="J484" t="s">
        <v>1748</v>
      </c>
      <c r="K484" t="s">
        <v>1809</v>
      </c>
      <c r="L484" t="s">
        <v>1750</v>
      </c>
      <c r="M484">
        <v>822</v>
      </c>
      <c r="N484" t="b">
        <v>0</v>
      </c>
      <c r="O484">
        <v>391</v>
      </c>
      <c r="P484" t="s">
        <v>1752</v>
      </c>
      <c r="Q484" t="s">
        <v>1753</v>
      </c>
    </row>
    <row r="485" spans="1:18" x14ac:dyDescent="0.25">
      <c r="A485" t="s">
        <v>2530</v>
      </c>
      <c r="B485" t="s">
        <v>1803</v>
      </c>
      <c r="C485" t="s">
        <v>572</v>
      </c>
      <c r="D485" t="s">
        <v>2529</v>
      </c>
      <c r="E485" s="2">
        <v>39622</v>
      </c>
      <c r="F485">
        <v>5989</v>
      </c>
      <c r="G485" t="s">
        <v>1746</v>
      </c>
      <c r="H485" t="s">
        <v>1798</v>
      </c>
      <c r="I485" t="b">
        <v>0</v>
      </c>
      <c r="J485" t="s">
        <v>1761</v>
      </c>
      <c r="K485" t="s">
        <v>1824</v>
      </c>
      <c r="L485" t="s">
        <v>1750</v>
      </c>
      <c r="M485">
        <v>822</v>
      </c>
      <c r="N485" t="b">
        <v>0</v>
      </c>
      <c r="O485">
        <v>40</v>
      </c>
      <c r="P485" t="s">
        <v>1752</v>
      </c>
      <c r="Q485" t="s">
        <v>1753</v>
      </c>
    </row>
    <row r="486" spans="1:18" x14ac:dyDescent="0.25">
      <c r="A486" t="s">
        <v>2531</v>
      </c>
      <c r="B486" t="s">
        <v>2532</v>
      </c>
      <c r="C486" t="s">
        <v>4</v>
      </c>
      <c r="D486" t="s">
        <v>534</v>
      </c>
      <c r="E486" s="2">
        <v>39052</v>
      </c>
      <c r="F486">
        <v>6559</v>
      </c>
      <c r="G486" t="s">
        <v>1746</v>
      </c>
      <c r="H486" t="s">
        <v>1805</v>
      </c>
      <c r="I486" t="b">
        <v>1</v>
      </c>
      <c r="J486" t="s">
        <v>1761</v>
      </c>
      <c r="K486" t="s">
        <v>1822</v>
      </c>
      <c r="L486" t="s">
        <v>1817</v>
      </c>
      <c r="M486">
        <v>821</v>
      </c>
      <c r="N486" t="b">
        <v>0</v>
      </c>
      <c r="O486">
        <v>33</v>
      </c>
      <c r="P486" t="s">
        <v>1819</v>
      </c>
      <c r="Q486" t="s">
        <v>1753</v>
      </c>
    </row>
    <row r="487" spans="1:18" x14ac:dyDescent="0.25">
      <c r="A487" t="s">
        <v>2534</v>
      </c>
      <c r="B487" t="s">
        <v>2177</v>
      </c>
      <c r="C487" t="s">
        <v>4</v>
      </c>
      <c r="D487" t="s">
        <v>2533</v>
      </c>
      <c r="E487" s="2">
        <v>44568</v>
      </c>
      <c r="F487">
        <v>1043</v>
      </c>
      <c r="G487" t="s">
        <v>1746</v>
      </c>
      <c r="H487" t="s">
        <v>1747</v>
      </c>
      <c r="I487" t="b">
        <v>0</v>
      </c>
      <c r="J487" t="s">
        <v>1748</v>
      </c>
      <c r="K487" t="s">
        <v>2021</v>
      </c>
      <c r="L487" t="s">
        <v>1750</v>
      </c>
      <c r="M487">
        <v>821</v>
      </c>
      <c r="N487" t="b">
        <v>0</v>
      </c>
      <c r="O487">
        <v>1605</v>
      </c>
      <c r="P487" t="s">
        <v>1752</v>
      </c>
      <c r="Q487" t="s">
        <v>1753</v>
      </c>
      <c r="R487" t="s">
        <v>1759</v>
      </c>
    </row>
    <row r="488" spans="1:18" x14ac:dyDescent="0.25">
      <c r="A488" t="s">
        <v>2535</v>
      </c>
      <c r="B488" t="s">
        <v>1874</v>
      </c>
      <c r="C488" t="s">
        <v>6</v>
      </c>
      <c r="D488" t="s">
        <v>944</v>
      </c>
      <c r="E488" s="2">
        <v>38947</v>
      </c>
      <c r="F488">
        <v>6664</v>
      </c>
      <c r="G488" t="s">
        <v>1746</v>
      </c>
      <c r="H488" t="s">
        <v>1798</v>
      </c>
      <c r="I488" t="b">
        <v>0</v>
      </c>
      <c r="J488" t="s">
        <v>1748</v>
      </c>
      <c r="K488" t="s">
        <v>1853</v>
      </c>
      <c r="L488" t="s">
        <v>1766</v>
      </c>
      <c r="M488">
        <v>821</v>
      </c>
      <c r="N488" t="b">
        <v>0</v>
      </c>
      <c r="P488" t="s">
        <v>1752</v>
      </c>
      <c r="Q488" t="s">
        <v>1753</v>
      </c>
      <c r="R488" t="s">
        <v>1828</v>
      </c>
    </row>
    <row r="489" spans="1:18" x14ac:dyDescent="0.25">
      <c r="A489" t="s">
        <v>2536</v>
      </c>
      <c r="B489" t="s">
        <v>1810</v>
      </c>
      <c r="C489" t="s">
        <v>4</v>
      </c>
      <c r="D489" t="s">
        <v>749</v>
      </c>
      <c r="E489" s="2">
        <v>43257</v>
      </c>
      <c r="F489">
        <v>2354</v>
      </c>
      <c r="G489" t="s">
        <v>1833</v>
      </c>
      <c r="H489" t="s">
        <v>1798</v>
      </c>
      <c r="I489" t="b">
        <v>0</v>
      </c>
      <c r="J489" t="s">
        <v>1748</v>
      </c>
      <c r="K489" t="s">
        <v>1770</v>
      </c>
      <c r="L489" t="s">
        <v>1750</v>
      </c>
      <c r="M489">
        <v>820</v>
      </c>
      <c r="N489" t="b">
        <v>0</v>
      </c>
      <c r="O489">
        <v>180</v>
      </c>
      <c r="P489" t="s">
        <v>1819</v>
      </c>
      <c r="Q489" t="s">
        <v>1753</v>
      </c>
      <c r="R489" t="s">
        <v>1759</v>
      </c>
    </row>
    <row r="490" spans="1:18" x14ac:dyDescent="0.25">
      <c r="A490" t="s">
        <v>2538</v>
      </c>
      <c r="B490" t="s">
        <v>1907</v>
      </c>
      <c r="C490" t="s">
        <v>4</v>
      </c>
      <c r="D490" t="s">
        <v>2537</v>
      </c>
      <c r="E490" s="2">
        <v>44721</v>
      </c>
      <c r="F490">
        <v>890</v>
      </c>
      <c r="G490" t="s">
        <v>1746</v>
      </c>
      <c r="H490" t="s">
        <v>1747</v>
      </c>
      <c r="I490" t="b">
        <v>1</v>
      </c>
      <c r="J490" t="s">
        <v>1761</v>
      </c>
      <c r="K490" t="s">
        <v>1774</v>
      </c>
      <c r="L490" t="s">
        <v>1750</v>
      </c>
      <c r="M490">
        <v>820</v>
      </c>
      <c r="N490" t="b">
        <v>0</v>
      </c>
      <c r="O490">
        <v>1403</v>
      </c>
      <c r="P490" t="s">
        <v>1752</v>
      </c>
      <c r="Q490" t="s">
        <v>1753</v>
      </c>
      <c r="R490" t="s">
        <v>1759</v>
      </c>
    </row>
    <row r="491" spans="1:18" x14ac:dyDescent="0.25">
      <c r="A491" t="s">
        <v>2539</v>
      </c>
      <c r="B491" t="s">
        <v>1881</v>
      </c>
      <c r="C491" t="s">
        <v>4</v>
      </c>
      <c r="D491" t="s">
        <v>1215</v>
      </c>
      <c r="E491" s="2">
        <v>43089</v>
      </c>
      <c r="F491">
        <v>2522</v>
      </c>
      <c r="G491" t="s">
        <v>1746</v>
      </c>
      <c r="H491" t="s">
        <v>1798</v>
      </c>
      <c r="I491" t="b">
        <v>0</v>
      </c>
      <c r="J491" t="s">
        <v>1748</v>
      </c>
      <c r="K491" t="s">
        <v>1846</v>
      </c>
      <c r="L491" t="s">
        <v>1750</v>
      </c>
      <c r="M491">
        <v>820</v>
      </c>
      <c r="N491" t="b">
        <v>1</v>
      </c>
      <c r="O491">
        <v>609</v>
      </c>
      <c r="P491" t="s">
        <v>1752</v>
      </c>
      <c r="Q491" t="s">
        <v>1753</v>
      </c>
      <c r="R491" t="s">
        <v>1759</v>
      </c>
    </row>
    <row r="492" spans="1:18" x14ac:dyDescent="0.25">
      <c r="A492" t="s">
        <v>2540</v>
      </c>
      <c r="B492" t="s">
        <v>1847</v>
      </c>
      <c r="C492" t="s">
        <v>4</v>
      </c>
      <c r="D492" t="s">
        <v>998</v>
      </c>
      <c r="E492" s="2">
        <v>40686</v>
      </c>
      <c r="F492">
        <v>4925</v>
      </c>
      <c r="G492" t="s">
        <v>1746</v>
      </c>
      <c r="H492" t="s">
        <v>1798</v>
      </c>
      <c r="I492" t="b">
        <v>1</v>
      </c>
      <c r="J492" t="s">
        <v>1761</v>
      </c>
      <c r="K492" t="s">
        <v>1774</v>
      </c>
      <c r="L492" t="s">
        <v>1817</v>
      </c>
      <c r="M492">
        <v>815</v>
      </c>
      <c r="N492" t="b">
        <v>0</v>
      </c>
      <c r="O492">
        <v>3302</v>
      </c>
      <c r="P492" t="s">
        <v>1819</v>
      </c>
      <c r="Q492" t="s">
        <v>1753</v>
      </c>
      <c r="R492" t="s">
        <v>1759</v>
      </c>
    </row>
    <row r="493" spans="1:18" x14ac:dyDescent="0.25">
      <c r="A493" t="s">
        <v>2541</v>
      </c>
      <c r="B493" t="s">
        <v>1860</v>
      </c>
      <c r="C493" t="s">
        <v>6</v>
      </c>
      <c r="D493" t="s">
        <v>1187</v>
      </c>
      <c r="E493" s="2">
        <v>41607</v>
      </c>
      <c r="F493">
        <v>4004</v>
      </c>
      <c r="G493" t="s">
        <v>1746</v>
      </c>
      <c r="H493" t="s">
        <v>1798</v>
      </c>
      <c r="I493" t="b">
        <v>0</v>
      </c>
      <c r="J493" t="s">
        <v>1761</v>
      </c>
      <c r="K493" t="s">
        <v>1863</v>
      </c>
      <c r="L493" t="s">
        <v>1817</v>
      </c>
      <c r="M493">
        <v>810</v>
      </c>
      <c r="N493" t="b">
        <v>0</v>
      </c>
      <c r="O493">
        <v>310</v>
      </c>
      <c r="P493" t="s">
        <v>1819</v>
      </c>
      <c r="Q493" t="s">
        <v>1753</v>
      </c>
      <c r="R493" t="s">
        <v>1828</v>
      </c>
    </row>
    <row r="494" spans="1:18" x14ac:dyDescent="0.25">
      <c r="A494" t="s">
        <v>2543</v>
      </c>
      <c r="B494" t="s">
        <v>2173</v>
      </c>
      <c r="C494" t="s">
        <v>4</v>
      </c>
      <c r="D494" t="s">
        <v>2542</v>
      </c>
      <c r="E494" s="2">
        <v>43088</v>
      </c>
      <c r="F494">
        <v>2523</v>
      </c>
      <c r="G494" t="s">
        <v>1746</v>
      </c>
      <c r="H494" t="s">
        <v>2231</v>
      </c>
      <c r="I494" t="b">
        <v>0</v>
      </c>
      <c r="J494" t="s">
        <v>1748</v>
      </c>
      <c r="K494" t="s">
        <v>1909</v>
      </c>
      <c r="L494" t="s">
        <v>1756</v>
      </c>
      <c r="M494">
        <v>809</v>
      </c>
      <c r="N494" t="b">
        <v>1</v>
      </c>
      <c r="O494">
        <v>1911</v>
      </c>
      <c r="P494" t="s">
        <v>1752</v>
      </c>
      <c r="Q494" t="s">
        <v>1753</v>
      </c>
      <c r="R494" t="s">
        <v>1759</v>
      </c>
    </row>
    <row r="495" spans="1:18" x14ac:dyDescent="0.25">
      <c r="A495" t="s">
        <v>246</v>
      </c>
      <c r="B495" t="s">
        <v>1754</v>
      </c>
      <c r="C495" t="s">
        <v>4</v>
      </c>
      <c r="D495" t="s">
        <v>247</v>
      </c>
      <c r="E495" s="2">
        <v>43620</v>
      </c>
      <c r="F495">
        <v>1991</v>
      </c>
      <c r="G495" t="s">
        <v>1746</v>
      </c>
      <c r="H495" t="s">
        <v>1747</v>
      </c>
      <c r="I495" t="b">
        <v>0</v>
      </c>
      <c r="J495" t="s">
        <v>1748</v>
      </c>
      <c r="K495" t="s">
        <v>1863</v>
      </c>
      <c r="L495" t="s">
        <v>1750</v>
      </c>
      <c r="M495">
        <v>807</v>
      </c>
      <c r="N495" t="b">
        <v>0</v>
      </c>
      <c r="O495">
        <v>156</v>
      </c>
      <c r="P495" t="s">
        <v>1752</v>
      </c>
      <c r="Q495" t="s">
        <v>1753</v>
      </c>
    </row>
    <row r="496" spans="1:18" x14ac:dyDescent="0.25">
      <c r="A496" t="s">
        <v>2544</v>
      </c>
      <c r="B496" t="s">
        <v>2060</v>
      </c>
      <c r="C496" t="s">
        <v>6</v>
      </c>
      <c r="D496" t="s">
        <v>1489</v>
      </c>
      <c r="E496" s="2">
        <v>40262</v>
      </c>
      <c r="F496">
        <v>5349</v>
      </c>
      <c r="G496" t="s">
        <v>1746</v>
      </c>
      <c r="H496" t="s">
        <v>1798</v>
      </c>
      <c r="I496" t="b">
        <v>1</v>
      </c>
      <c r="J496" t="s">
        <v>1748</v>
      </c>
      <c r="K496" t="s">
        <v>1787</v>
      </c>
      <c r="L496" t="s">
        <v>1750</v>
      </c>
      <c r="M496">
        <v>801</v>
      </c>
      <c r="N496" t="b">
        <v>0</v>
      </c>
      <c r="O496">
        <v>104</v>
      </c>
      <c r="P496" t="s">
        <v>2266</v>
      </c>
      <c r="Q496" t="s">
        <v>1753</v>
      </c>
      <c r="R496" t="s">
        <v>1828</v>
      </c>
    </row>
    <row r="497" spans="1:18" x14ac:dyDescent="0.25">
      <c r="A497" t="s">
        <v>2546</v>
      </c>
      <c r="B497" t="s">
        <v>1785</v>
      </c>
      <c r="C497" t="s">
        <v>4</v>
      </c>
      <c r="D497" t="s">
        <v>2545</v>
      </c>
      <c r="E497" s="2">
        <v>43392</v>
      </c>
      <c r="F497">
        <v>2219</v>
      </c>
      <c r="G497" t="s">
        <v>1746</v>
      </c>
      <c r="H497" t="s">
        <v>1747</v>
      </c>
      <c r="I497" t="b">
        <v>0</v>
      </c>
      <c r="J497" t="s">
        <v>1761</v>
      </c>
      <c r="K497" t="s">
        <v>1770</v>
      </c>
      <c r="L497" t="s">
        <v>1750</v>
      </c>
      <c r="M497">
        <v>801</v>
      </c>
      <c r="N497" t="b">
        <v>1</v>
      </c>
      <c r="O497">
        <v>2808</v>
      </c>
      <c r="P497" t="s">
        <v>1752</v>
      </c>
      <c r="Q497" t="s">
        <v>1753</v>
      </c>
      <c r="R497" t="s">
        <v>1772</v>
      </c>
    </row>
    <row r="498" spans="1:18" x14ac:dyDescent="0.25">
      <c r="A498" t="s">
        <v>2548</v>
      </c>
      <c r="B498" t="s">
        <v>2014</v>
      </c>
      <c r="C498" t="s">
        <v>6</v>
      </c>
      <c r="D498" t="s">
        <v>2547</v>
      </c>
      <c r="E498" s="2">
        <v>40492</v>
      </c>
      <c r="F498">
        <v>5119</v>
      </c>
      <c r="G498" t="s">
        <v>1746</v>
      </c>
      <c r="H498" t="s">
        <v>1805</v>
      </c>
      <c r="I498" t="b">
        <v>1</v>
      </c>
      <c r="J498" t="s">
        <v>1761</v>
      </c>
      <c r="K498" t="s">
        <v>1765</v>
      </c>
      <c r="L498" t="s">
        <v>1817</v>
      </c>
      <c r="M498">
        <v>800</v>
      </c>
      <c r="N498" t="b">
        <v>0</v>
      </c>
      <c r="O498">
        <v>65</v>
      </c>
      <c r="P498" t="s">
        <v>1819</v>
      </c>
      <c r="Q498" t="s">
        <v>1753</v>
      </c>
    </row>
    <row r="499" spans="1:18" x14ac:dyDescent="0.25">
      <c r="A499" t="s">
        <v>2549</v>
      </c>
      <c r="B499" t="s">
        <v>2380</v>
      </c>
      <c r="C499" t="s">
        <v>1249</v>
      </c>
      <c r="D499" t="s">
        <v>1270</v>
      </c>
      <c r="E499" s="2">
        <v>41407</v>
      </c>
      <c r="F499">
        <v>4204</v>
      </c>
      <c r="G499" t="s">
        <v>1746</v>
      </c>
      <c r="H499" t="s">
        <v>1798</v>
      </c>
      <c r="I499" t="b">
        <v>0</v>
      </c>
      <c r="J499" t="s">
        <v>1761</v>
      </c>
      <c r="K499" t="s">
        <v>1755</v>
      </c>
      <c r="L499" t="s">
        <v>1750</v>
      </c>
      <c r="M499">
        <v>799</v>
      </c>
      <c r="N499" t="b">
        <v>1</v>
      </c>
      <c r="O499">
        <v>250</v>
      </c>
      <c r="P499" t="s">
        <v>1752</v>
      </c>
      <c r="Q499" t="s">
        <v>1753</v>
      </c>
      <c r="R499" t="s">
        <v>1759</v>
      </c>
    </row>
    <row r="500" spans="1:18" x14ac:dyDescent="0.25">
      <c r="A500" t="s">
        <v>2551</v>
      </c>
      <c r="B500" t="s">
        <v>1840</v>
      </c>
      <c r="C500" t="s">
        <v>4</v>
      </c>
      <c r="D500" t="s">
        <v>2550</v>
      </c>
      <c r="E500" s="2">
        <v>42328</v>
      </c>
      <c r="F500">
        <v>3283</v>
      </c>
      <c r="G500" t="s">
        <v>1746</v>
      </c>
      <c r="H500" t="s">
        <v>1747</v>
      </c>
      <c r="I500" t="b">
        <v>1</v>
      </c>
      <c r="J500" t="s">
        <v>1748</v>
      </c>
      <c r="K500" t="s">
        <v>1824</v>
      </c>
      <c r="L500" t="s">
        <v>1750</v>
      </c>
      <c r="M500">
        <v>798</v>
      </c>
      <c r="N500" t="b">
        <v>0</v>
      </c>
      <c r="O500">
        <v>22</v>
      </c>
      <c r="P500" t="s">
        <v>1752</v>
      </c>
      <c r="Q500" t="s">
        <v>1753</v>
      </c>
    </row>
    <row r="501" spans="1:18" x14ac:dyDescent="0.25">
      <c r="A501" t="s">
        <v>2552</v>
      </c>
      <c r="B501" t="s">
        <v>1754</v>
      </c>
      <c r="C501" t="s">
        <v>4</v>
      </c>
      <c r="D501" t="s">
        <v>527</v>
      </c>
      <c r="E501" s="2">
        <v>41562</v>
      </c>
      <c r="F501">
        <v>4049</v>
      </c>
      <c r="G501" t="s">
        <v>1746</v>
      </c>
      <c r="H501" t="s">
        <v>1747</v>
      </c>
      <c r="I501" t="b">
        <v>1</v>
      </c>
      <c r="J501" t="s">
        <v>1761</v>
      </c>
      <c r="K501" t="s">
        <v>1856</v>
      </c>
      <c r="L501" t="s">
        <v>1817</v>
      </c>
      <c r="M501">
        <v>795</v>
      </c>
      <c r="N501" t="b">
        <v>0</v>
      </c>
      <c r="O501">
        <v>1063</v>
      </c>
      <c r="P501" t="s">
        <v>1819</v>
      </c>
      <c r="Q501" t="s">
        <v>1753</v>
      </c>
      <c r="R501" t="s">
        <v>1759</v>
      </c>
    </row>
    <row r="502" spans="1:18" x14ac:dyDescent="0.25">
      <c r="A502" t="s">
        <v>2554</v>
      </c>
      <c r="B502" t="s">
        <v>2133</v>
      </c>
      <c r="C502" t="s">
        <v>4</v>
      </c>
      <c r="D502" t="s">
        <v>2553</v>
      </c>
      <c r="E502" s="2">
        <v>43815</v>
      </c>
      <c r="F502">
        <v>1796</v>
      </c>
      <c r="G502" t="s">
        <v>1833</v>
      </c>
      <c r="H502" t="s">
        <v>1747</v>
      </c>
      <c r="I502" t="b">
        <v>0</v>
      </c>
      <c r="J502" t="s">
        <v>1761</v>
      </c>
      <c r="K502" t="s">
        <v>1755</v>
      </c>
      <c r="L502" t="s">
        <v>1750</v>
      </c>
      <c r="M502">
        <v>794</v>
      </c>
      <c r="N502" t="b">
        <v>1</v>
      </c>
      <c r="O502">
        <v>246</v>
      </c>
      <c r="P502" t="s">
        <v>1752</v>
      </c>
      <c r="Q502" t="s">
        <v>1753</v>
      </c>
    </row>
    <row r="503" spans="1:18" x14ac:dyDescent="0.25">
      <c r="A503" t="s">
        <v>2555</v>
      </c>
      <c r="B503" t="s">
        <v>1810</v>
      </c>
      <c r="C503" t="s">
        <v>4</v>
      </c>
      <c r="D503" t="s">
        <v>603</v>
      </c>
      <c r="E503" s="2">
        <v>41243</v>
      </c>
      <c r="F503">
        <v>4368</v>
      </c>
      <c r="G503" t="s">
        <v>1746</v>
      </c>
      <c r="H503" t="s">
        <v>1798</v>
      </c>
      <c r="I503" t="b">
        <v>1</v>
      </c>
      <c r="J503" t="s">
        <v>1748</v>
      </c>
      <c r="K503" t="s">
        <v>1776</v>
      </c>
      <c r="L503" t="s">
        <v>1756</v>
      </c>
      <c r="M503">
        <v>793</v>
      </c>
      <c r="N503" t="b">
        <v>0</v>
      </c>
      <c r="O503">
        <v>162</v>
      </c>
      <c r="P503" t="s">
        <v>1752</v>
      </c>
      <c r="Q503" t="s">
        <v>1753</v>
      </c>
      <c r="R503" t="s">
        <v>1828</v>
      </c>
    </row>
    <row r="504" spans="1:18" x14ac:dyDescent="0.25">
      <c r="A504" t="s">
        <v>2556</v>
      </c>
      <c r="B504" t="s">
        <v>1810</v>
      </c>
      <c r="C504" t="s">
        <v>4</v>
      </c>
      <c r="D504" t="s">
        <v>1698</v>
      </c>
      <c r="E504" s="2">
        <v>42277</v>
      </c>
      <c r="F504">
        <v>3334</v>
      </c>
      <c r="G504" t="s">
        <v>1746</v>
      </c>
      <c r="H504" t="s">
        <v>1747</v>
      </c>
      <c r="I504" t="b">
        <v>1</v>
      </c>
      <c r="J504" t="s">
        <v>1761</v>
      </c>
      <c r="K504" t="s">
        <v>1774</v>
      </c>
      <c r="L504" t="s">
        <v>1817</v>
      </c>
      <c r="M504">
        <v>790</v>
      </c>
      <c r="N504" t="b">
        <v>0</v>
      </c>
      <c r="O504">
        <v>2986</v>
      </c>
      <c r="P504" t="s">
        <v>1819</v>
      </c>
      <c r="Q504" t="s">
        <v>1753</v>
      </c>
      <c r="R504" t="s">
        <v>1759</v>
      </c>
    </row>
    <row r="505" spans="1:18" x14ac:dyDescent="0.25">
      <c r="A505" t="s">
        <v>2558</v>
      </c>
      <c r="B505" t="s">
        <v>2032</v>
      </c>
      <c r="C505" t="s">
        <v>4</v>
      </c>
      <c r="D505" t="s">
        <v>2557</v>
      </c>
      <c r="E505" s="2">
        <v>44656</v>
      </c>
      <c r="F505">
        <v>955</v>
      </c>
      <c r="G505" t="s">
        <v>1746</v>
      </c>
      <c r="H505" t="s">
        <v>1747</v>
      </c>
      <c r="I505" t="b">
        <v>0</v>
      </c>
      <c r="J505" t="s">
        <v>1761</v>
      </c>
      <c r="K505" t="s">
        <v>1755</v>
      </c>
      <c r="L505" t="s">
        <v>1756</v>
      </c>
      <c r="M505">
        <v>788</v>
      </c>
      <c r="N505" t="b">
        <v>0</v>
      </c>
      <c r="O505">
        <v>1885</v>
      </c>
      <c r="P505" t="s">
        <v>1819</v>
      </c>
      <c r="Q505" t="s">
        <v>1753</v>
      </c>
      <c r="R505" t="s">
        <v>1759</v>
      </c>
    </row>
    <row r="506" spans="1:18" x14ac:dyDescent="0.25">
      <c r="A506" t="s">
        <v>2560</v>
      </c>
      <c r="B506" t="s">
        <v>1785</v>
      </c>
      <c r="C506" t="s">
        <v>4</v>
      </c>
      <c r="D506" t="s">
        <v>2559</v>
      </c>
      <c r="E506" s="2">
        <v>43392</v>
      </c>
      <c r="F506">
        <v>2219</v>
      </c>
      <c r="G506" t="s">
        <v>1746</v>
      </c>
      <c r="H506" t="s">
        <v>1747</v>
      </c>
      <c r="I506" t="b">
        <v>0</v>
      </c>
      <c r="J506" t="s">
        <v>1761</v>
      </c>
      <c r="K506" t="s">
        <v>1749</v>
      </c>
      <c r="L506" t="s">
        <v>1750</v>
      </c>
      <c r="M506">
        <v>787</v>
      </c>
      <c r="N506" t="b">
        <v>1</v>
      </c>
      <c r="O506">
        <v>535</v>
      </c>
      <c r="P506" t="s">
        <v>1752</v>
      </c>
      <c r="Q506" t="s">
        <v>1753</v>
      </c>
    </row>
    <row r="507" spans="1:18" x14ac:dyDescent="0.25">
      <c r="A507" t="s">
        <v>2561</v>
      </c>
      <c r="B507" t="s">
        <v>1936</v>
      </c>
      <c r="C507" t="s">
        <v>186</v>
      </c>
      <c r="D507" t="s">
        <v>1353</v>
      </c>
      <c r="E507" s="2">
        <v>40917</v>
      </c>
      <c r="F507">
        <v>4694</v>
      </c>
      <c r="G507" t="s">
        <v>1746</v>
      </c>
      <c r="H507" t="s">
        <v>1747</v>
      </c>
      <c r="I507" t="b">
        <v>0</v>
      </c>
      <c r="J507" t="s">
        <v>1748</v>
      </c>
      <c r="K507" t="s">
        <v>1830</v>
      </c>
      <c r="L507" t="s">
        <v>2102</v>
      </c>
      <c r="M507">
        <v>786</v>
      </c>
      <c r="N507" t="b">
        <v>0</v>
      </c>
      <c r="P507" t="s">
        <v>2070</v>
      </c>
      <c r="Q507" t="s">
        <v>1779</v>
      </c>
    </row>
    <row r="508" spans="1:18" x14ac:dyDescent="0.25">
      <c r="A508" t="s">
        <v>2563</v>
      </c>
      <c r="B508" t="s">
        <v>2564</v>
      </c>
      <c r="C508" t="s">
        <v>4</v>
      </c>
      <c r="D508" t="s">
        <v>2562</v>
      </c>
      <c r="E508" s="2">
        <v>44760</v>
      </c>
      <c r="F508">
        <v>851</v>
      </c>
      <c r="G508" t="s">
        <v>1746</v>
      </c>
      <c r="H508" t="s">
        <v>1798</v>
      </c>
      <c r="I508" t="b">
        <v>0</v>
      </c>
      <c r="J508" t="s">
        <v>1748</v>
      </c>
      <c r="K508" t="s">
        <v>1774</v>
      </c>
      <c r="L508" t="s">
        <v>1750</v>
      </c>
      <c r="M508">
        <v>785</v>
      </c>
      <c r="N508" t="b">
        <v>1</v>
      </c>
      <c r="O508">
        <v>579</v>
      </c>
      <c r="P508" t="s">
        <v>1752</v>
      </c>
      <c r="Q508" t="s">
        <v>1753</v>
      </c>
    </row>
    <row r="509" spans="1:18" x14ac:dyDescent="0.25">
      <c r="A509" t="s">
        <v>2566</v>
      </c>
      <c r="B509" t="s">
        <v>2133</v>
      </c>
      <c r="C509" t="s">
        <v>4</v>
      </c>
      <c r="D509" t="s">
        <v>2565</v>
      </c>
      <c r="E509" s="2">
        <v>44153</v>
      </c>
      <c r="F509">
        <v>1458</v>
      </c>
      <c r="G509" t="s">
        <v>1746</v>
      </c>
      <c r="H509" t="s">
        <v>1798</v>
      </c>
      <c r="I509" t="b">
        <v>0</v>
      </c>
      <c r="J509" t="s">
        <v>1748</v>
      </c>
      <c r="K509" t="s">
        <v>1770</v>
      </c>
      <c r="L509" t="s">
        <v>1750</v>
      </c>
      <c r="M509">
        <v>782</v>
      </c>
      <c r="N509" t="b">
        <v>0</v>
      </c>
      <c r="O509">
        <v>81</v>
      </c>
      <c r="P509" t="s">
        <v>1752</v>
      </c>
      <c r="Q509" t="s">
        <v>1753</v>
      </c>
      <c r="R509" t="s">
        <v>1828</v>
      </c>
    </row>
    <row r="510" spans="1:18" x14ac:dyDescent="0.25">
      <c r="A510" t="s">
        <v>2567</v>
      </c>
      <c r="B510" t="s">
        <v>1876</v>
      </c>
      <c r="C510" t="s">
        <v>4</v>
      </c>
      <c r="D510" t="s">
        <v>230</v>
      </c>
      <c r="E510" s="2">
        <v>43978</v>
      </c>
      <c r="F510">
        <v>1633</v>
      </c>
      <c r="G510" t="s">
        <v>1746</v>
      </c>
      <c r="H510" t="s">
        <v>1747</v>
      </c>
      <c r="I510" t="b">
        <v>0</v>
      </c>
      <c r="J510" t="s">
        <v>1748</v>
      </c>
      <c r="K510" t="s">
        <v>2042</v>
      </c>
      <c r="L510" t="s">
        <v>1750</v>
      </c>
      <c r="M510">
        <v>777</v>
      </c>
      <c r="N510" t="b">
        <v>0</v>
      </c>
      <c r="O510">
        <v>30</v>
      </c>
      <c r="P510" t="s">
        <v>1752</v>
      </c>
      <c r="Q510" t="s">
        <v>1753</v>
      </c>
      <c r="R510" t="s">
        <v>1759</v>
      </c>
    </row>
    <row r="511" spans="1:18" x14ac:dyDescent="0.25">
      <c r="A511" t="s">
        <v>2569</v>
      </c>
      <c r="B511" t="s">
        <v>1785</v>
      </c>
      <c r="C511" t="s">
        <v>4</v>
      </c>
      <c r="D511" t="s">
        <v>2568</v>
      </c>
      <c r="E511" s="2">
        <v>42898</v>
      </c>
      <c r="F511">
        <v>2713</v>
      </c>
      <c r="G511" t="s">
        <v>1746</v>
      </c>
      <c r="H511" t="s">
        <v>1798</v>
      </c>
      <c r="I511" t="b">
        <v>1</v>
      </c>
      <c r="J511" t="s">
        <v>1761</v>
      </c>
      <c r="K511" t="s">
        <v>1846</v>
      </c>
      <c r="L511" t="s">
        <v>1756</v>
      </c>
      <c r="M511">
        <v>777</v>
      </c>
      <c r="N511" t="b">
        <v>1</v>
      </c>
      <c r="O511">
        <v>70</v>
      </c>
      <c r="P511" t="s">
        <v>1752</v>
      </c>
      <c r="Q511" t="s">
        <v>1753</v>
      </c>
      <c r="R511" t="s">
        <v>1828</v>
      </c>
    </row>
    <row r="512" spans="1:18" x14ac:dyDescent="0.25">
      <c r="A512" t="s">
        <v>2570</v>
      </c>
      <c r="B512" t="s">
        <v>2180</v>
      </c>
      <c r="C512" t="s">
        <v>4</v>
      </c>
      <c r="D512" t="s">
        <v>144</v>
      </c>
      <c r="E512" s="2">
        <v>45042</v>
      </c>
      <c r="F512">
        <v>569</v>
      </c>
      <c r="G512" t="s">
        <v>1746</v>
      </c>
      <c r="H512" t="s">
        <v>1798</v>
      </c>
      <c r="I512" t="b">
        <v>0</v>
      </c>
      <c r="J512" t="s">
        <v>1748</v>
      </c>
      <c r="K512" t="s">
        <v>1774</v>
      </c>
      <c r="L512" t="s">
        <v>1750</v>
      </c>
      <c r="M512">
        <v>774</v>
      </c>
      <c r="N512" t="b">
        <v>1</v>
      </c>
      <c r="O512">
        <v>316</v>
      </c>
      <c r="P512" t="s">
        <v>1752</v>
      </c>
      <c r="Q512" t="s">
        <v>1753</v>
      </c>
    </row>
    <row r="513" spans="1:18" x14ac:dyDescent="0.25">
      <c r="A513" t="s">
        <v>2572</v>
      </c>
      <c r="B513" t="s">
        <v>1803</v>
      </c>
      <c r="C513" t="s">
        <v>6</v>
      </c>
      <c r="D513" t="s">
        <v>2571</v>
      </c>
      <c r="E513" s="2">
        <v>43137</v>
      </c>
      <c r="F513">
        <v>2474</v>
      </c>
      <c r="G513" t="s">
        <v>1746</v>
      </c>
      <c r="H513" t="s">
        <v>1798</v>
      </c>
      <c r="I513" t="b">
        <v>0</v>
      </c>
      <c r="J513" t="s">
        <v>1761</v>
      </c>
      <c r="K513" t="s">
        <v>1934</v>
      </c>
      <c r="L513" t="s">
        <v>1817</v>
      </c>
      <c r="M513">
        <v>773</v>
      </c>
      <c r="N513" t="b">
        <v>1</v>
      </c>
      <c r="O513">
        <v>2832</v>
      </c>
      <c r="P513" t="s">
        <v>1819</v>
      </c>
      <c r="Q513" t="s">
        <v>1753</v>
      </c>
      <c r="R513" t="s">
        <v>1759</v>
      </c>
    </row>
    <row r="514" spans="1:18" x14ac:dyDescent="0.25">
      <c r="A514" t="s">
        <v>2574</v>
      </c>
      <c r="B514" t="s">
        <v>2173</v>
      </c>
      <c r="C514" t="s">
        <v>4</v>
      </c>
      <c r="D514" t="s">
        <v>2573</v>
      </c>
      <c r="E514" s="2">
        <v>43088</v>
      </c>
      <c r="F514">
        <v>2523</v>
      </c>
      <c r="G514" t="s">
        <v>1746</v>
      </c>
      <c r="H514" t="s">
        <v>1747</v>
      </c>
      <c r="I514" t="b">
        <v>0</v>
      </c>
      <c r="J514" t="s">
        <v>1748</v>
      </c>
      <c r="K514" t="s">
        <v>1909</v>
      </c>
      <c r="L514" t="s">
        <v>1756</v>
      </c>
      <c r="M514">
        <v>773</v>
      </c>
      <c r="N514" t="b">
        <v>1</v>
      </c>
      <c r="O514">
        <v>1911</v>
      </c>
      <c r="P514" t="s">
        <v>1752</v>
      </c>
      <c r="Q514" t="s">
        <v>1753</v>
      </c>
      <c r="R514" t="s">
        <v>1759</v>
      </c>
    </row>
    <row r="515" spans="1:18" x14ac:dyDescent="0.25">
      <c r="A515" t="s">
        <v>2575</v>
      </c>
      <c r="B515" t="s">
        <v>1945</v>
      </c>
      <c r="C515" t="s">
        <v>6</v>
      </c>
      <c r="D515" t="s">
        <v>35</v>
      </c>
      <c r="E515" s="2">
        <v>40346</v>
      </c>
      <c r="F515">
        <v>5265</v>
      </c>
      <c r="G515" t="s">
        <v>1746</v>
      </c>
      <c r="H515" t="s">
        <v>1798</v>
      </c>
      <c r="I515" t="b">
        <v>1</v>
      </c>
      <c r="J515" t="s">
        <v>1748</v>
      </c>
      <c r="K515" t="s">
        <v>1934</v>
      </c>
      <c r="L515" t="s">
        <v>1817</v>
      </c>
      <c r="M515">
        <v>770</v>
      </c>
      <c r="N515" t="b">
        <v>0</v>
      </c>
      <c r="O515">
        <v>209</v>
      </c>
      <c r="P515" t="s">
        <v>1819</v>
      </c>
      <c r="Q515" t="s">
        <v>1753</v>
      </c>
      <c r="R515" t="s">
        <v>1828</v>
      </c>
    </row>
    <row r="516" spans="1:18" x14ac:dyDescent="0.25">
      <c r="A516" t="s">
        <v>2576</v>
      </c>
      <c r="B516" t="s">
        <v>1810</v>
      </c>
      <c r="C516" t="s">
        <v>6</v>
      </c>
      <c r="D516" t="s">
        <v>1513</v>
      </c>
      <c r="E516" s="2">
        <v>42012</v>
      </c>
      <c r="F516">
        <v>3599</v>
      </c>
      <c r="G516" t="s">
        <v>1746</v>
      </c>
      <c r="H516" t="s">
        <v>1798</v>
      </c>
      <c r="I516" t="b">
        <v>1</v>
      </c>
      <c r="J516" t="s">
        <v>1761</v>
      </c>
      <c r="K516" t="s">
        <v>1755</v>
      </c>
      <c r="L516" t="s">
        <v>1817</v>
      </c>
      <c r="M516">
        <v>769</v>
      </c>
      <c r="N516" t="b">
        <v>0</v>
      </c>
      <c r="O516">
        <v>600</v>
      </c>
      <c r="P516" t="s">
        <v>1819</v>
      </c>
      <c r="Q516" t="s">
        <v>1753</v>
      </c>
      <c r="R516" t="s">
        <v>1759</v>
      </c>
    </row>
    <row r="517" spans="1:18" x14ac:dyDescent="0.25">
      <c r="A517" t="s">
        <v>2577</v>
      </c>
      <c r="B517" t="s">
        <v>2353</v>
      </c>
      <c r="C517" t="s">
        <v>4</v>
      </c>
      <c r="D517" t="s">
        <v>756</v>
      </c>
      <c r="E517" s="2">
        <v>44538</v>
      </c>
      <c r="F517">
        <v>1073</v>
      </c>
      <c r="G517" t="s">
        <v>1833</v>
      </c>
      <c r="H517" t="s">
        <v>1798</v>
      </c>
      <c r="I517" t="b">
        <v>0</v>
      </c>
      <c r="J517" t="s">
        <v>1748</v>
      </c>
      <c r="K517" t="s">
        <v>1776</v>
      </c>
      <c r="L517" t="s">
        <v>1750</v>
      </c>
      <c r="M517">
        <v>768</v>
      </c>
      <c r="N517" t="b">
        <v>1</v>
      </c>
      <c r="O517">
        <v>679</v>
      </c>
      <c r="P517" t="s">
        <v>1752</v>
      </c>
      <c r="Q517" t="s">
        <v>1753</v>
      </c>
      <c r="R517" t="s">
        <v>1759</v>
      </c>
    </row>
    <row r="518" spans="1:18" x14ac:dyDescent="0.25">
      <c r="A518" t="s">
        <v>2578</v>
      </c>
      <c r="B518" t="s">
        <v>2035</v>
      </c>
      <c r="C518" t="s">
        <v>6</v>
      </c>
      <c r="D518" t="s">
        <v>923</v>
      </c>
      <c r="E518" s="2">
        <v>40409</v>
      </c>
      <c r="F518">
        <v>5202</v>
      </c>
      <c r="G518" t="s">
        <v>1746</v>
      </c>
      <c r="H518" t="s">
        <v>1798</v>
      </c>
      <c r="I518" t="b">
        <v>0</v>
      </c>
      <c r="J518" t="s">
        <v>1748</v>
      </c>
      <c r="K518" t="s">
        <v>1853</v>
      </c>
      <c r="L518" t="s">
        <v>1766</v>
      </c>
      <c r="M518">
        <v>767</v>
      </c>
      <c r="N518" t="b">
        <v>0</v>
      </c>
      <c r="P518" t="s">
        <v>1752</v>
      </c>
      <c r="Q518" t="s">
        <v>1753</v>
      </c>
      <c r="R518" t="s">
        <v>1759</v>
      </c>
    </row>
    <row r="519" spans="1:18" x14ac:dyDescent="0.25">
      <c r="A519" t="s">
        <v>2580</v>
      </c>
      <c r="B519" t="s">
        <v>1840</v>
      </c>
      <c r="C519" t="s">
        <v>4</v>
      </c>
      <c r="D519" t="s">
        <v>2579</v>
      </c>
      <c r="E519" s="2">
        <v>42328</v>
      </c>
      <c r="F519">
        <v>3283</v>
      </c>
      <c r="G519" t="s">
        <v>1746</v>
      </c>
      <c r="H519" t="s">
        <v>1747</v>
      </c>
      <c r="I519" t="b">
        <v>1</v>
      </c>
      <c r="J519" t="s">
        <v>1748</v>
      </c>
      <c r="K519" t="s">
        <v>1824</v>
      </c>
      <c r="L519" t="s">
        <v>1750</v>
      </c>
      <c r="M519">
        <v>764</v>
      </c>
      <c r="N519" t="b">
        <v>0</v>
      </c>
      <c r="O519">
        <v>51</v>
      </c>
      <c r="P519" t="s">
        <v>1752</v>
      </c>
      <c r="Q519" t="s">
        <v>1753</v>
      </c>
    </row>
    <row r="520" spans="1:18" x14ac:dyDescent="0.25">
      <c r="A520" t="s">
        <v>2582</v>
      </c>
      <c r="B520" t="s">
        <v>2342</v>
      </c>
      <c r="C520" t="s">
        <v>6</v>
      </c>
      <c r="D520" t="s">
        <v>2581</v>
      </c>
      <c r="E520" s="2">
        <v>40078</v>
      </c>
      <c r="F520">
        <v>5533</v>
      </c>
      <c r="G520" t="s">
        <v>1746</v>
      </c>
      <c r="H520" t="s">
        <v>1798</v>
      </c>
      <c r="I520" t="b">
        <v>1</v>
      </c>
      <c r="J520" t="s">
        <v>1748</v>
      </c>
      <c r="K520" t="s">
        <v>1770</v>
      </c>
      <c r="L520" t="s">
        <v>1750</v>
      </c>
      <c r="M520">
        <v>763</v>
      </c>
      <c r="N520" t="b">
        <v>1</v>
      </c>
      <c r="O520">
        <v>480</v>
      </c>
      <c r="P520" t="s">
        <v>1752</v>
      </c>
      <c r="Q520" t="s">
        <v>1753</v>
      </c>
      <c r="R520" t="s">
        <v>1828</v>
      </c>
    </row>
    <row r="521" spans="1:18" x14ac:dyDescent="0.25">
      <c r="A521" t="s">
        <v>2584</v>
      </c>
      <c r="B521" t="s">
        <v>2585</v>
      </c>
      <c r="C521" t="s">
        <v>4</v>
      </c>
      <c r="D521" t="s">
        <v>2583</v>
      </c>
      <c r="E521" s="2">
        <v>43732</v>
      </c>
      <c r="F521">
        <v>1879</v>
      </c>
      <c r="G521" t="s">
        <v>1746</v>
      </c>
      <c r="H521" t="s">
        <v>1747</v>
      </c>
      <c r="I521" t="b">
        <v>1</v>
      </c>
      <c r="J521" t="s">
        <v>1748</v>
      </c>
      <c r="K521" t="s">
        <v>1771</v>
      </c>
      <c r="L521" t="s">
        <v>1756</v>
      </c>
      <c r="M521">
        <v>761</v>
      </c>
      <c r="N521" t="b">
        <v>0</v>
      </c>
      <c r="O521">
        <v>2136</v>
      </c>
      <c r="P521" t="s">
        <v>1752</v>
      </c>
      <c r="Q521" t="s">
        <v>1753</v>
      </c>
      <c r="R521" t="s">
        <v>1759</v>
      </c>
    </row>
    <row r="522" spans="1:18" x14ac:dyDescent="0.25">
      <c r="A522" t="s">
        <v>242</v>
      </c>
      <c r="B522" t="s">
        <v>1754</v>
      </c>
      <c r="C522" t="s">
        <v>4</v>
      </c>
      <c r="D522" t="s">
        <v>243</v>
      </c>
      <c r="E522" s="2">
        <v>43620</v>
      </c>
      <c r="F522">
        <v>1991</v>
      </c>
      <c r="G522" t="s">
        <v>1746</v>
      </c>
      <c r="H522" t="s">
        <v>1747</v>
      </c>
      <c r="I522" t="b">
        <v>0</v>
      </c>
      <c r="J522" t="s">
        <v>1748</v>
      </c>
      <c r="K522" t="s">
        <v>1809</v>
      </c>
      <c r="L522" t="s">
        <v>1750</v>
      </c>
      <c r="M522">
        <v>758</v>
      </c>
      <c r="N522" t="b">
        <v>0</v>
      </c>
      <c r="O522">
        <v>945</v>
      </c>
      <c r="P522" t="s">
        <v>1752</v>
      </c>
      <c r="Q522" t="s">
        <v>1753</v>
      </c>
    </row>
    <row r="523" spans="1:18" x14ac:dyDescent="0.25">
      <c r="A523" t="s">
        <v>2586</v>
      </c>
      <c r="B523" t="s">
        <v>2035</v>
      </c>
      <c r="C523" t="s">
        <v>11</v>
      </c>
      <c r="D523" t="s">
        <v>16</v>
      </c>
      <c r="E523" s="2">
        <v>39993</v>
      </c>
      <c r="F523">
        <v>5618</v>
      </c>
      <c r="G523" t="s">
        <v>1746</v>
      </c>
      <c r="H523" t="s">
        <v>1798</v>
      </c>
      <c r="I523" t="b">
        <v>0</v>
      </c>
      <c r="J523" t="s">
        <v>1748</v>
      </c>
      <c r="K523" t="s">
        <v>1880</v>
      </c>
      <c r="L523" t="s">
        <v>1766</v>
      </c>
      <c r="M523">
        <v>754</v>
      </c>
      <c r="N523" t="b">
        <v>0</v>
      </c>
      <c r="P523" t="s">
        <v>1752</v>
      </c>
      <c r="Q523" t="s">
        <v>1753</v>
      </c>
      <c r="R523" t="s">
        <v>1759</v>
      </c>
    </row>
    <row r="524" spans="1:18" x14ac:dyDescent="0.25">
      <c r="A524" t="s">
        <v>367</v>
      </c>
      <c r="B524" t="s">
        <v>1936</v>
      </c>
      <c r="C524" t="s">
        <v>4</v>
      </c>
      <c r="D524" t="s">
        <v>368</v>
      </c>
      <c r="E524" s="2">
        <v>43986</v>
      </c>
      <c r="F524">
        <v>1625</v>
      </c>
      <c r="G524" t="s">
        <v>1746</v>
      </c>
      <c r="H524" t="s">
        <v>1747</v>
      </c>
      <c r="I524" t="b">
        <v>0</v>
      </c>
      <c r="J524" t="s">
        <v>1748</v>
      </c>
      <c r="K524" t="s">
        <v>1774</v>
      </c>
      <c r="L524" t="s">
        <v>1750</v>
      </c>
      <c r="M524">
        <v>752</v>
      </c>
      <c r="N524" t="b">
        <v>1</v>
      </c>
      <c r="O524">
        <v>418</v>
      </c>
      <c r="P524" t="s">
        <v>1752</v>
      </c>
      <c r="Q524" t="s">
        <v>1753</v>
      </c>
    </row>
    <row r="525" spans="1:18" x14ac:dyDescent="0.25">
      <c r="A525" t="s">
        <v>1339</v>
      </c>
      <c r="B525" t="s">
        <v>1874</v>
      </c>
      <c r="C525" t="s">
        <v>4</v>
      </c>
      <c r="D525" t="s">
        <v>1340</v>
      </c>
      <c r="E525" s="2">
        <v>43434</v>
      </c>
      <c r="F525">
        <v>2177</v>
      </c>
      <c r="G525" t="s">
        <v>1746</v>
      </c>
      <c r="H525" t="s">
        <v>1747</v>
      </c>
      <c r="I525" t="b">
        <v>0</v>
      </c>
      <c r="J525" t="s">
        <v>1748</v>
      </c>
      <c r="K525" t="s">
        <v>2021</v>
      </c>
      <c r="L525" t="s">
        <v>1750</v>
      </c>
      <c r="M525">
        <v>750</v>
      </c>
      <c r="N525" t="b">
        <v>1</v>
      </c>
      <c r="O525">
        <v>51</v>
      </c>
      <c r="P525" t="s">
        <v>1752</v>
      </c>
      <c r="Q525" t="s">
        <v>1753</v>
      </c>
      <c r="R525" t="s">
        <v>1759</v>
      </c>
    </row>
    <row r="526" spans="1:18" x14ac:dyDescent="0.25">
      <c r="A526" t="s">
        <v>2588</v>
      </c>
      <c r="B526" t="s">
        <v>2589</v>
      </c>
      <c r="C526" t="s">
        <v>4</v>
      </c>
      <c r="D526" t="s">
        <v>2587</v>
      </c>
      <c r="E526" s="2">
        <v>41927</v>
      </c>
      <c r="F526">
        <v>3684</v>
      </c>
      <c r="G526" t="s">
        <v>1746</v>
      </c>
      <c r="H526" t="s">
        <v>1805</v>
      </c>
      <c r="I526" t="b">
        <v>0</v>
      </c>
      <c r="J526" t="s">
        <v>1761</v>
      </c>
      <c r="K526" t="s">
        <v>1891</v>
      </c>
      <c r="L526" t="s">
        <v>1750</v>
      </c>
      <c r="M526">
        <v>745</v>
      </c>
      <c r="N526" t="b">
        <v>1</v>
      </c>
      <c r="O526">
        <v>147</v>
      </c>
      <c r="P526" t="s">
        <v>1752</v>
      </c>
      <c r="Q526" t="s">
        <v>1753</v>
      </c>
    </row>
    <row r="527" spans="1:18" x14ac:dyDescent="0.25">
      <c r="A527" t="s">
        <v>2591</v>
      </c>
      <c r="B527" t="s">
        <v>1803</v>
      </c>
      <c r="C527" t="s">
        <v>4</v>
      </c>
      <c r="D527" t="s">
        <v>2590</v>
      </c>
      <c r="E527" s="2">
        <v>43353</v>
      </c>
      <c r="F527">
        <v>2258</v>
      </c>
      <c r="G527" t="s">
        <v>1746</v>
      </c>
      <c r="H527" t="s">
        <v>1798</v>
      </c>
      <c r="I527" t="b">
        <v>1</v>
      </c>
      <c r="J527" t="s">
        <v>1748</v>
      </c>
      <c r="K527" t="s">
        <v>1925</v>
      </c>
      <c r="L527" t="s">
        <v>1750</v>
      </c>
      <c r="M527">
        <v>745</v>
      </c>
      <c r="N527" t="b">
        <v>0</v>
      </c>
      <c r="O527">
        <v>102</v>
      </c>
      <c r="P527" t="s">
        <v>1752</v>
      </c>
      <c r="Q527" t="s">
        <v>1753</v>
      </c>
    </row>
    <row r="528" spans="1:18" x14ac:dyDescent="0.25">
      <c r="A528" t="s">
        <v>2592</v>
      </c>
      <c r="B528" t="s">
        <v>1810</v>
      </c>
      <c r="C528" t="s">
        <v>4</v>
      </c>
      <c r="D528" t="s">
        <v>1623</v>
      </c>
      <c r="E528" s="2">
        <v>41887</v>
      </c>
      <c r="F528">
        <v>3724</v>
      </c>
      <c r="G528" t="s">
        <v>1746</v>
      </c>
      <c r="H528" t="s">
        <v>1747</v>
      </c>
      <c r="I528" t="b">
        <v>1</v>
      </c>
      <c r="J528" t="s">
        <v>1748</v>
      </c>
      <c r="K528" t="s">
        <v>1776</v>
      </c>
      <c r="L528" t="s">
        <v>1756</v>
      </c>
      <c r="M528">
        <v>743</v>
      </c>
      <c r="N528" t="b">
        <v>0</v>
      </c>
      <c r="O528">
        <v>262</v>
      </c>
      <c r="P528" t="s">
        <v>1752</v>
      </c>
      <c r="Q528" t="s">
        <v>1753</v>
      </c>
      <c r="R528" t="s">
        <v>1759</v>
      </c>
    </row>
    <row r="529" spans="1:18" x14ac:dyDescent="0.25">
      <c r="A529" t="s">
        <v>2593</v>
      </c>
      <c r="B529" t="s">
        <v>1810</v>
      </c>
      <c r="C529" t="s">
        <v>4</v>
      </c>
      <c r="D529" t="s">
        <v>632</v>
      </c>
      <c r="E529" s="2">
        <v>41226</v>
      </c>
      <c r="F529">
        <v>4385</v>
      </c>
      <c r="G529" t="s">
        <v>1746</v>
      </c>
      <c r="H529" t="s">
        <v>1747</v>
      </c>
      <c r="I529" t="b">
        <v>1</v>
      </c>
      <c r="J529" t="s">
        <v>1761</v>
      </c>
      <c r="K529" t="s">
        <v>1868</v>
      </c>
      <c r="L529" t="s">
        <v>1817</v>
      </c>
      <c r="M529">
        <v>740</v>
      </c>
      <c r="N529" t="b">
        <v>0</v>
      </c>
      <c r="O529">
        <v>1853</v>
      </c>
      <c r="P529" t="s">
        <v>1819</v>
      </c>
      <c r="Q529" t="s">
        <v>1753</v>
      </c>
      <c r="R529" t="s">
        <v>1759</v>
      </c>
    </row>
    <row r="530" spans="1:18" x14ac:dyDescent="0.25">
      <c r="A530" t="s">
        <v>2594</v>
      </c>
      <c r="B530" t="s">
        <v>1754</v>
      </c>
      <c r="C530" t="s">
        <v>6</v>
      </c>
      <c r="D530" t="s">
        <v>1129</v>
      </c>
      <c r="E530" s="2">
        <v>40773</v>
      </c>
      <c r="F530">
        <v>4838</v>
      </c>
      <c r="G530" t="s">
        <v>1746</v>
      </c>
      <c r="H530" t="s">
        <v>1798</v>
      </c>
      <c r="I530" t="b">
        <v>0</v>
      </c>
      <c r="J530" t="s">
        <v>1761</v>
      </c>
      <c r="K530" t="s">
        <v>1755</v>
      </c>
      <c r="L530" t="s">
        <v>1750</v>
      </c>
      <c r="M530">
        <v>739</v>
      </c>
      <c r="N530" t="b">
        <v>1</v>
      </c>
      <c r="O530">
        <v>74</v>
      </c>
      <c r="P530" t="s">
        <v>1752</v>
      </c>
      <c r="Q530" t="s">
        <v>1753</v>
      </c>
      <c r="R530" t="s">
        <v>1828</v>
      </c>
    </row>
    <row r="531" spans="1:18" x14ac:dyDescent="0.25">
      <c r="A531" t="s">
        <v>1059</v>
      </c>
      <c r="B531" t="s">
        <v>1768</v>
      </c>
      <c r="C531" t="s">
        <v>4</v>
      </c>
      <c r="D531" t="s">
        <v>1060</v>
      </c>
      <c r="E531" s="2">
        <v>42489</v>
      </c>
      <c r="F531">
        <v>3122</v>
      </c>
      <c r="G531" t="s">
        <v>1746</v>
      </c>
      <c r="H531" t="s">
        <v>1747</v>
      </c>
      <c r="I531" t="b">
        <v>1</v>
      </c>
      <c r="J531" t="s">
        <v>1748</v>
      </c>
      <c r="K531" t="s">
        <v>1853</v>
      </c>
      <c r="L531" t="s">
        <v>1750</v>
      </c>
      <c r="M531">
        <v>739</v>
      </c>
      <c r="N531" t="b">
        <v>0</v>
      </c>
      <c r="O531">
        <v>153</v>
      </c>
      <c r="P531" t="s">
        <v>1752</v>
      </c>
      <c r="Q531" t="s">
        <v>1753</v>
      </c>
      <c r="R531" t="s">
        <v>1759</v>
      </c>
    </row>
    <row r="532" spans="1:18" x14ac:dyDescent="0.25">
      <c r="A532" t="s">
        <v>2595</v>
      </c>
      <c r="B532" t="s">
        <v>1847</v>
      </c>
      <c r="C532" t="s">
        <v>11</v>
      </c>
      <c r="D532" t="s">
        <v>10</v>
      </c>
      <c r="E532" s="2">
        <v>39714</v>
      </c>
      <c r="F532">
        <v>5897</v>
      </c>
      <c r="G532" t="s">
        <v>1746</v>
      </c>
      <c r="H532" t="s">
        <v>1798</v>
      </c>
      <c r="I532" t="b">
        <v>0</v>
      </c>
      <c r="J532" t="s">
        <v>1748</v>
      </c>
      <c r="K532" t="s">
        <v>1822</v>
      </c>
      <c r="L532" t="s">
        <v>1750</v>
      </c>
      <c r="M532">
        <v>739</v>
      </c>
      <c r="N532" t="b">
        <v>0</v>
      </c>
      <c r="O532">
        <v>40</v>
      </c>
      <c r="P532" t="s">
        <v>1752</v>
      </c>
      <c r="Q532" t="s">
        <v>1753</v>
      </c>
    </row>
    <row r="533" spans="1:18" x14ac:dyDescent="0.25">
      <c r="A533" t="s">
        <v>2597</v>
      </c>
      <c r="B533" t="s">
        <v>2032</v>
      </c>
      <c r="C533" t="s">
        <v>4</v>
      </c>
      <c r="D533" t="s">
        <v>2596</v>
      </c>
      <c r="E533" s="2">
        <v>43549</v>
      </c>
      <c r="F533">
        <v>2062</v>
      </c>
      <c r="G533" t="s">
        <v>1746</v>
      </c>
      <c r="H533" t="s">
        <v>1747</v>
      </c>
      <c r="I533" t="b">
        <v>0</v>
      </c>
      <c r="J533" t="s">
        <v>1761</v>
      </c>
      <c r="K533" t="s">
        <v>1822</v>
      </c>
      <c r="L533" t="s">
        <v>1750</v>
      </c>
      <c r="M533">
        <v>739</v>
      </c>
      <c r="N533" t="b">
        <v>1</v>
      </c>
      <c r="O533">
        <v>316</v>
      </c>
      <c r="P533" t="s">
        <v>1752</v>
      </c>
      <c r="Q533" t="s">
        <v>1753</v>
      </c>
    </row>
    <row r="534" spans="1:18" x14ac:dyDescent="0.25">
      <c r="A534" t="s">
        <v>2598</v>
      </c>
      <c r="B534" t="s">
        <v>2599</v>
      </c>
      <c r="C534" t="s">
        <v>4</v>
      </c>
      <c r="D534" t="s">
        <v>822</v>
      </c>
      <c r="E534" s="2">
        <v>43381</v>
      </c>
      <c r="F534">
        <v>2230</v>
      </c>
      <c r="G534" t="s">
        <v>1746</v>
      </c>
      <c r="H534" t="s">
        <v>1747</v>
      </c>
      <c r="I534" t="b">
        <v>0</v>
      </c>
      <c r="J534" t="s">
        <v>1748</v>
      </c>
      <c r="K534" t="s">
        <v>1765</v>
      </c>
      <c r="L534" t="s">
        <v>1750</v>
      </c>
      <c r="M534">
        <v>737</v>
      </c>
      <c r="N534" t="b">
        <v>1</v>
      </c>
      <c r="O534">
        <v>450</v>
      </c>
      <c r="P534" t="s">
        <v>1752</v>
      </c>
      <c r="Q534" t="s">
        <v>1753</v>
      </c>
    </row>
    <row r="535" spans="1:18" x14ac:dyDescent="0.25">
      <c r="A535" t="s">
        <v>2600</v>
      </c>
      <c r="B535" t="s">
        <v>1810</v>
      </c>
      <c r="C535" t="s">
        <v>4</v>
      </c>
      <c r="D535" t="s">
        <v>1064</v>
      </c>
      <c r="E535" s="2">
        <v>41926</v>
      </c>
      <c r="F535">
        <v>3685</v>
      </c>
      <c r="G535" t="s">
        <v>1746</v>
      </c>
      <c r="H535" t="s">
        <v>1747</v>
      </c>
      <c r="I535" t="b">
        <v>1</v>
      </c>
      <c r="J535" t="s">
        <v>1761</v>
      </c>
      <c r="K535" t="s">
        <v>1868</v>
      </c>
      <c r="L535" t="s">
        <v>1817</v>
      </c>
      <c r="M535">
        <v>736</v>
      </c>
      <c r="N535" t="b">
        <v>0</v>
      </c>
      <c r="O535">
        <v>340</v>
      </c>
      <c r="P535" t="s">
        <v>1819</v>
      </c>
      <c r="Q535" t="s">
        <v>1753</v>
      </c>
      <c r="R535" t="s">
        <v>1759</v>
      </c>
    </row>
    <row r="536" spans="1:18" x14ac:dyDescent="0.25">
      <c r="A536" t="s">
        <v>2601</v>
      </c>
      <c r="B536" t="s">
        <v>1754</v>
      </c>
      <c r="C536" t="s">
        <v>4</v>
      </c>
      <c r="D536" t="s">
        <v>616</v>
      </c>
      <c r="E536" s="2">
        <v>38653</v>
      </c>
      <c r="F536">
        <v>6958</v>
      </c>
      <c r="G536" t="s">
        <v>1746</v>
      </c>
      <c r="H536" t="s">
        <v>1798</v>
      </c>
      <c r="I536" t="b">
        <v>1</v>
      </c>
      <c r="J536" t="s">
        <v>1761</v>
      </c>
      <c r="K536" t="s">
        <v>2021</v>
      </c>
      <c r="L536" t="s">
        <v>1750</v>
      </c>
      <c r="M536">
        <v>735</v>
      </c>
      <c r="N536" t="b">
        <v>0</v>
      </c>
      <c r="O536">
        <v>31</v>
      </c>
      <c r="P536" t="s">
        <v>1752</v>
      </c>
      <c r="Q536" t="s">
        <v>1753</v>
      </c>
      <c r="R536" t="s">
        <v>1828</v>
      </c>
    </row>
    <row r="537" spans="1:18" x14ac:dyDescent="0.25">
      <c r="A537" t="s">
        <v>2603</v>
      </c>
      <c r="B537" t="s">
        <v>2604</v>
      </c>
      <c r="C537" t="s">
        <v>4</v>
      </c>
      <c r="D537" t="s">
        <v>2602</v>
      </c>
      <c r="E537" s="2">
        <v>41037</v>
      </c>
      <c r="F537">
        <v>4574</v>
      </c>
      <c r="G537" t="s">
        <v>1746</v>
      </c>
      <c r="H537" t="s">
        <v>1798</v>
      </c>
      <c r="I537" t="b">
        <v>1</v>
      </c>
      <c r="J537" t="s">
        <v>1761</v>
      </c>
      <c r="K537" t="s">
        <v>1755</v>
      </c>
      <c r="L537" t="s">
        <v>1817</v>
      </c>
      <c r="M537">
        <v>732</v>
      </c>
      <c r="N537" t="b">
        <v>0</v>
      </c>
      <c r="O537">
        <v>52</v>
      </c>
      <c r="P537" t="s">
        <v>1819</v>
      </c>
      <c r="Q537" t="s">
        <v>1753</v>
      </c>
    </row>
    <row r="538" spans="1:18" x14ac:dyDescent="0.25">
      <c r="A538" t="s">
        <v>2605</v>
      </c>
      <c r="B538" t="s">
        <v>2106</v>
      </c>
      <c r="C538" t="s">
        <v>6</v>
      </c>
      <c r="D538" t="s">
        <v>17</v>
      </c>
      <c r="E538" s="2">
        <v>42759</v>
      </c>
      <c r="F538">
        <v>2852</v>
      </c>
      <c r="G538" t="s">
        <v>1746</v>
      </c>
      <c r="H538" t="s">
        <v>1798</v>
      </c>
      <c r="I538" t="b">
        <v>0</v>
      </c>
      <c r="J538" t="s">
        <v>1748</v>
      </c>
      <c r="K538" t="s">
        <v>1755</v>
      </c>
      <c r="L538" t="s">
        <v>1817</v>
      </c>
      <c r="M538">
        <v>731</v>
      </c>
      <c r="N538" t="b">
        <v>1</v>
      </c>
      <c r="O538">
        <v>1594</v>
      </c>
      <c r="P538" t="s">
        <v>1819</v>
      </c>
      <c r="Q538" t="s">
        <v>1753</v>
      </c>
      <c r="R538" t="s">
        <v>1759</v>
      </c>
    </row>
    <row r="539" spans="1:18" x14ac:dyDescent="0.25">
      <c r="A539" t="s">
        <v>2607</v>
      </c>
      <c r="B539" t="s">
        <v>1820</v>
      </c>
      <c r="C539" t="s">
        <v>4</v>
      </c>
      <c r="D539" t="s">
        <v>2606</v>
      </c>
      <c r="E539" s="2">
        <v>42956</v>
      </c>
      <c r="F539">
        <v>2655</v>
      </c>
      <c r="G539" t="s">
        <v>1746</v>
      </c>
      <c r="H539" t="s">
        <v>1747</v>
      </c>
      <c r="I539" t="b">
        <v>1</v>
      </c>
      <c r="J539" t="s">
        <v>1748</v>
      </c>
      <c r="K539" t="s">
        <v>1776</v>
      </c>
      <c r="L539" t="s">
        <v>1817</v>
      </c>
      <c r="M539">
        <v>728</v>
      </c>
      <c r="N539" t="b">
        <v>0</v>
      </c>
      <c r="O539">
        <v>13583</v>
      </c>
      <c r="P539" t="s">
        <v>1819</v>
      </c>
      <c r="Q539" t="s">
        <v>1753</v>
      </c>
      <c r="R539" t="s">
        <v>1759</v>
      </c>
    </row>
    <row r="540" spans="1:18" x14ac:dyDescent="0.25">
      <c r="A540" t="s">
        <v>2609</v>
      </c>
      <c r="B540" t="s">
        <v>2133</v>
      </c>
      <c r="C540" t="s">
        <v>4</v>
      </c>
      <c r="D540" t="s">
        <v>2608</v>
      </c>
      <c r="E540" s="2">
        <v>44217</v>
      </c>
      <c r="F540">
        <v>1394</v>
      </c>
      <c r="G540" t="s">
        <v>1746</v>
      </c>
      <c r="H540" t="s">
        <v>1747</v>
      </c>
      <c r="I540" t="b">
        <v>1</v>
      </c>
      <c r="J540" t="s">
        <v>1761</v>
      </c>
      <c r="K540" t="s">
        <v>1774</v>
      </c>
      <c r="L540" t="s">
        <v>1750</v>
      </c>
      <c r="M540">
        <v>726</v>
      </c>
      <c r="N540" t="b">
        <v>0</v>
      </c>
      <c r="O540">
        <v>27</v>
      </c>
      <c r="P540" t="s">
        <v>1752</v>
      </c>
      <c r="Q540" t="s">
        <v>1753</v>
      </c>
    </row>
    <row r="541" spans="1:18" x14ac:dyDescent="0.25">
      <c r="A541" t="s">
        <v>2610</v>
      </c>
      <c r="B541" t="s">
        <v>2611</v>
      </c>
      <c r="C541" t="s">
        <v>6</v>
      </c>
      <c r="D541" t="s">
        <v>1154</v>
      </c>
      <c r="E541" s="2">
        <v>43924</v>
      </c>
      <c r="F541">
        <v>1687</v>
      </c>
      <c r="G541" t="s">
        <v>1746</v>
      </c>
      <c r="H541" t="s">
        <v>2001</v>
      </c>
      <c r="I541" t="b">
        <v>0</v>
      </c>
      <c r="J541" t="s">
        <v>1748</v>
      </c>
      <c r="K541" t="s">
        <v>1824</v>
      </c>
      <c r="L541" t="s">
        <v>1750</v>
      </c>
      <c r="M541">
        <v>722</v>
      </c>
      <c r="N541" t="b">
        <v>0</v>
      </c>
      <c r="O541">
        <v>46</v>
      </c>
      <c r="P541" t="s">
        <v>1819</v>
      </c>
      <c r="Q541" t="s">
        <v>1753</v>
      </c>
    </row>
    <row r="542" spans="1:18" x14ac:dyDescent="0.25">
      <c r="A542" t="s">
        <v>2613</v>
      </c>
      <c r="B542" t="s">
        <v>1785</v>
      </c>
      <c r="C542" t="s">
        <v>4</v>
      </c>
      <c r="D542" t="s">
        <v>2612</v>
      </c>
      <c r="E542" s="2">
        <v>41046</v>
      </c>
      <c r="F542">
        <v>4565</v>
      </c>
      <c r="G542" t="s">
        <v>1746</v>
      </c>
      <c r="H542" t="s">
        <v>1805</v>
      </c>
      <c r="I542" t="b">
        <v>1</v>
      </c>
      <c r="J542" t="s">
        <v>1761</v>
      </c>
      <c r="K542" t="s">
        <v>1824</v>
      </c>
      <c r="L542" t="s">
        <v>1750</v>
      </c>
      <c r="M542">
        <v>722</v>
      </c>
      <c r="N542" t="b">
        <v>0</v>
      </c>
      <c r="O542">
        <v>26</v>
      </c>
      <c r="P542" t="s">
        <v>1819</v>
      </c>
      <c r="Q542" t="s">
        <v>1753</v>
      </c>
    </row>
    <row r="543" spans="1:18" x14ac:dyDescent="0.25">
      <c r="A543" t="s">
        <v>2615</v>
      </c>
      <c r="B543" t="s">
        <v>1785</v>
      </c>
      <c r="C543" t="s">
        <v>4</v>
      </c>
      <c r="D543" t="s">
        <v>2614</v>
      </c>
      <c r="E543" s="2">
        <v>41046</v>
      </c>
      <c r="F543">
        <v>4565</v>
      </c>
      <c r="G543" t="s">
        <v>1746</v>
      </c>
      <c r="H543" t="s">
        <v>1805</v>
      </c>
      <c r="I543" t="b">
        <v>1</v>
      </c>
      <c r="J543" t="s">
        <v>1761</v>
      </c>
      <c r="K543" t="s">
        <v>1824</v>
      </c>
      <c r="L543" t="s">
        <v>1750</v>
      </c>
      <c r="M543">
        <v>722</v>
      </c>
      <c r="N543" t="b">
        <v>0</v>
      </c>
      <c r="O543">
        <v>59</v>
      </c>
      <c r="P543" t="s">
        <v>1819</v>
      </c>
      <c r="Q543" t="s">
        <v>1753</v>
      </c>
    </row>
    <row r="544" spans="1:18" x14ac:dyDescent="0.25">
      <c r="A544" t="s">
        <v>2617</v>
      </c>
      <c r="B544" t="s">
        <v>1907</v>
      </c>
      <c r="C544" t="s">
        <v>4</v>
      </c>
      <c r="D544" t="s">
        <v>2616</v>
      </c>
      <c r="E544" s="2">
        <v>44678</v>
      </c>
      <c r="F544">
        <v>933</v>
      </c>
      <c r="G544" t="s">
        <v>1746</v>
      </c>
      <c r="H544" t="s">
        <v>1798</v>
      </c>
      <c r="I544" t="b">
        <v>1</v>
      </c>
      <c r="J544" t="s">
        <v>1748</v>
      </c>
      <c r="K544" t="s">
        <v>1863</v>
      </c>
      <c r="L544" t="s">
        <v>1817</v>
      </c>
      <c r="M544">
        <v>721</v>
      </c>
      <c r="N544" t="b">
        <v>0</v>
      </c>
      <c r="O544">
        <v>615</v>
      </c>
      <c r="P544" t="s">
        <v>1819</v>
      </c>
      <c r="Q544" t="s">
        <v>1753</v>
      </c>
      <c r="R544" t="s">
        <v>1759</v>
      </c>
    </row>
    <row r="545" spans="1:18" x14ac:dyDescent="0.25">
      <c r="A545" t="s">
        <v>2619</v>
      </c>
      <c r="B545" t="s">
        <v>2620</v>
      </c>
      <c r="C545" t="s">
        <v>4</v>
      </c>
      <c r="D545" t="s">
        <v>2618</v>
      </c>
      <c r="E545" s="2">
        <v>43773</v>
      </c>
      <c r="F545">
        <v>1838</v>
      </c>
      <c r="G545" t="s">
        <v>1746</v>
      </c>
      <c r="H545" t="s">
        <v>1747</v>
      </c>
      <c r="I545" t="b">
        <v>0</v>
      </c>
      <c r="J545" t="s">
        <v>1761</v>
      </c>
      <c r="K545" t="s">
        <v>2021</v>
      </c>
      <c r="L545" t="s">
        <v>1750</v>
      </c>
      <c r="M545">
        <v>720</v>
      </c>
      <c r="N545" t="b">
        <v>0</v>
      </c>
      <c r="O545">
        <v>103</v>
      </c>
      <c r="P545" t="s">
        <v>1819</v>
      </c>
      <c r="Q545" t="s">
        <v>1753</v>
      </c>
    </row>
    <row r="546" spans="1:18" x14ac:dyDescent="0.25">
      <c r="A546" t="s">
        <v>2622</v>
      </c>
      <c r="B546" t="s">
        <v>1840</v>
      </c>
      <c r="C546" t="s">
        <v>4</v>
      </c>
      <c r="D546" t="s">
        <v>2621</v>
      </c>
      <c r="E546" s="2">
        <v>42513</v>
      </c>
      <c r="F546">
        <v>3098</v>
      </c>
      <c r="G546" t="s">
        <v>1746</v>
      </c>
      <c r="H546" t="s">
        <v>1747</v>
      </c>
      <c r="I546" t="b">
        <v>0</v>
      </c>
      <c r="J546" t="s">
        <v>1761</v>
      </c>
      <c r="K546" t="s">
        <v>1846</v>
      </c>
      <c r="L546" t="s">
        <v>1817</v>
      </c>
      <c r="M546">
        <v>717</v>
      </c>
      <c r="N546" t="b">
        <v>0</v>
      </c>
      <c r="O546">
        <v>33</v>
      </c>
      <c r="P546" t="s">
        <v>1819</v>
      </c>
      <c r="Q546" t="s">
        <v>1753</v>
      </c>
    </row>
    <row r="547" spans="1:18" x14ac:dyDescent="0.25">
      <c r="A547" t="s">
        <v>2623</v>
      </c>
      <c r="B547" t="s">
        <v>1829</v>
      </c>
      <c r="C547" t="s">
        <v>6</v>
      </c>
      <c r="D547" t="s">
        <v>1143</v>
      </c>
      <c r="E547" s="2">
        <v>43585</v>
      </c>
      <c r="F547">
        <v>2026</v>
      </c>
      <c r="G547" t="s">
        <v>1746</v>
      </c>
      <c r="H547" t="s">
        <v>1798</v>
      </c>
      <c r="I547" t="b">
        <v>0</v>
      </c>
      <c r="J547" t="s">
        <v>1748</v>
      </c>
      <c r="K547" t="s">
        <v>1770</v>
      </c>
      <c r="L547" t="s">
        <v>1817</v>
      </c>
      <c r="M547">
        <v>715</v>
      </c>
      <c r="N547" t="b">
        <v>1</v>
      </c>
      <c r="O547">
        <v>105</v>
      </c>
      <c r="P547" t="s">
        <v>1819</v>
      </c>
      <c r="Q547" t="s">
        <v>1753</v>
      </c>
      <c r="R547" t="s">
        <v>1759</v>
      </c>
    </row>
    <row r="548" spans="1:18" x14ac:dyDescent="0.25">
      <c r="A548" t="s">
        <v>2624</v>
      </c>
      <c r="B548" t="s">
        <v>1754</v>
      </c>
      <c r="C548" t="s">
        <v>4</v>
      </c>
      <c r="D548" t="s">
        <v>651</v>
      </c>
      <c r="E548" s="2">
        <v>38653</v>
      </c>
      <c r="F548">
        <v>6958</v>
      </c>
      <c r="G548" t="s">
        <v>1746</v>
      </c>
      <c r="H548" t="s">
        <v>1747</v>
      </c>
      <c r="I548" t="b">
        <v>1</v>
      </c>
      <c r="J548" t="s">
        <v>1761</v>
      </c>
      <c r="K548" t="s">
        <v>1835</v>
      </c>
      <c r="L548" t="s">
        <v>1750</v>
      </c>
      <c r="M548">
        <v>714</v>
      </c>
      <c r="N548" t="b">
        <v>0</v>
      </c>
      <c r="O548">
        <v>922</v>
      </c>
      <c r="P548" t="s">
        <v>1752</v>
      </c>
      <c r="Q548" t="s">
        <v>1753</v>
      </c>
      <c r="R548" t="s">
        <v>2028</v>
      </c>
    </row>
    <row r="549" spans="1:18" x14ac:dyDescent="0.25">
      <c r="A549" t="s">
        <v>2625</v>
      </c>
      <c r="B549" t="s">
        <v>1876</v>
      </c>
      <c r="C549" t="s">
        <v>4</v>
      </c>
      <c r="D549" t="s">
        <v>779</v>
      </c>
      <c r="E549" s="2">
        <v>43648</v>
      </c>
      <c r="F549">
        <v>1963</v>
      </c>
      <c r="G549" t="s">
        <v>1746</v>
      </c>
      <c r="H549" t="s">
        <v>1747</v>
      </c>
      <c r="I549" t="b">
        <v>0</v>
      </c>
      <c r="J549" t="s">
        <v>1748</v>
      </c>
      <c r="K549" t="s">
        <v>1830</v>
      </c>
      <c r="L549" t="s">
        <v>1750</v>
      </c>
      <c r="M549">
        <v>713</v>
      </c>
      <c r="N549" t="b">
        <v>1</v>
      </c>
      <c r="O549">
        <v>55</v>
      </c>
      <c r="P549" t="s">
        <v>1752</v>
      </c>
      <c r="Q549" t="s">
        <v>1753</v>
      </c>
      <c r="R549" t="s">
        <v>1759</v>
      </c>
    </row>
    <row r="550" spans="1:18" x14ac:dyDescent="0.25">
      <c r="A550" t="s">
        <v>2626</v>
      </c>
      <c r="B550" t="s">
        <v>1814</v>
      </c>
      <c r="C550" t="s">
        <v>6</v>
      </c>
      <c r="D550" t="s">
        <v>844</v>
      </c>
      <c r="E550" s="2">
        <v>38869</v>
      </c>
      <c r="F550">
        <v>6742</v>
      </c>
      <c r="G550" t="s">
        <v>1746</v>
      </c>
      <c r="H550" t="s">
        <v>1798</v>
      </c>
      <c r="I550" t="b">
        <v>1</v>
      </c>
      <c r="J550" t="s">
        <v>1748</v>
      </c>
      <c r="K550" t="s">
        <v>1824</v>
      </c>
      <c r="L550" t="s">
        <v>1750</v>
      </c>
      <c r="M550">
        <v>713</v>
      </c>
      <c r="N550" t="b">
        <v>0</v>
      </c>
      <c r="O550">
        <v>40</v>
      </c>
      <c r="P550" t="s">
        <v>1752</v>
      </c>
      <c r="Q550" t="s">
        <v>1753</v>
      </c>
    </row>
    <row r="551" spans="1:18" x14ac:dyDescent="0.25">
      <c r="A551" t="s">
        <v>2628</v>
      </c>
      <c r="B551" t="s">
        <v>2150</v>
      </c>
      <c r="C551" t="s">
        <v>4</v>
      </c>
      <c r="D551" t="s">
        <v>2627</v>
      </c>
      <c r="E551" s="2">
        <v>43760</v>
      </c>
      <c r="F551">
        <v>1851</v>
      </c>
      <c r="G551" t="s">
        <v>1746</v>
      </c>
      <c r="H551" t="s">
        <v>1747</v>
      </c>
      <c r="I551" t="b">
        <v>0</v>
      </c>
      <c r="J551" t="s">
        <v>1761</v>
      </c>
      <c r="K551" t="s">
        <v>1770</v>
      </c>
      <c r="L551" t="s">
        <v>1750</v>
      </c>
      <c r="M551">
        <v>713</v>
      </c>
      <c r="N551" t="b">
        <v>1</v>
      </c>
      <c r="O551">
        <v>1028</v>
      </c>
      <c r="P551" t="s">
        <v>1752</v>
      </c>
      <c r="Q551" t="s">
        <v>1753</v>
      </c>
      <c r="R551" t="s">
        <v>1772</v>
      </c>
    </row>
    <row r="552" spans="1:18" x14ac:dyDescent="0.25">
      <c r="A552" t="s">
        <v>2629</v>
      </c>
      <c r="B552" t="s">
        <v>2157</v>
      </c>
      <c r="C552" t="s">
        <v>4</v>
      </c>
      <c r="D552" t="s">
        <v>81</v>
      </c>
      <c r="E552" s="2">
        <v>45183</v>
      </c>
      <c r="F552">
        <v>428</v>
      </c>
      <c r="G552" t="s">
        <v>1746</v>
      </c>
      <c r="H552" t="s">
        <v>1747</v>
      </c>
      <c r="I552" t="b">
        <v>0</v>
      </c>
      <c r="J552" t="s">
        <v>1748</v>
      </c>
      <c r="K552" t="s">
        <v>1824</v>
      </c>
      <c r="L552" t="s">
        <v>1750</v>
      </c>
      <c r="M552">
        <v>712</v>
      </c>
      <c r="N552" t="b">
        <v>1</v>
      </c>
      <c r="O552">
        <v>303</v>
      </c>
      <c r="P552" t="s">
        <v>1752</v>
      </c>
      <c r="Q552" t="s">
        <v>1753</v>
      </c>
    </row>
    <row r="553" spans="1:18" x14ac:dyDescent="0.25">
      <c r="A553" t="s">
        <v>672</v>
      </c>
      <c r="B553" t="s">
        <v>1754</v>
      </c>
      <c r="C553" t="s">
        <v>4</v>
      </c>
      <c r="D553" t="s">
        <v>673</v>
      </c>
      <c r="E553" s="2">
        <v>40451</v>
      </c>
      <c r="F553">
        <v>5160</v>
      </c>
      <c r="G553" t="s">
        <v>1746</v>
      </c>
      <c r="H553" t="s">
        <v>1798</v>
      </c>
      <c r="I553" t="b">
        <v>1</v>
      </c>
      <c r="J553" t="s">
        <v>1748</v>
      </c>
      <c r="K553" t="s">
        <v>1905</v>
      </c>
      <c r="L553" t="s">
        <v>1756</v>
      </c>
      <c r="M553">
        <v>705</v>
      </c>
      <c r="N553" t="b">
        <v>0</v>
      </c>
      <c r="O553">
        <v>198</v>
      </c>
      <c r="P553" t="s">
        <v>1752</v>
      </c>
      <c r="Q553" t="s">
        <v>1753</v>
      </c>
    </row>
    <row r="554" spans="1:18" x14ac:dyDescent="0.25">
      <c r="A554" t="s">
        <v>2631</v>
      </c>
      <c r="B554" t="s">
        <v>1803</v>
      </c>
      <c r="C554" t="s">
        <v>6</v>
      </c>
      <c r="D554" t="s">
        <v>2630</v>
      </c>
      <c r="E554" s="2">
        <v>42809</v>
      </c>
      <c r="F554">
        <v>2802</v>
      </c>
      <c r="G554" t="s">
        <v>1746</v>
      </c>
      <c r="H554" t="s">
        <v>1798</v>
      </c>
      <c r="I554" t="b">
        <v>1</v>
      </c>
      <c r="J554" t="s">
        <v>1748</v>
      </c>
      <c r="K554" t="s">
        <v>1755</v>
      </c>
      <c r="L554" t="s">
        <v>1817</v>
      </c>
      <c r="M554">
        <v>702</v>
      </c>
      <c r="N554" t="b">
        <v>0</v>
      </c>
      <c r="O554">
        <v>600</v>
      </c>
      <c r="P554" t="s">
        <v>1819</v>
      </c>
      <c r="Q554" t="s">
        <v>1753</v>
      </c>
      <c r="R554" t="s">
        <v>1759</v>
      </c>
    </row>
    <row r="555" spans="1:18" x14ac:dyDescent="0.25">
      <c r="A555" t="s">
        <v>1036</v>
      </c>
      <c r="B555" t="s">
        <v>1814</v>
      </c>
      <c r="C555" t="s">
        <v>4</v>
      </c>
      <c r="D555" t="s">
        <v>1037</v>
      </c>
      <c r="E555" s="2">
        <v>41978</v>
      </c>
      <c r="F555">
        <v>3633</v>
      </c>
      <c r="G555" t="s">
        <v>1746</v>
      </c>
      <c r="H555" t="s">
        <v>1798</v>
      </c>
      <c r="I555" t="b">
        <v>1</v>
      </c>
      <c r="J555" t="s">
        <v>1748</v>
      </c>
      <c r="K555" t="s">
        <v>1770</v>
      </c>
      <c r="L555" t="s">
        <v>1750</v>
      </c>
      <c r="M555">
        <v>701</v>
      </c>
      <c r="N555" t="b">
        <v>0</v>
      </c>
      <c r="O555">
        <v>43</v>
      </c>
      <c r="P555" t="s">
        <v>1752</v>
      </c>
      <c r="Q555" t="s">
        <v>1753</v>
      </c>
      <c r="R555" t="s">
        <v>1828</v>
      </c>
    </row>
    <row r="556" spans="1:18" x14ac:dyDescent="0.25">
      <c r="A556" t="s">
        <v>2632</v>
      </c>
      <c r="B556" t="s">
        <v>1814</v>
      </c>
      <c r="C556" t="s">
        <v>11</v>
      </c>
      <c r="D556" t="s">
        <v>909</v>
      </c>
      <c r="E556" s="2">
        <v>38726</v>
      </c>
      <c r="F556">
        <v>6885</v>
      </c>
      <c r="G556" t="s">
        <v>1746</v>
      </c>
      <c r="H556" t="s">
        <v>1798</v>
      </c>
      <c r="I556" t="b">
        <v>1</v>
      </c>
      <c r="J556" t="s">
        <v>1748</v>
      </c>
      <c r="K556" t="s">
        <v>1776</v>
      </c>
      <c r="L556" t="s">
        <v>1750</v>
      </c>
      <c r="M556">
        <v>699</v>
      </c>
      <c r="N556" t="b">
        <v>0</v>
      </c>
      <c r="O556">
        <v>420</v>
      </c>
      <c r="P556" t="s">
        <v>1752</v>
      </c>
      <c r="Q556" t="s">
        <v>1753</v>
      </c>
      <c r="R556" t="s">
        <v>1828</v>
      </c>
    </row>
    <row r="557" spans="1:18" x14ac:dyDescent="0.25">
      <c r="A557" t="s">
        <v>2633</v>
      </c>
      <c r="B557" t="s">
        <v>1754</v>
      </c>
      <c r="C557" t="s">
        <v>6</v>
      </c>
      <c r="D557" t="s">
        <v>1136</v>
      </c>
      <c r="E557" s="2">
        <v>37194</v>
      </c>
      <c r="F557">
        <v>8417</v>
      </c>
      <c r="G557" t="s">
        <v>1746</v>
      </c>
      <c r="H557" t="s">
        <v>2001</v>
      </c>
      <c r="I557" t="b">
        <v>1</v>
      </c>
      <c r="J557" t="s">
        <v>1761</v>
      </c>
      <c r="K557" t="s">
        <v>1774</v>
      </c>
      <c r="L557" t="s">
        <v>1750</v>
      </c>
      <c r="M557">
        <v>698</v>
      </c>
      <c r="N557" t="b">
        <v>0</v>
      </c>
      <c r="O557">
        <v>198</v>
      </c>
      <c r="P557" t="s">
        <v>1752</v>
      </c>
      <c r="Q557" t="s">
        <v>1753</v>
      </c>
    </row>
    <row r="558" spans="1:18" x14ac:dyDescent="0.25">
      <c r="A558" t="s">
        <v>2634</v>
      </c>
      <c r="B558" t="s">
        <v>1936</v>
      </c>
      <c r="C558" t="s">
        <v>6</v>
      </c>
      <c r="D558" t="s">
        <v>56</v>
      </c>
      <c r="E558" s="2">
        <v>43249</v>
      </c>
      <c r="F558">
        <v>2362</v>
      </c>
      <c r="G558" t="s">
        <v>1746</v>
      </c>
      <c r="H558" t="s">
        <v>1747</v>
      </c>
      <c r="I558" t="b">
        <v>0</v>
      </c>
      <c r="J558" t="s">
        <v>1748</v>
      </c>
      <c r="K558" t="s">
        <v>1934</v>
      </c>
      <c r="L558" t="s">
        <v>1750</v>
      </c>
      <c r="M558">
        <v>693</v>
      </c>
      <c r="N558" t="b">
        <v>1</v>
      </c>
      <c r="O558">
        <v>5208</v>
      </c>
      <c r="P558" t="s">
        <v>1819</v>
      </c>
      <c r="Q558" t="s">
        <v>1753</v>
      </c>
      <c r="R558" t="s">
        <v>1759</v>
      </c>
    </row>
    <row r="559" spans="1:18" x14ac:dyDescent="0.25">
      <c r="A559" t="s">
        <v>2635</v>
      </c>
      <c r="B559" t="s">
        <v>1874</v>
      </c>
      <c r="C559" t="s">
        <v>4</v>
      </c>
      <c r="D559" t="s">
        <v>1410</v>
      </c>
      <c r="E559" s="2">
        <v>42524</v>
      </c>
      <c r="F559">
        <v>3087</v>
      </c>
      <c r="G559" t="s">
        <v>1746</v>
      </c>
      <c r="H559" t="s">
        <v>1747</v>
      </c>
      <c r="I559" t="b">
        <v>0</v>
      </c>
      <c r="J559" t="s">
        <v>1748</v>
      </c>
      <c r="K559" t="s">
        <v>1800</v>
      </c>
      <c r="L559" t="s">
        <v>1756</v>
      </c>
      <c r="M559">
        <v>692</v>
      </c>
      <c r="N559" t="b">
        <v>1</v>
      </c>
      <c r="O559">
        <v>585</v>
      </c>
      <c r="P559" t="s">
        <v>1752</v>
      </c>
      <c r="Q559" t="s">
        <v>1753</v>
      </c>
      <c r="R559" t="s">
        <v>1759</v>
      </c>
    </row>
    <row r="560" spans="1:18" x14ac:dyDescent="0.25">
      <c r="A560" t="s">
        <v>2637</v>
      </c>
      <c r="B560" t="s">
        <v>1785</v>
      </c>
      <c r="C560" t="s">
        <v>4</v>
      </c>
      <c r="D560" t="s">
        <v>2636</v>
      </c>
      <c r="E560" s="2">
        <v>43536</v>
      </c>
      <c r="F560">
        <v>2075</v>
      </c>
      <c r="G560" t="s">
        <v>1746</v>
      </c>
      <c r="H560" t="s">
        <v>1798</v>
      </c>
      <c r="I560" t="b">
        <v>0</v>
      </c>
      <c r="J560" t="s">
        <v>1761</v>
      </c>
      <c r="K560" t="s">
        <v>1774</v>
      </c>
      <c r="L560" t="s">
        <v>1756</v>
      </c>
      <c r="M560">
        <v>691</v>
      </c>
      <c r="N560" t="b">
        <v>1</v>
      </c>
      <c r="O560">
        <v>205</v>
      </c>
      <c r="P560" t="s">
        <v>1752</v>
      </c>
      <c r="Q560" t="s">
        <v>1753</v>
      </c>
      <c r="R560" t="s">
        <v>1828</v>
      </c>
    </row>
    <row r="561" spans="1:18" x14ac:dyDescent="0.25">
      <c r="A561" t="s">
        <v>2639</v>
      </c>
      <c r="B561" t="s">
        <v>2589</v>
      </c>
      <c r="C561" t="s">
        <v>4</v>
      </c>
      <c r="D561" t="s">
        <v>2638</v>
      </c>
      <c r="E561" s="2">
        <v>43781</v>
      </c>
      <c r="F561">
        <v>1830</v>
      </c>
      <c r="G561" t="s">
        <v>1746</v>
      </c>
      <c r="H561" t="s">
        <v>1747</v>
      </c>
      <c r="I561" t="b">
        <v>0</v>
      </c>
      <c r="J561" t="s">
        <v>1748</v>
      </c>
      <c r="K561" t="s">
        <v>1776</v>
      </c>
      <c r="L561" t="s">
        <v>1817</v>
      </c>
      <c r="M561">
        <v>689</v>
      </c>
      <c r="N561" t="b">
        <v>1</v>
      </c>
      <c r="O561">
        <v>1112</v>
      </c>
      <c r="P561" t="s">
        <v>1819</v>
      </c>
      <c r="Q561" t="s">
        <v>1753</v>
      </c>
      <c r="R561" t="s">
        <v>1759</v>
      </c>
    </row>
    <row r="562" spans="1:18" x14ac:dyDescent="0.25">
      <c r="A562" t="s">
        <v>2641</v>
      </c>
      <c r="B562" t="s">
        <v>2144</v>
      </c>
      <c r="C562" t="s">
        <v>4</v>
      </c>
      <c r="D562" t="s">
        <v>2640</v>
      </c>
      <c r="E562" s="2">
        <v>44868</v>
      </c>
      <c r="F562">
        <v>743</v>
      </c>
      <c r="G562" t="s">
        <v>1746</v>
      </c>
      <c r="H562" t="s">
        <v>1747</v>
      </c>
      <c r="I562" t="b">
        <v>0</v>
      </c>
      <c r="J562" t="s">
        <v>1748</v>
      </c>
      <c r="K562" t="s">
        <v>1822</v>
      </c>
      <c r="L562" t="s">
        <v>1750</v>
      </c>
      <c r="M562">
        <v>688</v>
      </c>
      <c r="N562" t="b">
        <v>1</v>
      </c>
      <c r="O562">
        <v>318</v>
      </c>
      <c r="P562" t="s">
        <v>1752</v>
      </c>
      <c r="Q562" t="s">
        <v>1753</v>
      </c>
    </row>
    <row r="563" spans="1:18" x14ac:dyDescent="0.25">
      <c r="A563" t="s">
        <v>2643</v>
      </c>
      <c r="B563" t="s">
        <v>2342</v>
      </c>
      <c r="C563" t="s">
        <v>6</v>
      </c>
      <c r="D563" t="s">
        <v>2642</v>
      </c>
      <c r="E563" s="2">
        <v>39980</v>
      </c>
      <c r="F563">
        <v>5631</v>
      </c>
      <c r="G563" t="s">
        <v>1746</v>
      </c>
      <c r="H563" t="s">
        <v>1798</v>
      </c>
      <c r="I563" t="b">
        <v>0</v>
      </c>
      <c r="J563" t="s">
        <v>1748</v>
      </c>
      <c r="K563" t="s">
        <v>1880</v>
      </c>
      <c r="L563" t="s">
        <v>1766</v>
      </c>
      <c r="M563">
        <v>688</v>
      </c>
      <c r="N563" t="b">
        <v>0</v>
      </c>
      <c r="P563" t="s">
        <v>1752</v>
      </c>
      <c r="Q563" t="s">
        <v>1753</v>
      </c>
      <c r="R563" t="s">
        <v>1759</v>
      </c>
    </row>
    <row r="564" spans="1:18" x14ac:dyDescent="0.25">
      <c r="A564" t="s">
        <v>2644</v>
      </c>
      <c r="B564" t="s">
        <v>2269</v>
      </c>
      <c r="C564" t="s">
        <v>6</v>
      </c>
      <c r="D564" t="s">
        <v>1527</v>
      </c>
      <c r="E564" s="2">
        <v>39741</v>
      </c>
      <c r="F564">
        <v>5870</v>
      </c>
      <c r="G564" t="s">
        <v>1746</v>
      </c>
      <c r="H564" t="s">
        <v>1798</v>
      </c>
      <c r="I564" t="b">
        <v>1</v>
      </c>
      <c r="J564" t="s">
        <v>1748</v>
      </c>
      <c r="K564" t="s">
        <v>1776</v>
      </c>
      <c r="L564" t="s">
        <v>1817</v>
      </c>
      <c r="M564">
        <v>686</v>
      </c>
      <c r="N564" t="b">
        <v>0</v>
      </c>
      <c r="O564">
        <v>1147</v>
      </c>
      <c r="P564" t="s">
        <v>1819</v>
      </c>
      <c r="Q564" t="s">
        <v>1753</v>
      </c>
      <c r="R564" t="s">
        <v>1759</v>
      </c>
    </row>
    <row r="565" spans="1:18" x14ac:dyDescent="0.25">
      <c r="A565" t="s">
        <v>2646</v>
      </c>
      <c r="B565" t="s">
        <v>1866</v>
      </c>
      <c r="C565" t="s">
        <v>572</v>
      </c>
      <c r="D565" t="s">
        <v>2645</v>
      </c>
      <c r="E565" s="2">
        <v>37006</v>
      </c>
      <c r="F565">
        <v>8605</v>
      </c>
      <c r="G565" t="s">
        <v>1746</v>
      </c>
      <c r="H565" t="s">
        <v>1798</v>
      </c>
      <c r="I565" t="b">
        <v>0</v>
      </c>
      <c r="J565" t="s">
        <v>1761</v>
      </c>
      <c r="K565" t="s">
        <v>1912</v>
      </c>
      <c r="L565" t="s">
        <v>1750</v>
      </c>
      <c r="M565">
        <v>685</v>
      </c>
      <c r="N565" t="b">
        <v>0</v>
      </c>
      <c r="O565">
        <v>55</v>
      </c>
      <c r="P565" t="s">
        <v>1752</v>
      </c>
      <c r="Q565" t="s">
        <v>1753</v>
      </c>
      <c r="R565" t="s">
        <v>1828</v>
      </c>
    </row>
    <row r="566" spans="1:18" x14ac:dyDescent="0.25">
      <c r="A566" t="s">
        <v>2647</v>
      </c>
      <c r="B566" t="s">
        <v>1814</v>
      </c>
      <c r="C566" t="s">
        <v>11</v>
      </c>
      <c r="D566" t="s">
        <v>918</v>
      </c>
      <c r="E566" s="2">
        <v>39365</v>
      </c>
      <c r="F566">
        <v>6246</v>
      </c>
      <c r="G566" t="s">
        <v>1746</v>
      </c>
      <c r="H566" t="s">
        <v>1798</v>
      </c>
      <c r="I566" t="b">
        <v>1</v>
      </c>
      <c r="J566" t="s">
        <v>1761</v>
      </c>
      <c r="K566" t="s">
        <v>2042</v>
      </c>
      <c r="L566" t="s">
        <v>1750</v>
      </c>
      <c r="M566">
        <v>681</v>
      </c>
      <c r="N566" t="b">
        <v>1</v>
      </c>
      <c r="O566">
        <v>78</v>
      </c>
      <c r="P566" t="s">
        <v>1752</v>
      </c>
      <c r="Q566" t="s">
        <v>1753</v>
      </c>
      <c r="R566" t="s">
        <v>1759</v>
      </c>
    </row>
    <row r="567" spans="1:18" x14ac:dyDescent="0.25">
      <c r="A567" t="s">
        <v>2648</v>
      </c>
      <c r="B567" t="s">
        <v>1876</v>
      </c>
      <c r="C567" t="s">
        <v>4</v>
      </c>
      <c r="D567" t="s">
        <v>731</v>
      </c>
      <c r="E567" s="2">
        <v>43535</v>
      </c>
      <c r="F567">
        <v>2076</v>
      </c>
      <c r="G567" t="s">
        <v>1746</v>
      </c>
      <c r="H567" t="s">
        <v>1747</v>
      </c>
      <c r="I567" t="b">
        <v>1</v>
      </c>
      <c r="J567" t="s">
        <v>1748</v>
      </c>
      <c r="K567" t="s">
        <v>1757</v>
      </c>
      <c r="L567" t="s">
        <v>1756</v>
      </c>
      <c r="M567">
        <v>680</v>
      </c>
      <c r="N567" t="b">
        <v>0</v>
      </c>
      <c r="O567">
        <v>44</v>
      </c>
      <c r="P567" t="s">
        <v>1752</v>
      </c>
      <c r="Q567" t="s">
        <v>1753</v>
      </c>
      <c r="R567" t="s">
        <v>1759</v>
      </c>
    </row>
    <row r="568" spans="1:18" x14ac:dyDescent="0.25">
      <c r="A568" t="s">
        <v>2649</v>
      </c>
      <c r="B568" t="s">
        <v>1998</v>
      </c>
      <c r="C568" t="s">
        <v>4</v>
      </c>
      <c r="D568" t="s">
        <v>722</v>
      </c>
      <c r="E568" s="2">
        <v>39157</v>
      </c>
      <c r="F568">
        <v>6454</v>
      </c>
      <c r="G568" t="s">
        <v>1746</v>
      </c>
      <c r="H568" t="s">
        <v>1805</v>
      </c>
      <c r="I568" t="b">
        <v>1</v>
      </c>
      <c r="J568" t="s">
        <v>1761</v>
      </c>
      <c r="K568" t="s">
        <v>2021</v>
      </c>
      <c r="L568" t="s">
        <v>1750</v>
      </c>
      <c r="M568">
        <v>677</v>
      </c>
      <c r="N568" t="b">
        <v>0</v>
      </c>
      <c r="O568">
        <v>40</v>
      </c>
      <c r="P568" t="s">
        <v>2266</v>
      </c>
      <c r="Q568" t="s">
        <v>1753</v>
      </c>
    </row>
    <row r="569" spans="1:18" x14ac:dyDescent="0.25">
      <c r="A569" t="s">
        <v>2650</v>
      </c>
      <c r="B569" t="s">
        <v>1810</v>
      </c>
      <c r="C569" t="s">
        <v>6</v>
      </c>
      <c r="D569" t="s">
        <v>1691</v>
      </c>
      <c r="E569" s="2">
        <v>39234</v>
      </c>
      <c r="F569">
        <v>6377</v>
      </c>
      <c r="G569" t="s">
        <v>1746</v>
      </c>
      <c r="H569" t="s">
        <v>1798</v>
      </c>
      <c r="I569" t="b">
        <v>0</v>
      </c>
      <c r="J569" t="s">
        <v>1761</v>
      </c>
      <c r="K569" t="s">
        <v>1868</v>
      </c>
      <c r="L569" t="s">
        <v>1766</v>
      </c>
      <c r="M569">
        <v>675</v>
      </c>
      <c r="N569" t="b">
        <v>0</v>
      </c>
      <c r="P569" t="s">
        <v>1752</v>
      </c>
      <c r="Q569" t="s">
        <v>1753</v>
      </c>
      <c r="R569" t="s">
        <v>1759</v>
      </c>
    </row>
    <row r="570" spans="1:18" x14ac:dyDescent="0.25">
      <c r="A570" t="s">
        <v>2651</v>
      </c>
      <c r="B570" t="s">
        <v>1810</v>
      </c>
      <c r="C570" t="s">
        <v>4</v>
      </c>
      <c r="D570" t="s">
        <v>411</v>
      </c>
      <c r="E570" s="2">
        <v>39890</v>
      </c>
      <c r="F570">
        <v>5721</v>
      </c>
      <c r="G570" t="s">
        <v>1746</v>
      </c>
      <c r="H570" t="s">
        <v>1798</v>
      </c>
      <c r="I570" t="b">
        <v>0</v>
      </c>
      <c r="J570" t="s">
        <v>1748</v>
      </c>
      <c r="K570" t="s">
        <v>1765</v>
      </c>
      <c r="L570" t="s">
        <v>1766</v>
      </c>
      <c r="M570">
        <v>673</v>
      </c>
      <c r="N570" t="b">
        <v>0</v>
      </c>
      <c r="P570" t="s">
        <v>1752</v>
      </c>
      <c r="Q570" t="s">
        <v>1753</v>
      </c>
      <c r="R570" t="s">
        <v>1828</v>
      </c>
    </row>
    <row r="571" spans="1:18" x14ac:dyDescent="0.25">
      <c r="A571" t="s">
        <v>2653</v>
      </c>
      <c r="B571" t="s">
        <v>2654</v>
      </c>
      <c r="C571" t="s">
        <v>4</v>
      </c>
      <c r="D571" t="s">
        <v>2652</v>
      </c>
      <c r="E571" s="2">
        <v>43755</v>
      </c>
      <c r="F571">
        <v>1856</v>
      </c>
      <c r="G571" t="s">
        <v>1746</v>
      </c>
      <c r="H571" t="s">
        <v>1747</v>
      </c>
      <c r="I571" t="b">
        <v>1</v>
      </c>
      <c r="J571" t="s">
        <v>1761</v>
      </c>
      <c r="K571" t="s">
        <v>1770</v>
      </c>
      <c r="L571" t="s">
        <v>1750</v>
      </c>
      <c r="M571">
        <v>672</v>
      </c>
      <c r="N571" t="b">
        <v>0</v>
      </c>
      <c r="O571">
        <v>58</v>
      </c>
      <c r="P571" t="s">
        <v>1752</v>
      </c>
      <c r="Q571" t="s">
        <v>1753</v>
      </c>
      <c r="R571" t="s">
        <v>1759</v>
      </c>
    </row>
    <row r="572" spans="1:18" x14ac:dyDescent="0.25">
      <c r="A572" t="s">
        <v>2656</v>
      </c>
      <c r="B572" t="s">
        <v>1785</v>
      </c>
      <c r="C572" t="s">
        <v>4</v>
      </c>
      <c r="D572" t="s">
        <v>2655</v>
      </c>
      <c r="E572" s="2">
        <v>43278</v>
      </c>
      <c r="F572">
        <v>2333</v>
      </c>
      <c r="G572" t="s">
        <v>1746</v>
      </c>
      <c r="H572" t="s">
        <v>1798</v>
      </c>
      <c r="I572" t="b">
        <v>0</v>
      </c>
      <c r="J572" t="s">
        <v>1761</v>
      </c>
      <c r="K572" t="s">
        <v>1822</v>
      </c>
      <c r="L572" t="s">
        <v>1817</v>
      </c>
      <c r="M572">
        <v>672</v>
      </c>
      <c r="N572" t="b">
        <v>1</v>
      </c>
      <c r="O572">
        <v>117</v>
      </c>
      <c r="P572" t="s">
        <v>1819</v>
      </c>
      <c r="Q572" t="s">
        <v>1753</v>
      </c>
      <c r="R572" t="s">
        <v>1759</v>
      </c>
    </row>
    <row r="573" spans="1:18" x14ac:dyDescent="0.25">
      <c r="A573" t="s">
        <v>1633</v>
      </c>
      <c r="B573" t="s">
        <v>1810</v>
      </c>
      <c r="C573" t="s">
        <v>4</v>
      </c>
      <c r="D573" t="s">
        <v>1634</v>
      </c>
      <c r="E573" s="2">
        <v>42433</v>
      </c>
      <c r="F573">
        <v>3178</v>
      </c>
      <c r="G573" t="s">
        <v>1746</v>
      </c>
      <c r="H573" t="s">
        <v>1747</v>
      </c>
      <c r="I573" t="b">
        <v>1</v>
      </c>
      <c r="J573" t="s">
        <v>1748</v>
      </c>
      <c r="K573" t="s">
        <v>1776</v>
      </c>
      <c r="L573" t="s">
        <v>1750</v>
      </c>
      <c r="M573">
        <v>671</v>
      </c>
      <c r="N573" t="b">
        <v>0</v>
      </c>
      <c r="O573">
        <v>232</v>
      </c>
      <c r="P573" t="s">
        <v>1752</v>
      </c>
      <c r="Q573" t="s">
        <v>1753</v>
      </c>
      <c r="R573" t="s">
        <v>1759</v>
      </c>
    </row>
    <row r="574" spans="1:18" x14ac:dyDescent="0.25">
      <c r="A574" t="s">
        <v>1928</v>
      </c>
      <c r="B574" t="s">
        <v>2220</v>
      </c>
      <c r="C574" t="s">
        <v>4</v>
      </c>
      <c r="D574" t="s">
        <v>532</v>
      </c>
      <c r="E574" s="2">
        <v>39967</v>
      </c>
      <c r="F574">
        <v>5644</v>
      </c>
      <c r="G574" t="s">
        <v>1746</v>
      </c>
      <c r="H574" t="s">
        <v>1747</v>
      </c>
      <c r="I574" t="b">
        <v>1</v>
      </c>
      <c r="J574" t="s">
        <v>1748</v>
      </c>
      <c r="K574" t="s">
        <v>1749</v>
      </c>
      <c r="L574" t="s">
        <v>1817</v>
      </c>
      <c r="M574">
        <v>670</v>
      </c>
      <c r="N574" t="b">
        <v>0</v>
      </c>
      <c r="O574">
        <v>74</v>
      </c>
      <c r="P574" t="s">
        <v>1819</v>
      </c>
      <c r="Q574" t="s">
        <v>1753</v>
      </c>
    </row>
    <row r="575" spans="1:18" x14ac:dyDescent="0.25">
      <c r="A575" t="s">
        <v>2657</v>
      </c>
      <c r="B575" t="s">
        <v>1754</v>
      </c>
      <c r="C575" t="s">
        <v>4</v>
      </c>
      <c r="D575" t="s">
        <v>723</v>
      </c>
      <c r="E575" s="2">
        <v>39024</v>
      </c>
      <c r="F575">
        <v>6587</v>
      </c>
      <c r="G575" t="s">
        <v>1746</v>
      </c>
      <c r="H575" t="s">
        <v>1747</v>
      </c>
      <c r="I575" t="b">
        <v>1</v>
      </c>
      <c r="J575" t="s">
        <v>1761</v>
      </c>
      <c r="K575" t="s">
        <v>2021</v>
      </c>
      <c r="L575" t="s">
        <v>1750</v>
      </c>
      <c r="M575">
        <v>669</v>
      </c>
      <c r="N575" t="b">
        <v>0</v>
      </c>
      <c r="O575">
        <v>99</v>
      </c>
      <c r="P575" t="s">
        <v>2266</v>
      </c>
      <c r="Q575" t="s">
        <v>1753</v>
      </c>
    </row>
    <row r="576" spans="1:18" x14ac:dyDescent="0.25">
      <c r="A576" t="s">
        <v>2659</v>
      </c>
      <c r="B576" t="s">
        <v>2342</v>
      </c>
      <c r="C576" t="s">
        <v>11</v>
      </c>
      <c r="D576" t="s">
        <v>2658</v>
      </c>
      <c r="E576" s="2">
        <v>41533</v>
      </c>
      <c r="F576">
        <v>4078</v>
      </c>
      <c r="G576" t="s">
        <v>1746</v>
      </c>
      <c r="H576" t="s">
        <v>1798</v>
      </c>
      <c r="I576" t="b">
        <v>0</v>
      </c>
      <c r="J576" t="s">
        <v>1748</v>
      </c>
      <c r="K576" t="s">
        <v>1770</v>
      </c>
      <c r="L576" t="s">
        <v>1766</v>
      </c>
      <c r="M576">
        <v>669</v>
      </c>
      <c r="N576" t="b">
        <v>0</v>
      </c>
      <c r="P576" t="s">
        <v>1752</v>
      </c>
      <c r="Q576" t="s">
        <v>1753</v>
      </c>
      <c r="R576" t="s">
        <v>1828</v>
      </c>
    </row>
    <row r="577" spans="1:18" x14ac:dyDescent="0.25">
      <c r="A577" t="s">
        <v>2661</v>
      </c>
      <c r="B577" t="s">
        <v>2662</v>
      </c>
      <c r="C577" t="s">
        <v>4</v>
      </c>
      <c r="D577" t="s">
        <v>2660</v>
      </c>
      <c r="E577" s="2">
        <v>45007</v>
      </c>
      <c r="F577">
        <v>604</v>
      </c>
      <c r="G577" t="s">
        <v>1746</v>
      </c>
      <c r="H577" t="s">
        <v>1747</v>
      </c>
      <c r="I577" t="b">
        <v>1</v>
      </c>
      <c r="J577" t="s">
        <v>1748</v>
      </c>
      <c r="K577" t="s">
        <v>1776</v>
      </c>
      <c r="L577" t="s">
        <v>1817</v>
      </c>
      <c r="M577">
        <v>667</v>
      </c>
      <c r="N577" t="b">
        <v>0</v>
      </c>
      <c r="O577">
        <v>3729</v>
      </c>
      <c r="P577" t="s">
        <v>1819</v>
      </c>
      <c r="Q577" t="s">
        <v>1753</v>
      </c>
      <c r="R577" t="s">
        <v>1759</v>
      </c>
    </row>
    <row r="578" spans="1:18" x14ac:dyDescent="0.25">
      <c r="A578" t="s">
        <v>2664</v>
      </c>
      <c r="B578" t="s">
        <v>1704</v>
      </c>
      <c r="C578" t="s">
        <v>4</v>
      </c>
      <c r="D578" t="s">
        <v>2663</v>
      </c>
      <c r="E578" s="2">
        <v>44144</v>
      </c>
      <c r="F578">
        <v>1467</v>
      </c>
      <c r="G578" t="s">
        <v>1746</v>
      </c>
      <c r="H578" t="s">
        <v>1798</v>
      </c>
      <c r="I578" t="b">
        <v>0</v>
      </c>
      <c r="J578" t="s">
        <v>1748</v>
      </c>
      <c r="K578" t="s">
        <v>1825</v>
      </c>
      <c r="L578" t="s">
        <v>1750</v>
      </c>
      <c r="M578">
        <v>665</v>
      </c>
      <c r="N578" t="b">
        <v>1</v>
      </c>
      <c r="O578">
        <v>303</v>
      </c>
      <c r="P578" t="s">
        <v>1752</v>
      </c>
      <c r="Q578" t="s">
        <v>1753</v>
      </c>
    </row>
    <row r="579" spans="1:18" x14ac:dyDescent="0.25">
      <c r="A579" t="s">
        <v>2666</v>
      </c>
      <c r="B579" t="s">
        <v>2667</v>
      </c>
      <c r="C579" t="s">
        <v>4</v>
      </c>
      <c r="D579" t="s">
        <v>2665</v>
      </c>
      <c r="E579" s="2">
        <v>42550</v>
      </c>
      <c r="F579">
        <v>3061</v>
      </c>
      <c r="G579" t="s">
        <v>1746</v>
      </c>
      <c r="H579" t="s">
        <v>1798</v>
      </c>
      <c r="I579" t="b">
        <v>0</v>
      </c>
      <c r="J579" t="s">
        <v>1748</v>
      </c>
      <c r="K579" t="s">
        <v>1824</v>
      </c>
      <c r="L579" t="s">
        <v>1750</v>
      </c>
      <c r="M579">
        <v>664</v>
      </c>
      <c r="N579" t="b">
        <v>1</v>
      </c>
      <c r="O579">
        <v>601</v>
      </c>
      <c r="P579" t="s">
        <v>1752</v>
      </c>
      <c r="Q579" t="s">
        <v>1753</v>
      </c>
      <c r="R579" t="s">
        <v>2092</v>
      </c>
    </row>
    <row r="580" spans="1:18" x14ac:dyDescent="0.25">
      <c r="A580" t="s">
        <v>2668</v>
      </c>
      <c r="B580" t="s">
        <v>1860</v>
      </c>
      <c r="C580" t="s">
        <v>6</v>
      </c>
      <c r="D580" t="s">
        <v>1144</v>
      </c>
      <c r="E580" s="2">
        <v>43412</v>
      </c>
      <c r="F580">
        <v>2199</v>
      </c>
      <c r="G580" t="s">
        <v>1746</v>
      </c>
      <c r="H580" t="s">
        <v>1747</v>
      </c>
      <c r="I580" t="b">
        <v>0</v>
      </c>
      <c r="J580" t="s">
        <v>1748</v>
      </c>
      <c r="K580" t="s">
        <v>1824</v>
      </c>
      <c r="L580" t="s">
        <v>1817</v>
      </c>
      <c r="M580">
        <v>663</v>
      </c>
      <c r="N580" t="b">
        <v>1</v>
      </c>
      <c r="O580">
        <v>105</v>
      </c>
      <c r="P580" t="s">
        <v>1819</v>
      </c>
      <c r="Q580" t="s">
        <v>1753</v>
      </c>
      <c r="R580" t="s">
        <v>1759</v>
      </c>
    </row>
    <row r="581" spans="1:18" x14ac:dyDescent="0.25">
      <c r="A581" t="s">
        <v>2670</v>
      </c>
      <c r="B581" t="s">
        <v>1803</v>
      </c>
      <c r="C581" t="s">
        <v>6</v>
      </c>
      <c r="D581" t="s">
        <v>2669</v>
      </c>
      <c r="E581" s="2">
        <v>40779</v>
      </c>
      <c r="F581">
        <v>4832</v>
      </c>
      <c r="G581" t="s">
        <v>1746</v>
      </c>
      <c r="H581" t="s">
        <v>1798</v>
      </c>
      <c r="I581" t="b">
        <v>1</v>
      </c>
      <c r="J581" t="s">
        <v>1748</v>
      </c>
      <c r="K581" t="s">
        <v>1824</v>
      </c>
      <c r="L581" t="s">
        <v>1817</v>
      </c>
      <c r="M581">
        <v>663</v>
      </c>
      <c r="N581" t="b">
        <v>0</v>
      </c>
      <c r="O581">
        <v>65</v>
      </c>
      <c r="P581" t="s">
        <v>1819</v>
      </c>
      <c r="Q581" t="s">
        <v>1753</v>
      </c>
    </row>
    <row r="582" spans="1:18" x14ac:dyDescent="0.25">
      <c r="A582" t="s">
        <v>2671</v>
      </c>
      <c r="B582" t="s">
        <v>1945</v>
      </c>
      <c r="C582" t="s">
        <v>6</v>
      </c>
      <c r="D582" t="s">
        <v>151</v>
      </c>
      <c r="E582" s="2">
        <v>43579</v>
      </c>
      <c r="F582">
        <v>2032</v>
      </c>
      <c r="G582" t="s">
        <v>1746</v>
      </c>
      <c r="H582" t="s">
        <v>1798</v>
      </c>
      <c r="I582" t="b">
        <v>0</v>
      </c>
      <c r="J582" t="s">
        <v>1748</v>
      </c>
      <c r="K582" t="s">
        <v>1853</v>
      </c>
      <c r="L582" t="s">
        <v>1750</v>
      </c>
      <c r="M582">
        <v>662</v>
      </c>
      <c r="N582" t="b">
        <v>1</v>
      </c>
      <c r="O582">
        <v>50</v>
      </c>
      <c r="P582" t="s">
        <v>1752</v>
      </c>
      <c r="Q582" t="s">
        <v>1753</v>
      </c>
      <c r="R582" t="s">
        <v>1759</v>
      </c>
    </row>
    <row r="583" spans="1:18" x14ac:dyDescent="0.25">
      <c r="A583" t="s">
        <v>2673</v>
      </c>
      <c r="B583" t="s">
        <v>1907</v>
      </c>
      <c r="C583" t="s">
        <v>6</v>
      </c>
      <c r="D583" t="s">
        <v>2672</v>
      </c>
      <c r="E583" s="2">
        <v>45070</v>
      </c>
      <c r="F583">
        <v>541</v>
      </c>
      <c r="G583" t="s">
        <v>1746</v>
      </c>
      <c r="H583" t="s">
        <v>1798</v>
      </c>
      <c r="I583" t="b">
        <v>1</v>
      </c>
      <c r="J583" t="s">
        <v>1761</v>
      </c>
      <c r="K583" t="s">
        <v>1863</v>
      </c>
      <c r="L583" t="s">
        <v>1750</v>
      </c>
      <c r="M583">
        <v>661</v>
      </c>
      <c r="N583" t="b">
        <v>1</v>
      </c>
      <c r="O583">
        <v>206</v>
      </c>
      <c r="P583" t="s">
        <v>1752</v>
      </c>
      <c r="Q583" t="s">
        <v>1753</v>
      </c>
      <c r="R583" t="s">
        <v>1828</v>
      </c>
    </row>
    <row r="584" spans="1:18" x14ac:dyDescent="0.25">
      <c r="A584" t="s">
        <v>2675</v>
      </c>
      <c r="B584" t="s">
        <v>1866</v>
      </c>
      <c r="C584" t="s">
        <v>572</v>
      </c>
      <c r="D584" t="s">
        <v>2674</v>
      </c>
      <c r="E584" s="2">
        <v>36987</v>
      </c>
      <c r="F584">
        <v>8624</v>
      </c>
      <c r="G584" t="s">
        <v>1746</v>
      </c>
      <c r="H584" t="s">
        <v>1798</v>
      </c>
      <c r="I584" t="b">
        <v>0</v>
      </c>
      <c r="J584" t="s">
        <v>1748</v>
      </c>
      <c r="K584" t="s">
        <v>1788</v>
      </c>
      <c r="L584" t="s">
        <v>1750</v>
      </c>
      <c r="M584">
        <v>659</v>
      </c>
      <c r="N584" t="b">
        <v>0</v>
      </c>
      <c r="O584">
        <v>30</v>
      </c>
      <c r="P584" t="s">
        <v>1752</v>
      </c>
      <c r="Q584" t="s">
        <v>1753</v>
      </c>
    </row>
    <row r="585" spans="1:18" x14ac:dyDescent="0.25">
      <c r="A585" t="s">
        <v>2676</v>
      </c>
      <c r="B585" t="s">
        <v>1768</v>
      </c>
      <c r="C585" t="s">
        <v>4</v>
      </c>
      <c r="D585" t="s">
        <v>820</v>
      </c>
      <c r="E585" s="2">
        <v>41939</v>
      </c>
      <c r="F585">
        <v>3672</v>
      </c>
      <c r="G585" t="s">
        <v>1746</v>
      </c>
      <c r="H585" t="s">
        <v>1747</v>
      </c>
      <c r="I585" t="b">
        <v>0</v>
      </c>
      <c r="J585" t="s">
        <v>1748</v>
      </c>
      <c r="K585" t="s">
        <v>1834</v>
      </c>
      <c r="L585" t="s">
        <v>1750</v>
      </c>
      <c r="M585">
        <v>657</v>
      </c>
      <c r="N585" t="b">
        <v>0</v>
      </c>
      <c r="O585">
        <v>78</v>
      </c>
      <c r="P585" t="s">
        <v>1752</v>
      </c>
      <c r="Q585" t="s">
        <v>1753</v>
      </c>
      <c r="R585" t="s">
        <v>1759</v>
      </c>
    </row>
    <row r="586" spans="1:18" x14ac:dyDescent="0.25">
      <c r="A586" t="s">
        <v>2678</v>
      </c>
      <c r="B586" t="s">
        <v>2011</v>
      </c>
      <c r="C586" t="s">
        <v>4</v>
      </c>
      <c r="D586" t="s">
        <v>2677</v>
      </c>
      <c r="E586" s="2">
        <v>45530</v>
      </c>
      <c r="F586">
        <v>81</v>
      </c>
      <c r="G586" t="s">
        <v>1746</v>
      </c>
      <c r="H586" t="s">
        <v>1747</v>
      </c>
      <c r="I586" t="b">
        <v>0</v>
      </c>
      <c r="J586" t="s">
        <v>1748</v>
      </c>
      <c r="K586" t="s">
        <v>1755</v>
      </c>
      <c r="L586" t="s">
        <v>1750</v>
      </c>
      <c r="M586">
        <v>657</v>
      </c>
      <c r="N586" t="b">
        <v>1</v>
      </c>
      <c r="O586">
        <v>721</v>
      </c>
      <c r="P586" t="s">
        <v>1752</v>
      </c>
      <c r="Q586" t="s">
        <v>1753</v>
      </c>
    </row>
    <row r="587" spans="1:18" x14ac:dyDescent="0.25">
      <c r="A587" t="s">
        <v>2679</v>
      </c>
      <c r="B587" t="s">
        <v>1945</v>
      </c>
      <c r="C587" t="s">
        <v>6</v>
      </c>
      <c r="D587" t="s">
        <v>82</v>
      </c>
      <c r="E587" s="2">
        <v>39786</v>
      </c>
      <c r="F587">
        <v>5825</v>
      </c>
      <c r="G587" t="s">
        <v>1746</v>
      </c>
      <c r="H587" t="s">
        <v>1798</v>
      </c>
      <c r="I587" t="b">
        <v>0</v>
      </c>
      <c r="J587" t="s">
        <v>1748</v>
      </c>
      <c r="K587" t="s">
        <v>1880</v>
      </c>
      <c r="L587" t="s">
        <v>1750</v>
      </c>
      <c r="M587">
        <v>656</v>
      </c>
      <c r="N587" t="b">
        <v>1</v>
      </c>
      <c r="P587" t="s">
        <v>1752</v>
      </c>
      <c r="Q587" t="s">
        <v>1753</v>
      </c>
    </row>
    <row r="588" spans="1:18" x14ac:dyDescent="0.25">
      <c r="A588" t="s">
        <v>2680</v>
      </c>
      <c r="B588" t="s">
        <v>1814</v>
      </c>
      <c r="C588" t="s">
        <v>6</v>
      </c>
      <c r="D588" t="s">
        <v>80</v>
      </c>
      <c r="E588" s="2">
        <v>39169</v>
      </c>
      <c r="F588">
        <v>6442</v>
      </c>
      <c r="G588" t="s">
        <v>1746</v>
      </c>
      <c r="H588" t="s">
        <v>1798</v>
      </c>
      <c r="I588" t="b">
        <v>1</v>
      </c>
      <c r="J588" t="s">
        <v>1748</v>
      </c>
      <c r="K588" t="s">
        <v>1880</v>
      </c>
      <c r="L588" t="s">
        <v>1750</v>
      </c>
      <c r="M588">
        <v>655</v>
      </c>
      <c r="N588" t="b">
        <v>1</v>
      </c>
      <c r="O588">
        <v>66</v>
      </c>
      <c r="P588" t="s">
        <v>1752</v>
      </c>
      <c r="Q588" t="s">
        <v>1753</v>
      </c>
      <c r="R588" t="s">
        <v>1759</v>
      </c>
    </row>
    <row r="589" spans="1:18" x14ac:dyDescent="0.25">
      <c r="A589" t="s">
        <v>2681</v>
      </c>
      <c r="B589" t="s">
        <v>1810</v>
      </c>
      <c r="C589" t="s">
        <v>6</v>
      </c>
      <c r="D589" t="s">
        <v>1175</v>
      </c>
      <c r="E589" s="2">
        <v>37193</v>
      </c>
      <c r="F589">
        <v>8418</v>
      </c>
      <c r="G589" t="s">
        <v>1746</v>
      </c>
      <c r="H589" t="s">
        <v>1747</v>
      </c>
      <c r="I589" t="b">
        <v>1</v>
      </c>
      <c r="J589" t="s">
        <v>1761</v>
      </c>
      <c r="K589" t="s">
        <v>1934</v>
      </c>
      <c r="L589" t="s">
        <v>1750</v>
      </c>
      <c r="M589">
        <v>654</v>
      </c>
      <c r="N589" t="b">
        <v>0</v>
      </c>
      <c r="O589">
        <v>595</v>
      </c>
      <c r="P589" t="s">
        <v>1752</v>
      </c>
      <c r="Q589" t="s">
        <v>1753</v>
      </c>
    </row>
    <row r="590" spans="1:18" x14ac:dyDescent="0.25">
      <c r="A590" t="s">
        <v>2682</v>
      </c>
      <c r="B590" t="s">
        <v>2353</v>
      </c>
      <c r="C590" t="s">
        <v>4</v>
      </c>
      <c r="D590" t="s">
        <v>1501</v>
      </c>
      <c r="E590" s="2">
        <v>43971</v>
      </c>
      <c r="F590">
        <v>1640</v>
      </c>
      <c r="G590" t="s">
        <v>1746</v>
      </c>
      <c r="H590" t="s">
        <v>1798</v>
      </c>
      <c r="I590" t="b">
        <v>0</v>
      </c>
      <c r="J590" t="s">
        <v>1748</v>
      </c>
      <c r="K590" t="s">
        <v>1846</v>
      </c>
      <c r="L590" t="s">
        <v>1775</v>
      </c>
      <c r="M590">
        <v>653</v>
      </c>
      <c r="N590" t="b">
        <v>0</v>
      </c>
      <c r="P590" t="s">
        <v>1778</v>
      </c>
      <c r="Q590" t="s">
        <v>1779</v>
      </c>
    </row>
    <row r="591" spans="1:18" x14ac:dyDescent="0.25">
      <c r="A591" t="s">
        <v>2684</v>
      </c>
      <c r="B591" t="s">
        <v>2173</v>
      </c>
      <c r="C591" t="s">
        <v>4</v>
      </c>
      <c r="D591" t="s">
        <v>2683</v>
      </c>
      <c r="E591" s="2">
        <v>41243</v>
      </c>
      <c r="F591">
        <v>4368</v>
      </c>
      <c r="G591" t="s">
        <v>1746</v>
      </c>
      <c r="H591" t="s">
        <v>2231</v>
      </c>
      <c r="I591" t="b">
        <v>1</v>
      </c>
      <c r="J591" t="s">
        <v>1748</v>
      </c>
      <c r="K591" t="s">
        <v>1755</v>
      </c>
      <c r="L591" t="s">
        <v>1750</v>
      </c>
      <c r="M591">
        <v>651</v>
      </c>
      <c r="N591" t="b">
        <v>0</v>
      </c>
      <c r="O591">
        <v>503</v>
      </c>
      <c r="P591" t="s">
        <v>1752</v>
      </c>
      <c r="Q591" t="s">
        <v>1753</v>
      </c>
    </row>
    <row r="592" spans="1:18" x14ac:dyDescent="0.25">
      <c r="A592" t="s">
        <v>2685</v>
      </c>
      <c r="B592" t="s">
        <v>1754</v>
      </c>
      <c r="C592" t="s">
        <v>4</v>
      </c>
      <c r="D592" t="s">
        <v>568</v>
      </c>
      <c r="E592" s="2">
        <v>38281</v>
      </c>
      <c r="F592">
        <v>7330</v>
      </c>
      <c r="G592" t="s">
        <v>1746</v>
      </c>
      <c r="H592" t="s">
        <v>1747</v>
      </c>
      <c r="I592" t="b">
        <v>1</v>
      </c>
      <c r="J592" t="s">
        <v>1761</v>
      </c>
      <c r="K592" t="s">
        <v>1835</v>
      </c>
      <c r="L592" t="s">
        <v>1750</v>
      </c>
      <c r="M592">
        <v>647</v>
      </c>
      <c r="N592" t="b">
        <v>0</v>
      </c>
      <c r="O592">
        <v>51</v>
      </c>
      <c r="P592" t="s">
        <v>1752</v>
      </c>
      <c r="Q592" t="s">
        <v>1753</v>
      </c>
    </row>
    <row r="593" spans="1:18" x14ac:dyDescent="0.25">
      <c r="A593" t="s">
        <v>2686</v>
      </c>
      <c r="B593" t="s">
        <v>2106</v>
      </c>
      <c r="C593" t="s">
        <v>6</v>
      </c>
      <c r="D593" t="s">
        <v>46</v>
      </c>
      <c r="E593" s="2">
        <v>43081</v>
      </c>
      <c r="F593">
        <v>2530</v>
      </c>
      <c r="G593" t="s">
        <v>1746</v>
      </c>
      <c r="H593" t="s">
        <v>1798</v>
      </c>
      <c r="I593" t="b">
        <v>1</v>
      </c>
      <c r="J593" t="s">
        <v>1748</v>
      </c>
      <c r="K593" t="s">
        <v>1793</v>
      </c>
      <c r="L593" t="s">
        <v>1817</v>
      </c>
      <c r="M593">
        <v>645</v>
      </c>
      <c r="N593" t="b">
        <v>0</v>
      </c>
      <c r="O593">
        <v>1084</v>
      </c>
      <c r="P593" t="s">
        <v>1819</v>
      </c>
      <c r="Q593" t="s">
        <v>1753</v>
      </c>
      <c r="R593" t="s">
        <v>1759</v>
      </c>
    </row>
    <row r="594" spans="1:18" x14ac:dyDescent="0.25">
      <c r="A594" t="s">
        <v>2688</v>
      </c>
      <c r="B594" t="s">
        <v>2085</v>
      </c>
      <c r="C594" t="s">
        <v>4</v>
      </c>
      <c r="D594" t="s">
        <v>2687</v>
      </c>
      <c r="E594" s="2">
        <v>43280</v>
      </c>
      <c r="F594">
        <v>2331</v>
      </c>
      <c r="G594" t="s">
        <v>1746</v>
      </c>
      <c r="H594" t="s">
        <v>1747</v>
      </c>
      <c r="I594" t="b">
        <v>1</v>
      </c>
      <c r="J594" t="s">
        <v>1748</v>
      </c>
      <c r="K594" t="s">
        <v>1856</v>
      </c>
      <c r="L594" t="s">
        <v>1817</v>
      </c>
      <c r="M594">
        <v>645</v>
      </c>
      <c r="N594" t="b">
        <v>0</v>
      </c>
      <c r="O594">
        <v>1063</v>
      </c>
      <c r="P594" t="s">
        <v>1819</v>
      </c>
      <c r="Q594" t="s">
        <v>1753</v>
      </c>
      <c r="R594" t="s">
        <v>1759</v>
      </c>
    </row>
    <row r="595" spans="1:18" x14ac:dyDescent="0.25">
      <c r="A595" t="s">
        <v>2689</v>
      </c>
      <c r="B595" t="s">
        <v>1876</v>
      </c>
      <c r="C595" t="s">
        <v>4</v>
      </c>
      <c r="D595" t="s">
        <v>361</v>
      </c>
      <c r="E595" s="2">
        <v>44740</v>
      </c>
      <c r="F595">
        <v>871</v>
      </c>
      <c r="G595" t="s">
        <v>1746</v>
      </c>
      <c r="H595" t="s">
        <v>1747</v>
      </c>
      <c r="I595" t="b">
        <v>1</v>
      </c>
      <c r="J595" t="s">
        <v>1748</v>
      </c>
      <c r="K595" t="s">
        <v>1824</v>
      </c>
      <c r="L595" t="s">
        <v>1756</v>
      </c>
      <c r="M595">
        <v>645</v>
      </c>
      <c r="N595" t="b">
        <v>0</v>
      </c>
      <c r="O595">
        <v>1368</v>
      </c>
      <c r="P595" t="s">
        <v>1752</v>
      </c>
      <c r="Q595" t="s">
        <v>1753</v>
      </c>
      <c r="R595" t="s">
        <v>1759</v>
      </c>
    </row>
    <row r="596" spans="1:18" x14ac:dyDescent="0.25">
      <c r="A596" t="s">
        <v>2691</v>
      </c>
      <c r="B596" t="s">
        <v>2133</v>
      </c>
      <c r="C596" t="s">
        <v>4</v>
      </c>
      <c r="D596" t="s">
        <v>2690</v>
      </c>
      <c r="E596" s="2">
        <v>44454</v>
      </c>
      <c r="F596">
        <v>1157</v>
      </c>
      <c r="G596" t="s">
        <v>1833</v>
      </c>
      <c r="H596" t="s">
        <v>1747</v>
      </c>
      <c r="I596" t="b">
        <v>0</v>
      </c>
      <c r="J596" t="s">
        <v>1761</v>
      </c>
      <c r="K596" t="s">
        <v>1776</v>
      </c>
      <c r="L596" t="s">
        <v>1750</v>
      </c>
      <c r="M596">
        <v>644</v>
      </c>
      <c r="N596" t="b">
        <v>1</v>
      </c>
      <c r="O596">
        <v>679</v>
      </c>
      <c r="P596" t="s">
        <v>1752</v>
      </c>
      <c r="Q596" t="s">
        <v>1753</v>
      </c>
      <c r="R596" t="s">
        <v>1759</v>
      </c>
    </row>
    <row r="597" spans="1:18" x14ac:dyDescent="0.25">
      <c r="A597" t="s">
        <v>2693</v>
      </c>
      <c r="B597" t="s">
        <v>1785</v>
      </c>
      <c r="C597" t="s">
        <v>6</v>
      </c>
      <c r="D597" t="s">
        <v>2692</v>
      </c>
      <c r="E597" s="2">
        <v>39248</v>
      </c>
      <c r="F597">
        <v>6363</v>
      </c>
      <c r="G597" t="s">
        <v>1746</v>
      </c>
      <c r="H597" t="s">
        <v>1805</v>
      </c>
      <c r="I597" t="b">
        <v>0</v>
      </c>
      <c r="J597" t="s">
        <v>1761</v>
      </c>
      <c r="K597" t="s">
        <v>1770</v>
      </c>
      <c r="L597" t="s">
        <v>1750</v>
      </c>
      <c r="M597">
        <v>641</v>
      </c>
      <c r="N597" t="b">
        <v>1</v>
      </c>
      <c r="O597">
        <v>132</v>
      </c>
      <c r="P597" t="s">
        <v>1752</v>
      </c>
      <c r="Q597" t="s">
        <v>1753</v>
      </c>
    </row>
    <row r="598" spans="1:18" x14ac:dyDescent="0.25">
      <c r="A598" t="s">
        <v>2695</v>
      </c>
      <c r="B598" t="s">
        <v>2032</v>
      </c>
      <c r="C598" t="s">
        <v>4</v>
      </c>
      <c r="D598" t="s">
        <v>2694</v>
      </c>
      <c r="E598" s="2">
        <v>44277</v>
      </c>
      <c r="F598">
        <v>1334</v>
      </c>
      <c r="G598" t="s">
        <v>1746</v>
      </c>
      <c r="H598" t="s">
        <v>1747</v>
      </c>
      <c r="I598" t="b">
        <v>0</v>
      </c>
      <c r="J598" t="s">
        <v>1748</v>
      </c>
      <c r="K598" t="s">
        <v>1755</v>
      </c>
      <c r="L598" t="s">
        <v>1766</v>
      </c>
      <c r="M598">
        <v>639</v>
      </c>
      <c r="N598" t="b">
        <v>0</v>
      </c>
      <c r="P598" t="s">
        <v>1752</v>
      </c>
      <c r="Q598" t="s">
        <v>1753</v>
      </c>
    </row>
    <row r="599" spans="1:18" x14ac:dyDescent="0.25">
      <c r="A599" t="s">
        <v>677</v>
      </c>
      <c r="B599" t="s">
        <v>1754</v>
      </c>
      <c r="C599" t="s">
        <v>4</v>
      </c>
      <c r="D599" t="s">
        <v>678</v>
      </c>
      <c r="E599" s="2">
        <v>40189</v>
      </c>
      <c r="F599">
        <v>5422</v>
      </c>
      <c r="G599" t="s">
        <v>1746</v>
      </c>
      <c r="H599" t="s">
        <v>1747</v>
      </c>
      <c r="I599" t="b">
        <v>1</v>
      </c>
      <c r="J599" t="s">
        <v>1748</v>
      </c>
      <c r="K599" t="s">
        <v>1774</v>
      </c>
      <c r="L599" t="s">
        <v>1750</v>
      </c>
      <c r="M599">
        <v>635</v>
      </c>
      <c r="N599" t="b">
        <v>0</v>
      </c>
      <c r="O599">
        <v>199</v>
      </c>
      <c r="P599" t="s">
        <v>1752</v>
      </c>
      <c r="Q599" t="s">
        <v>1753</v>
      </c>
    </row>
    <row r="600" spans="1:18" x14ac:dyDescent="0.25">
      <c r="A600" t="s">
        <v>2697</v>
      </c>
      <c r="B600" t="s">
        <v>2698</v>
      </c>
      <c r="C600" t="s">
        <v>4</v>
      </c>
      <c r="D600" t="s">
        <v>2696</v>
      </c>
      <c r="E600" s="2">
        <v>43440</v>
      </c>
      <c r="F600">
        <v>2171</v>
      </c>
      <c r="G600" t="s">
        <v>1746</v>
      </c>
      <c r="H600" t="s">
        <v>1798</v>
      </c>
      <c r="I600" t="b">
        <v>0</v>
      </c>
      <c r="J600" t="s">
        <v>1761</v>
      </c>
      <c r="K600" t="s">
        <v>1755</v>
      </c>
      <c r="L600" t="s">
        <v>1750</v>
      </c>
      <c r="M600">
        <v>635</v>
      </c>
      <c r="N600" t="b">
        <v>1</v>
      </c>
      <c r="O600">
        <v>114</v>
      </c>
      <c r="P600" t="s">
        <v>1752</v>
      </c>
      <c r="Q600" t="s">
        <v>1753</v>
      </c>
      <c r="R600" t="s">
        <v>1828</v>
      </c>
    </row>
    <row r="601" spans="1:18" x14ac:dyDescent="0.25">
      <c r="A601" t="s">
        <v>2700</v>
      </c>
      <c r="B601" t="s">
        <v>1907</v>
      </c>
      <c r="C601" t="s">
        <v>572</v>
      </c>
      <c r="D601" t="s">
        <v>2699</v>
      </c>
      <c r="E601" s="2">
        <v>44981</v>
      </c>
      <c r="F601">
        <v>630</v>
      </c>
      <c r="G601" t="s">
        <v>1746</v>
      </c>
      <c r="H601" t="s">
        <v>1798</v>
      </c>
      <c r="I601" t="b">
        <v>0</v>
      </c>
      <c r="J601" t="s">
        <v>1748</v>
      </c>
      <c r="K601" t="s">
        <v>1755</v>
      </c>
      <c r="L601" t="s">
        <v>1750</v>
      </c>
      <c r="M601">
        <v>634</v>
      </c>
      <c r="N601" t="b">
        <v>0</v>
      </c>
      <c r="O601">
        <v>600</v>
      </c>
      <c r="P601" t="s">
        <v>1752</v>
      </c>
      <c r="Q601" t="s">
        <v>1753</v>
      </c>
      <c r="R601" t="s">
        <v>1828</v>
      </c>
    </row>
    <row r="602" spans="1:18" x14ac:dyDescent="0.25">
      <c r="A602" t="s">
        <v>2702</v>
      </c>
      <c r="B602" t="s">
        <v>2589</v>
      </c>
      <c r="C602" t="s">
        <v>4</v>
      </c>
      <c r="D602" t="s">
        <v>2701</v>
      </c>
      <c r="E602" s="2">
        <v>38674</v>
      </c>
      <c r="F602">
        <v>6937</v>
      </c>
      <c r="G602" t="s">
        <v>1746</v>
      </c>
      <c r="H602" t="s">
        <v>1798</v>
      </c>
      <c r="I602" t="b">
        <v>1</v>
      </c>
      <c r="J602" t="s">
        <v>1761</v>
      </c>
      <c r="K602" t="s">
        <v>1853</v>
      </c>
      <c r="L602" t="s">
        <v>1750</v>
      </c>
      <c r="M602">
        <v>632</v>
      </c>
      <c r="N602" t="b">
        <v>0</v>
      </c>
      <c r="O602">
        <v>25</v>
      </c>
      <c r="P602" t="s">
        <v>1752</v>
      </c>
      <c r="Q602" t="s">
        <v>1753</v>
      </c>
    </row>
    <row r="603" spans="1:18" x14ac:dyDescent="0.25">
      <c r="A603" t="s">
        <v>1022</v>
      </c>
      <c r="B603" t="s">
        <v>1814</v>
      </c>
      <c r="C603" t="s">
        <v>4</v>
      </c>
      <c r="D603" t="s">
        <v>1023</v>
      </c>
      <c r="E603" s="2">
        <v>40676</v>
      </c>
      <c r="F603">
        <v>4935</v>
      </c>
      <c r="G603" t="s">
        <v>1746</v>
      </c>
      <c r="H603" t="s">
        <v>1747</v>
      </c>
      <c r="I603" t="b">
        <v>1</v>
      </c>
      <c r="J603" t="s">
        <v>1748</v>
      </c>
      <c r="K603" t="s">
        <v>1770</v>
      </c>
      <c r="L603" t="s">
        <v>1750</v>
      </c>
      <c r="M603">
        <v>632</v>
      </c>
      <c r="N603" t="b">
        <v>0</v>
      </c>
      <c r="O603">
        <v>1230</v>
      </c>
      <c r="P603" t="s">
        <v>1752</v>
      </c>
      <c r="Q603" t="s">
        <v>1753</v>
      </c>
      <c r="R603" t="s">
        <v>1772</v>
      </c>
    </row>
    <row r="604" spans="1:18" x14ac:dyDescent="0.25">
      <c r="A604" t="s">
        <v>675</v>
      </c>
      <c r="B604" t="s">
        <v>1754</v>
      </c>
      <c r="C604" t="s">
        <v>4</v>
      </c>
      <c r="D604" t="s">
        <v>676</v>
      </c>
      <c r="E604" s="2">
        <v>42800</v>
      </c>
      <c r="F604">
        <v>2811</v>
      </c>
      <c r="G604" t="s">
        <v>1746</v>
      </c>
      <c r="H604" t="s">
        <v>1747</v>
      </c>
      <c r="I604" t="b">
        <v>0</v>
      </c>
      <c r="J604" t="s">
        <v>1748</v>
      </c>
      <c r="K604" t="s">
        <v>1755</v>
      </c>
      <c r="L604" t="s">
        <v>1750</v>
      </c>
      <c r="M604">
        <v>631</v>
      </c>
      <c r="N604" t="b">
        <v>1</v>
      </c>
      <c r="O604">
        <v>52</v>
      </c>
      <c r="P604" t="s">
        <v>1752</v>
      </c>
      <c r="Q604" t="s">
        <v>1753</v>
      </c>
    </row>
    <row r="605" spans="1:18" x14ac:dyDescent="0.25">
      <c r="A605" t="s">
        <v>2704</v>
      </c>
      <c r="B605" t="s">
        <v>1907</v>
      </c>
      <c r="C605" t="s">
        <v>6</v>
      </c>
      <c r="D605" t="s">
        <v>2703</v>
      </c>
      <c r="E605" s="2">
        <v>45079</v>
      </c>
      <c r="F605">
        <v>532</v>
      </c>
      <c r="G605" t="s">
        <v>1746</v>
      </c>
      <c r="H605" t="s">
        <v>1798</v>
      </c>
      <c r="I605" t="b">
        <v>1</v>
      </c>
      <c r="J605" t="s">
        <v>1748</v>
      </c>
      <c r="K605" t="s">
        <v>1985</v>
      </c>
      <c r="L605" t="s">
        <v>1750</v>
      </c>
      <c r="M605">
        <v>630</v>
      </c>
      <c r="N605" t="b">
        <v>0</v>
      </c>
      <c r="O605">
        <v>12</v>
      </c>
      <c r="P605" t="s">
        <v>1819</v>
      </c>
      <c r="Q605" t="s">
        <v>1753</v>
      </c>
    </row>
    <row r="606" spans="1:18" x14ac:dyDescent="0.25">
      <c r="A606" t="s">
        <v>2705</v>
      </c>
      <c r="B606" t="s">
        <v>1810</v>
      </c>
      <c r="C606" t="s">
        <v>4</v>
      </c>
      <c r="D606" t="s">
        <v>207</v>
      </c>
      <c r="E606" s="2">
        <v>42821</v>
      </c>
      <c r="F606">
        <v>2790</v>
      </c>
      <c r="G606" t="s">
        <v>1746</v>
      </c>
      <c r="H606" t="s">
        <v>1747</v>
      </c>
      <c r="I606" t="b">
        <v>0</v>
      </c>
      <c r="J606" t="s">
        <v>1761</v>
      </c>
      <c r="K606" t="s">
        <v>2021</v>
      </c>
      <c r="L606" t="s">
        <v>1750</v>
      </c>
      <c r="M606">
        <v>630</v>
      </c>
      <c r="N606" t="b">
        <v>0</v>
      </c>
      <c r="O606">
        <v>226</v>
      </c>
      <c r="P606" t="s">
        <v>1752</v>
      </c>
      <c r="Q606" t="s">
        <v>1753</v>
      </c>
      <c r="R606" t="s">
        <v>1759</v>
      </c>
    </row>
    <row r="607" spans="1:18" x14ac:dyDescent="0.25">
      <c r="A607" t="s">
        <v>2706</v>
      </c>
      <c r="B607" t="s">
        <v>1860</v>
      </c>
      <c r="C607" t="s">
        <v>4</v>
      </c>
      <c r="D607" t="s">
        <v>1070</v>
      </c>
      <c r="E607" s="2">
        <v>43404</v>
      </c>
      <c r="F607">
        <v>2207</v>
      </c>
      <c r="G607" t="s">
        <v>1746</v>
      </c>
      <c r="H607" t="s">
        <v>1798</v>
      </c>
      <c r="I607" t="b">
        <v>1</v>
      </c>
      <c r="J607" t="s">
        <v>1748</v>
      </c>
      <c r="K607" t="s">
        <v>1765</v>
      </c>
      <c r="L607" t="s">
        <v>1750</v>
      </c>
      <c r="M607">
        <v>629</v>
      </c>
      <c r="N607" t="b">
        <v>0</v>
      </c>
      <c r="O607">
        <v>503</v>
      </c>
      <c r="P607" t="s">
        <v>1752</v>
      </c>
      <c r="Q607" t="s">
        <v>1753</v>
      </c>
    </row>
    <row r="608" spans="1:18" x14ac:dyDescent="0.25">
      <c r="A608" t="s">
        <v>2708</v>
      </c>
      <c r="B608" t="s">
        <v>2284</v>
      </c>
      <c r="C608" t="s">
        <v>2709</v>
      </c>
      <c r="D608" t="s">
        <v>2707</v>
      </c>
      <c r="E608" s="2">
        <v>44154</v>
      </c>
      <c r="F608">
        <v>1457</v>
      </c>
      <c r="G608" t="s">
        <v>1746</v>
      </c>
      <c r="H608" t="s">
        <v>1747</v>
      </c>
      <c r="I608" t="b">
        <v>0</v>
      </c>
      <c r="J608" t="s">
        <v>1748</v>
      </c>
      <c r="K608" t="s">
        <v>1813</v>
      </c>
      <c r="L608" t="s">
        <v>1775</v>
      </c>
      <c r="M608">
        <v>629</v>
      </c>
      <c r="N608" t="b">
        <v>0</v>
      </c>
      <c r="P608" t="s">
        <v>2283</v>
      </c>
      <c r="Q608" t="s">
        <v>1705</v>
      </c>
    </row>
    <row r="609" spans="1:18" x14ac:dyDescent="0.25">
      <c r="A609" t="s">
        <v>2711</v>
      </c>
      <c r="B609" t="s">
        <v>1820</v>
      </c>
      <c r="C609" t="s">
        <v>6</v>
      </c>
      <c r="D609" t="s">
        <v>2710</v>
      </c>
      <c r="E609" s="2">
        <v>40413</v>
      </c>
      <c r="F609">
        <v>5198</v>
      </c>
      <c r="G609" t="s">
        <v>1746</v>
      </c>
      <c r="H609" t="s">
        <v>1747</v>
      </c>
      <c r="I609" t="b">
        <v>0</v>
      </c>
      <c r="J609" t="s">
        <v>1748</v>
      </c>
      <c r="K609" t="s">
        <v>1853</v>
      </c>
      <c r="L609" t="s">
        <v>1766</v>
      </c>
      <c r="M609">
        <v>629</v>
      </c>
      <c r="N609" t="b">
        <v>0</v>
      </c>
      <c r="P609" t="s">
        <v>1752</v>
      </c>
      <c r="Q609" t="s">
        <v>1753</v>
      </c>
      <c r="R609" t="s">
        <v>1759</v>
      </c>
    </row>
    <row r="610" spans="1:18" x14ac:dyDescent="0.25">
      <c r="A610" t="s">
        <v>2712</v>
      </c>
      <c r="B610" t="s">
        <v>1810</v>
      </c>
      <c r="C610" t="s">
        <v>4</v>
      </c>
      <c r="D610" t="s">
        <v>644</v>
      </c>
      <c r="E610" s="2">
        <v>41016</v>
      </c>
      <c r="F610">
        <v>4595</v>
      </c>
      <c r="G610" t="s">
        <v>1746</v>
      </c>
      <c r="H610" t="s">
        <v>1747</v>
      </c>
      <c r="I610" t="b">
        <v>1</v>
      </c>
      <c r="J610" t="s">
        <v>1761</v>
      </c>
      <c r="K610" t="s">
        <v>1868</v>
      </c>
      <c r="L610" t="s">
        <v>1817</v>
      </c>
      <c r="M610">
        <v>627</v>
      </c>
      <c r="N610" t="b">
        <v>0</v>
      </c>
      <c r="O610">
        <v>1167</v>
      </c>
      <c r="P610" t="s">
        <v>1819</v>
      </c>
      <c r="Q610" t="s">
        <v>1753</v>
      </c>
      <c r="R610" t="s">
        <v>1772</v>
      </c>
    </row>
    <row r="611" spans="1:18" x14ac:dyDescent="0.25">
      <c r="A611" t="s">
        <v>2713</v>
      </c>
      <c r="B611" t="s">
        <v>2075</v>
      </c>
      <c r="C611" t="s">
        <v>4</v>
      </c>
      <c r="D611" t="s">
        <v>699</v>
      </c>
      <c r="E611" s="2">
        <v>43755</v>
      </c>
      <c r="F611">
        <v>1856</v>
      </c>
      <c r="G611" t="s">
        <v>1746</v>
      </c>
      <c r="H611" t="s">
        <v>1747</v>
      </c>
      <c r="I611" t="b">
        <v>1</v>
      </c>
      <c r="J611" t="s">
        <v>1761</v>
      </c>
      <c r="K611" t="s">
        <v>1770</v>
      </c>
      <c r="L611" t="s">
        <v>1750</v>
      </c>
      <c r="M611">
        <v>627</v>
      </c>
      <c r="N611" t="b">
        <v>1</v>
      </c>
      <c r="O611">
        <v>134</v>
      </c>
      <c r="P611" t="s">
        <v>1752</v>
      </c>
      <c r="Q611" t="s">
        <v>1753</v>
      </c>
      <c r="R611" t="s">
        <v>1759</v>
      </c>
    </row>
    <row r="612" spans="1:18" x14ac:dyDescent="0.25">
      <c r="A612" t="s">
        <v>2715</v>
      </c>
      <c r="B612" t="s">
        <v>2133</v>
      </c>
      <c r="C612" t="s">
        <v>4</v>
      </c>
      <c r="D612" t="s">
        <v>2714</v>
      </c>
      <c r="E612" s="2">
        <v>44152</v>
      </c>
      <c r="F612">
        <v>1459</v>
      </c>
      <c r="G612" t="s">
        <v>1746</v>
      </c>
      <c r="H612" t="s">
        <v>1798</v>
      </c>
      <c r="I612" t="b">
        <v>0</v>
      </c>
      <c r="J612" t="s">
        <v>1748</v>
      </c>
      <c r="K612" t="s">
        <v>1770</v>
      </c>
      <c r="L612" t="s">
        <v>1750</v>
      </c>
      <c r="M612">
        <v>626</v>
      </c>
      <c r="N612" t="b">
        <v>0</v>
      </c>
      <c r="O612">
        <v>43</v>
      </c>
      <c r="P612" t="s">
        <v>1752</v>
      </c>
      <c r="Q612" t="s">
        <v>1753</v>
      </c>
      <c r="R612" t="s">
        <v>1828</v>
      </c>
    </row>
    <row r="613" spans="1:18" x14ac:dyDescent="0.25">
      <c r="A613" t="s">
        <v>2716</v>
      </c>
      <c r="B613" t="s">
        <v>1998</v>
      </c>
      <c r="C613" t="s">
        <v>4</v>
      </c>
      <c r="D613" t="s">
        <v>974</v>
      </c>
      <c r="E613" s="2">
        <v>41563</v>
      </c>
      <c r="F613">
        <v>4048</v>
      </c>
      <c r="G613" t="s">
        <v>1746</v>
      </c>
      <c r="H613" t="s">
        <v>1798</v>
      </c>
      <c r="I613" t="b">
        <v>0</v>
      </c>
      <c r="J613" t="s">
        <v>1761</v>
      </c>
      <c r="K613" t="s">
        <v>2042</v>
      </c>
      <c r="L613" t="s">
        <v>1817</v>
      </c>
      <c r="M613">
        <v>618</v>
      </c>
      <c r="N613" t="b">
        <v>0</v>
      </c>
      <c r="O613">
        <v>762</v>
      </c>
      <c r="P613" t="s">
        <v>1819</v>
      </c>
      <c r="Q613" t="s">
        <v>1753</v>
      </c>
      <c r="R613" t="s">
        <v>1759</v>
      </c>
    </row>
    <row r="614" spans="1:18" x14ac:dyDescent="0.25">
      <c r="A614" t="s">
        <v>2593</v>
      </c>
      <c r="B614" t="s">
        <v>1820</v>
      </c>
      <c r="C614" t="s">
        <v>4</v>
      </c>
      <c r="D614" t="s">
        <v>2717</v>
      </c>
      <c r="E614" s="2">
        <v>43027</v>
      </c>
      <c r="F614">
        <v>2584</v>
      </c>
      <c r="G614" t="s">
        <v>1746</v>
      </c>
      <c r="H614" t="s">
        <v>1747</v>
      </c>
      <c r="I614" t="b">
        <v>1</v>
      </c>
      <c r="J614" t="s">
        <v>1748</v>
      </c>
      <c r="K614" t="s">
        <v>1868</v>
      </c>
      <c r="L614" t="s">
        <v>1817</v>
      </c>
      <c r="M614">
        <v>615</v>
      </c>
      <c r="N614" t="b">
        <v>0</v>
      </c>
      <c r="O614">
        <v>1853</v>
      </c>
      <c r="P614" t="s">
        <v>1819</v>
      </c>
      <c r="Q614" t="s">
        <v>1753</v>
      </c>
      <c r="R614" t="s">
        <v>1759</v>
      </c>
    </row>
    <row r="615" spans="1:18" x14ac:dyDescent="0.25">
      <c r="A615" t="s">
        <v>2718</v>
      </c>
      <c r="B615" t="s">
        <v>1945</v>
      </c>
      <c r="C615" t="s">
        <v>6</v>
      </c>
      <c r="D615" t="s">
        <v>167</v>
      </c>
      <c r="E615" s="2">
        <v>42433</v>
      </c>
      <c r="F615">
        <v>3178</v>
      </c>
      <c r="G615" t="s">
        <v>1746</v>
      </c>
      <c r="H615" t="s">
        <v>1798</v>
      </c>
      <c r="I615" t="b">
        <v>0</v>
      </c>
      <c r="J615" t="s">
        <v>1748</v>
      </c>
      <c r="K615" t="s">
        <v>1929</v>
      </c>
      <c r="L615" t="s">
        <v>1750</v>
      </c>
      <c r="M615">
        <v>614</v>
      </c>
      <c r="N615" t="b">
        <v>1</v>
      </c>
      <c r="P615" t="s">
        <v>1752</v>
      </c>
      <c r="Q615" t="s">
        <v>1753</v>
      </c>
      <c r="R615" t="s">
        <v>1772</v>
      </c>
    </row>
    <row r="616" spans="1:18" x14ac:dyDescent="0.25">
      <c r="A616" t="s">
        <v>2720</v>
      </c>
      <c r="B616" t="s">
        <v>2494</v>
      </c>
      <c r="C616" t="s">
        <v>6</v>
      </c>
      <c r="D616" t="s">
        <v>2719</v>
      </c>
      <c r="E616" s="2">
        <v>40674</v>
      </c>
      <c r="F616">
        <v>4937</v>
      </c>
      <c r="G616" t="s">
        <v>1746</v>
      </c>
      <c r="H616" t="s">
        <v>1747</v>
      </c>
      <c r="I616" t="b">
        <v>0</v>
      </c>
      <c r="J616" t="s">
        <v>1748</v>
      </c>
      <c r="K616" t="s">
        <v>1755</v>
      </c>
      <c r="L616" t="s">
        <v>1766</v>
      </c>
      <c r="M616">
        <v>613</v>
      </c>
      <c r="N616" t="b">
        <v>0</v>
      </c>
      <c r="P616" t="s">
        <v>1752</v>
      </c>
      <c r="Q616" t="s">
        <v>1753</v>
      </c>
      <c r="R616" t="s">
        <v>2028</v>
      </c>
    </row>
    <row r="617" spans="1:18" x14ac:dyDescent="0.25">
      <c r="A617" t="s">
        <v>2721</v>
      </c>
      <c r="B617" t="s">
        <v>1860</v>
      </c>
      <c r="C617" t="s">
        <v>4</v>
      </c>
      <c r="D617" t="s">
        <v>639</v>
      </c>
      <c r="E617" s="2">
        <v>45147</v>
      </c>
      <c r="F617">
        <v>464</v>
      </c>
      <c r="G617" t="s">
        <v>1746</v>
      </c>
      <c r="H617" t="s">
        <v>1798</v>
      </c>
      <c r="I617" t="b">
        <v>0</v>
      </c>
      <c r="J617" t="s">
        <v>1761</v>
      </c>
      <c r="K617" t="s">
        <v>1774</v>
      </c>
      <c r="L617" t="s">
        <v>1817</v>
      </c>
      <c r="M617">
        <v>613</v>
      </c>
      <c r="N617" t="b">
        <v>1</v>
      </c>
      <c r="O617">
        <v>385</v>
      </c>
      <c r="P617" t="s">
        <v>1819</v>
      </c>
      <c r="Q617" t="s">
        <v>1753</v>
      </c>
      <c r="R617" t="s">
        <v>1759</v>
      </c>
    </row>
    <row r="618" spans="1:18" x14ac:dyDescent="0.25">
      <c r="A618" t="s">
        <v>2723</v>
      </c>
      <c r="B618" t="s">
        <v>1840</v>
      </c>
      <c r="C618" t="s">
        <v>4</v>
      </c>
      <c r="D618" t="s">
        <v>2722</v>
      </c>
      <c r="E618" s="2">
        <v>39423</v>
      </c>
      <c r="F618">
        <v>6188</v>
      </c>
      <c r="G618" t="s">
        <v>1746</v>
      </c>
      <c r="H618" t="s">
        <v>1747</v>
      </c>
      <c r="I618" t="b">
        <v>0</v>
      </c>
      <c r="J618" t="s">
        <v>1761</v>
      </c>
      <c r="K618" t="s">
        <v>1853</v>
      </c>
      <c r="L618" t="s">
        <v>1750</v>
      </c>
      <c r="M618">
        <v>611</v>
      </c>
      <c r="N618" t="b">
        <v>0</v>
      </c>
      <c r="O618">
        <v>363</v>
      </c>
      <c r="P618" t="s">
        <v>1752</v>
      </c>
      <c r="Q618" t="s">
        <v>1753</v>
      </c>
      <c r="R618" t="s">
        <v>1759</v>
      </c>
    </row>
    <row r="619" spans="1:18" x14ac:dyDescent="0.25">
      <c r="A619" t="s">
        <v>2724</v>
      </c>
      <c r="B619" t="s">
        <v>1876</v>
      </c>
      <c r="C619" t="s">
        <v>4</v>
      </c>
      <c r="D619" t="s">
        <v>416</v>
      </c>
      <c r="E619" s="2">
        <v>45103</v>
      </c>
      <c r="F619">
        <v>508</v>
      </c>
      <c r="G619" t="s">
        <v>1746</v>
      </c>
      <c r="H619" t="s">
        <v>1747</v>
      </c>
      <c r="I619" t="b">
        <v>1</v>
      </c>
      <c r="J619" t="s">
        <v>1748</v>
      </c>
      <c r="K619" t="s">
        <v>1824</v>
      </c>
      <c r="L619" t="s">
        <v>1817</v>
      </c>
      <c r="M619">
        <v>611</v>
      </c>
      <c r="N619" t="b">
        <v>0</v>
      </c>
      <c r="O619">
        <v>2420</v>
      </c>
      <c r="P619" t="s">
        <v>1752</v>
      </c>
      <c r="Q619" t="s">
        <v>1753</v>
      </c>
      <c r="R619" t="s">
        <v>1759</v>
      </c>
    </row>
    <row r="620" spans="1:18" x14ac:dyDescent="0.25">
      <c r="A620" t="s">
        <v>2726</v>
      </c>
      <c r="B620" t="s">
        <v>2133</v>
      </c>
      <c r="C620" t="s">
        <v>4</v>
      </c>
      <c r="D620" t="s">
        <v>2725</v>
      </c>
      <c r="E620" s="2">
        <v>44152</v>
      </c>
      <c r="F620">
        <v>1459</v>
      </c>
      <c r="G620" t="s">
        <v>1746</v>
      </c>
      <c r="H620" t="s">
        <v>1798</v>
      </c>
      <c r="I620" t="b">
        <v>0</v>
      </c>
      <c r="J620" t="s">
        <v>1748</v>
      </c>
      <c r="K620" t="s">
        <v>1770</v>
      </c>
      <c r="L620" t="s">
        <v>1750</v>
      </c>
      <c r="M620">
        <v>610</v>
      </c>
      <c r="N620" t="b">
        <v>0</v>
      </c>
      <c r="O620">
        <v>37</v>
      </c>
      <c r="P620" t="s">
        <v>1752</v>
      </c>
      <c r="Q620" t="s">
        <v>1753</v>
      </c>
      <c r="R620" t="s">
        <v>1828</v>
      </c>
    </row>
    <row r="621" spans="1:18" x14ac:dyDescent="0.25">
      <c r="A621" t="s">
        <v>2728</v>
      </c>
      <c r="B621" t="s">
        <v>2620</v>
      </c>
      <c r="C621" t="s">
        <v>4</v>
      </c>
      <c r="D621" t="s">
        <v>2727</v>
      </c>
      <c r="E621" s="2">
        <v>43621</v>
      </c>
      <c r="F621">
        <v>1990</v>
      </c>
      <c r="G621" t="s">
        <v>1746</v>
      </c>
      <c r="H621" t="s">
        <v>1747</v>
      </c>
      <c r="I621" t="b">
        <v>1</v>
      </c>
      <c r="J621" t="s">
        <v>1748</v>
      </c>
      <c r="K621" t="s">
        <v>1824</v>
      </c>
      <c r="L621" t="s">
        <v>1750</v>
      </c>
      <c r="M621">
        <v>609</v>
      </c>
      <c r="N621" t="b">
        <v>0</v>
      </c>
      <c r="O621">
        <v>221</v>
      </c>
      <c r="P621" t="s">
        <v>1752</v>
      </c>
      <c r="Q621" t="s">
        <v>1753</v>
      </c>
      <c r="R621" t="s">
        <v>1828</v>
      </c>
    </row>
    <row r="622" spans="1:18" x14ac:dyDescent="0.25">
      <c r="A622" t="s">
        <v>2730</v>
      </c>
      <c r="B622" t="s">
        <v>1840</v>
      </c>
      <c r="C622" t="s">
        <v>4</v>
      </c>
      <c r="D622" t="s">
        <v>2729</v>
      </c>
      <c r="E622" s="2">
        <v>42990</v>
      </c>
      <c r="F622">
        <v>2621</v>
      </c>
      <c r="G622" t="s">
        <v>1746</v>
      </c>
      <c r="H622" t="s">
        <v>1747</v>
      </c>
      <c r="I622" t="b">
        <v>1</v>
      </c>
      <c r="J622" t="s">
        <v>1761</v>
      </c>
      <c r="K622" t="s">
        <v>1774</v>
      </c>
      <c r="L622" t="s">
        <v>1750</v>
      </c>
      <c r="M622">
        <v>606</v>
      </c>
      <c r="N622" t="b">
        <v>0</v>
      </c>
      <c r="O622">
        <v>72</v>
      </c>
      <c r="P622" t="s">
        <v>1752</v>
      </c>
      <c r="Q622" t="s">
        <v>1753</v>
      </c>
    </row>
    <row r="623" spans="1:18" x14ac:dyDescent="0.25">
      <c r="A623" t="s">
        <v>2731</v>
      </c>
      <c r="B623" t="s">
        <v>1795</v>
      </c>
      <c r="C623" t="s">
        <v>4</v>
      </c>
      <c r="D623" t="s">
        <v>545</v>
      </c>
      <c r="E623" s="2">
        <v>39878</v>
      </c>
      <c r="F623">
        <v>5733</v>
      </c>
      <c r="G623" t="s">
        <v>1746</v>
      </c>
      <c r="H623" t="s">
        <v>1798</v>
      </c>
      <c r="I623" t="b">
        <v>1</v>
      </c>
      <c r="J623" t="s">
        <v>1761</v>
      </c>
      <c r="K623" t="s">
        <v>1749</v>
      </c>
      <c r="L623" t="s">
        <v>1817</v>
      </c>
      <c r="M623">
        <v>600</v>
      </c>
      <c r="N623" t="b">
        <v>0</v>
      </c>
      <c r="O623">
        <v>29</v>
      </c>
      <c r="P623" t="s">
        <v>1819</v>
      </c>
      <c r="Q623" t="s">
        <v>1753</v>
      </c>
      <c r="R623" t="s">
        <v>1828</v>
      </c>
    </row>
    <row r="624" spans="1:18" x14ac:dyDescent="0.25">
      <c r="A624" t="s">
        <v>1664</v>
      </c>
      <c r="B624" t="s">
        <v>2269</v>
      </c>
      <c r="C624" t="s">
        <v>6</v>
      </c>
      <c r="D624" t="s">
        <v>1665</v>
      </c>
      <c r="E624" s="2">
        <v>39779</v>
      </c>
      <c r="F624">
        <v>5832</v>
      </c>
      <c r="G624" t="s">
        <v>1833</v>
      </c>
      <c r="H624" t="s">
        <v>1798</v>
      </c>
      <c r="I624" t="b">
        <v>1</v>
      </c>
      <c r="J624" t="s">
        <v>1748</v>
      </c>
      <c r="K624" t="s">
        <v>1751</v>
      </c>
      <c r="L624" t="s">
        <v>1750</v>
      </c>
      <c r="M624">
        <v>600</v>
      </c>
      <c r="N624" t="b">
        <v>0</v>
      </c>
      <c r="O624">
        <v>12694</v>
      </c>
      <c r="P624" t="s">
        <v>1752</v>
      </c>
      <c r="Q624" t="s">
        <v>1753</v>
      </c>
      <c r="R624" t="s">
        <v>1759</v>
      </c>
    </row>
    <row r="625" spans="1:18" x14ac:dyDescent="0.25">
      <c r="A625" t="s">
        <v>2732</v>
      </c>
      <c r="B625" t="s">
        <v>2269</v>
      </c>
      <c r="C625" t="s">
        <v>4</v>
      </c>
      <c r="D625" t="s">
        <v>1003</v>
      </c>
      <c r="E625" s="2">
        <v>43145</v>
      </c>
      <c r="F625">
        <v>2466</v>
      </c>
      <c r="G625" t="s">
        <v>1746</v>
      </c>
      <c r="H625" t="s">
        <v>1798</v>
      </c>
      <c r="I625" t="b">
        <v>1</v>
      </c>
      <c r="J625" t="s">
        <v>1761</v>
      </c>
      <c r="K625" t="s">
        <v>1822</v>
      </c>
      <c r="L625" t="s">
        <v>1817</v>
      </c>
      <c r="M625">
        <v>599</v>
      </c>
      <c r="N625" t="b">
        <v>0</v>
      </c>
      <c r="O625">
        <v>10057</v>
      </c>
      <c r="P625" t="s">
        <v>1819</v>
      </c>
      <c r="Q625" t="s">
        <v>1753</v>
      </c>
      <c r="R625" t="s">
        <v>1759</v>
      </c>
    </row>
    <row r="626" spans="1:18" x14ac:dyDescent="0.25">
      <c r="A626" t="s">
        <v>2733</v>
      </c>
      <c r="B626" t="s">
        <v>2011</v>
      </c>
      <c r="C626" t="s">
        <v>6</v>
      </c>
      <c r="D626" t="s">
        <v>114</v>
      </c>
      <c r="E626" s="2">
        <v>45079</v>
      </c>
      <c r="F626">
        <v>532</v>
      </c>
      <c r="G626" t="s">
        <v>1746</v>
      </c>
      <c r="H626" t="s">
        <v>1747</v>
      </c>
      <c r="I626" t="b">
        <v>1</v>
      </c>
      <c r="J626" t="s">
        <v>1748</v>
      </c>
      <c r="K626" t="s">
        <v>1985</v>
      </c>
      <c r="L626" t="s">
        <v>1750</v>
      </c>
      <c r="M626">
        <v>598</v>
      </c>
      <c r="N626" t="b">
        <v>0</v>
      </c>
      <c r="O626">
        <v>12</v>
      </c>
      <c r="P626" t="s">
        <v>1819</v>
      </c>
      <c r="Q626" t="s">
        <v>1753</v>
      </c>
    </row>
    <row r="627" spans="1:18" x14ac:dyDescent="0.25">
      <c r="A627" t="s">
        <v>2735</v>
      </c>
      <c r="B627" t="s">
        <v>1907</v>
      </c>
      <c r="C627" t="s">
        <v>4</v>
      </c>
      <c r="D627" t="s">
        <v>2734</v>
      </c>
      <c r="E627" s="2">
        <v>44875</v>
      </c>
      <c r="F627">
        <v>736</v>
      </c>
      <c r="G627" t="s">
        <v>1746</v>
      </c>
      <c r="H627" t="s">
        <v>1747</v>
      </c>
      <c r="I627" t="b">
        <v>1</v>
      </c>
      <c r="J627" t="s">
        <v>1761</v>
      </c>
      <c r="K627" t="s">
        <v>1749</v>
      </c>
      <c r="L627" t="s">
        <v>1750</v>
      </c>
      <c r="M627">
        <v>596</v>
      </c>
      <c r="N627" t="b">
        <v>0</v>
      </c>
      <c r="O627">
        <v>100</v>
      </c>
      <c r="P627" t="s">
        <v>1752</v>
      </c>
      <c r="Q627" t="s">
        <v>1753</v>
      </c>
    </row>
    <row r="628" spans="1:18" x14ac:dyDescent="0.25">
      <c r="A628" t="s">
        <v>1553</v>
      </c>
      <c r="B628" t="s">
        <v>1810</v>
      </c>
      <c r="C628" t="s">
        <v>6</v>
      </c>
      <c r="D628" t="s">
        <v>1554</v>
      </c>
      <c r="E628" s="2">
        <v>40263</v>
      </c>
      <c r="F628">
        <v>5348</v>
      </c>
      <c r="G628" t="s">
        <v>1746</v>
      </c>
      <c r="H628" t="s">
        <v>1747</v>
      </c>
      <c r="I628" t="b">
        <v>1</v>
      </c>
      <c r="J628" t="s">
        <v>1748</v>
      </c>
      <c r="K628" t="s">
        <v>1880</v>
      </c>
      <c r="L628" t="s">
        <v>1750</v>
      </c>
      <c r="M628">
        <v>592</v>
      </c>
      <c r="N628" t="b">
        <v>1</v>
      </c>
      <c r="O628">
        <v>73</v>
      </c>
      <c r="P628" t="s">
        <v>1752</v>
      </c>
      <c r="Q628" t="s">
        <v>1753</v>
      </c>
    </row>
    <row r="629" spans="1:18" x14ac:dyDescent="0.25">
      <c r="A629" t="s">
        <v>2736</v>
      </c>
      <c r="B629" t="s">
        <v>1945</v>
      </c>
      <c r="C629" t="s">
        <v>4</v>
      </c>
      <c r="D629" t="s">
        <v>997</v>
      </c>
      <c r="E629" s="2">
        <v>40686</v>
      </c>
      <c r="F629">
        <v>4925</v>
      </c>
      <c r="G629" t="s">
        <v>1746</v>
      </c>
      <c r="H629" t="s">
        <v>1798</v>
      </c>
      <c r="I629" t="b">
        <v>1</v>
      </c>
      <c r="J629" t="s">
        <v>1761</v>
      </c>
      <c r="K629" t="s">
        <v>1825</v>
      </c>
      <c r="L629" t="s">
        <v>1817</v>
      </c>
      <c r="M629">
        <v>590</v>
      </c>
      <c r="N629" t="b">
        <v>0</v>
      </c>
      <c r="O629">
        <v>2472</v>
      </c>
      <c r="P629" t="s">
        <v>1819</v>
      </c>
      <c r="Q629" t="s">
        <v>1753</v>
      </c>
      <c r="R629" t="s">
        <v>1828</v>
      </c>
    </row>
    <row r="630" spans="1:18" x14ac:dyDescent="0.25">
      <c r="A630" t="s">
        <v>2737</v>
      </c>
      <c r="B630" t="s">
        <v>1876</v>
      </c>
      <c r="C630" t="s">
        <v>4</v>
      </c>
      <c r="D630" t="s">
        <v>1307</v>
      </c>
      <c r="E630" s="2">
        <v>43732</v>
      </c>
      <c r="F630">
        <v>1879</v>
      </c>
      <c r="G630" t="s">
        <v>1746</v>
      </c>
      <c r="H630" t="s">
        <v>1747</v>
      </c>
      <c r="I630" t="b">
        <v>1</v>
      </c>
      <c r="J630" t="s">
        <v>1748</v>
      </c>
      <c r="K630" t="s">
        <v>1793</v>
      </c>
      <c r="L630" t="s">
        <v>1750</v>
      </c>
      <c r="M630">
        <v>590</v>
      </c>
      <c r="N630" t="b">
        <v>0</v>
      </c>
      <c r="O630">
        <v>2199</v>
      </c>
      <c r="P630" t="s">
        <v>1752</v>
      </c>
      <c r="Q630" t="s">
        <v>1753</v>
      </c>
      <c r="R630" t="s">
        <v>1772</v>
      </c>
    </row>
    <row r="631" spans="1:18" x14ac:dyDescent="0.25">
      <c r="A631" t="s">
        <v>2739</v>
      </c>
      <c r="B631" t="s">
        <v>2284</v>
      </c>
      <c r="C631" t="s">
        <v>2338</v>
      </c>
      <c r="D631" t="s">
        <v>2738</v>
      </c>
      <c r="E631" s="2">
        <v>43753</v>
      </c>
      <c r="F631">
        <v>1858</v>
      </c>
      <c r="G631" t="s">
        <v>1746</v>
      </c>
      <c r="H631" t="s">
        <v>1747</v>
      </c>
      <c r="I631" t="b">
        <v>0</v>
      </c>
      <c r="J631" t="s">
        <v>1748</v>
      </c>
      <c r="K631" t="s">
        <v>1935</v>
      </c>
      <c r="L631" t="s">
        <v>1775</v>
      </c>
      <c r="M631">
        <v>588</v>
      </c>
      <c r="N631" t="b">
        <v>0</v>
      </c>
      <c r="P631" t="s">
        <v>2283</v>
      </c>
      <c r="Q631" t="s">
        <v>1705</v>
      </c>
    </row>
    <row r="632" spans="1:18" x14ac:dyDescent="0.25">
      <c r="A632" t="s">
        <v>2740</v>
      </c>
      <c r="B632" t="s">
        <v>1754</v>
      </c>
      <c r="C632" t="s">
        <v>4</v>
      </c>
      <c r="D632" t="s">
        <v>717</v>
      </c>
      <c r="E632" s="2">
        <v>36619</v>
      </c>
      <c r="F632">
        <v>8992</v>
      </c>
      <c r="G632" t="s">
        <v>1746</v>
      </c>
      <c r="H632" t="s">
        <v>1798</v>
      </c>
      <c r="I632" t="b">
        <v>0</v>
      </c>
      <c r="J632" t="s">
        <v>1761</v>
      </c>
      <c r="K632" t="s">
        <v>1880</v>
      </c>
      <c r="L632" t="s">
        <v>1750</v>
      </c>
      <c r="M632">
        <v>588</v>
      </c>
      <c r="N632" t="b">
        <v>0</v>
      </c>
      <c r="O632">
        <v>50</v>
      </c>
      <c r="P632" t="s">
        <v>1752</v>
      </c>
      <c r="Q632" t="s">
        <v>1753</v>
      </c>
      <c r="R632" t="s">
        <v>1828</v>
      </c>
    </row>
    <row r="633" spans="1:18" x14ac:dyDescent="0.25">
      <c r="A633" t="s">
        <v>2742</v>
      </c>
      <c r="B633" t="s">
        <v>2494</v>
      </c>
      <c r="C633" t="s">
        <v>4</v>
      </c>
      <c r="D633" t="s">
        <v>2741</v>
      </c>
      <c r="E633" s="2">
        <v>40049</v>
      </c>
      <c r="F633">
        <v>5562</v>
      </c>
      <c r="G633" t="s">
        <v>1746</v>
      </c>
      <c r="H633" t="s">
        <v>1805</v>
      </c>
      <c r="I633" t="b">
        <v>1</v>
      </c>
      <c r="J633" t="s">
        <v>1761</v>
      </c>
      <c r="K633" t="s">
        <v>1749</v>
      </c>
      <c r="L633" t="s">
        <v>1750</v>
      </c>
      <c r="M633">
        <v>588</v>
      </c>
      <c r="N633" t="b">
        <v>0</v>
      </c>
      <c r="O633">
        <v>100</v>
      </c>
      <c r="P633" t="s">
        <v>1752</v>
      </c>
      <c r="Q633" t="s">
        <v>1753</v>
      </c>
    </row>
    <row r="634" spans="1:18" x14ac:dyDescent="0.25">
      <c r="A634" t="s">
        <v>2743</v>
      </c>
      <c r="B634" t="s">
        <v>1781</v>
      </c>
      <c r="C634" t="s">
        <v>186</v>
      </c>
      <c r="D634" t="s">
        <v>1464</v>
      </c>
      <c r="E634" s="2">
        <v>38987</v>
      </c>
      <c r="F634">
        <v>6624</v>
      </c>
      <c r="G634" t="s">
        <v>1746</v>
      </c>
      <c r="H634" t="s">
        <v>1747</v>
      </c>
      <c r="I634" t="b">
        <v>0</v>
      </c>
      <c r="J634" t="s">
        <v>1748</v>
      </c>
      <c r="K634" t="s">
        <v>1830</v>
      </c>
      <c r="L634" t="s">
        <v>2102</v>
      </c>
      <c r="M634">
        <v>587</v>
      </c>
      <c r="N634" t="b">
        <v>0</v>
      </c>
      <c r="P634" t="s">
        <v>2070</v>
      </c>
      <c r="Q634" t="s">
        <v>1779</v>
      </c>
    </row>
    <row r="635" spans="1:18" x14ac:dyDescent="0.25">
      <c r="A635" t="s">
        <v>2745</v>
      </c>
      <c r="B635" t="s">
        <v>2173</v>
      </c>
      <c r="C635" t="s">
        <v>6</v>
      </c>
      <c r="D635" t="s">
        <v>2744</v>
      </c>
      <c r="E635" s="2">
        <v>44006</v>
      </c>
      <c r="F635">
        <v>1605</v>
      </c>
      <c r="G635" t="s">
        <v>1746</v>
      </c>
      <c r="H635" t="s">
        <v>1747</v>
      </c>
      <c r="I635" t="b">
        <v>1</v>
      </c>
      <c r="J635" t="s">
        <v>1748</v>
      </c>
      <c r="K635" t="s">
        <v>1824</v>
      </c>
      <c r="L635" t="s">
        <v>1750</v>
      </c>
      <c r="M635">
        <v>586</v>
      </c>
      <c r="N635" t="b">
        <v>0</v>
      </c>
      <c r="O635">
        <v>221</v>
      </c>
      <c r="P635" t="s">
        <v>1752</v>
      </c>
      <c r="Q635" t="s">
        <v>1753</v>
      </c>
      <c r="R635" t="s">
        <v>1828</v>
      </c>
    </row>
    <row r="636" spans="1:18" x14ac:dyDescent="0.25">
      <c r="A636" t="s">
        <v>2747</v>
      </c>
      <c r="B636" t="s">
        <v>2150</v>
      </c>
      <c r="C636" t="s">
        <v>6</v>
      </c>
      <c r="D636" t="s">
        <v>2746</v>
      </c>
      <c r="E636" s="2">
        <v>40779</v>
      </c>
      <c r="F636">
        <v>4832</v>
      </c>
      <c r="G636" t="s">
        <v>1746</v>
      </c>
      <c r="H636" t="s">
        <v>1805</v>
      </c>
      <c r="I636" t="b">
        <v>1</v>
      </c>
      <c r="J636" t="s">
        <v>1761</v>
      </c>
      <c r="K636" t="s">
        <v>1776</v>
      </c>
      <c r="L636" t="s">
        <v>1817</v>
      </c>
      <c r="M636">
        <v>585</v>
      </c>
      <c r="N636" t="b">
        <v>0</v>
      </c>
      <c r="O636">
        <v>1147</v>
      </c>
      <c r="P636" t="s">
        <v>1819</v>
      </c>
      <c r="Q636" t="s">
        <v>1753</v>
      </c>
      <c r="R636" t="s">
        <v>1759</v>
      </c>
    </row>
    <row r="637" spans="1:18" x14ac:dyDescent="0.25">
      <c r="A637" t="s">
        <v>2748</v>
      </c>
      <c r="B637" t="s">
        <v>2269</v>
      </c>
      <c r="C637" t="s">
        <v>6</v>
      </c>
      <c r="D637" t="s">
        <v>1646</v>
      </c>
      <c r="E637" s="2">
        <v>41508</v>
      </c>
      <c r="F637">
        <v>4103</v>
      </c>
      <c r="G637" t="s">
        <v>1746</v>
      </c>
      <c r="H637" t="s">
        <v>1798</v>
      </c>
      <c r="I637" t="b">
        <v>0</v>
      </c>
      <c r="J637" t="s">
        <v>1748</v>
      </c>
      <c r="K637" t="s">
        <v>1917</v>
      </c>
      <c r="L637" t="s">
        <v>1766</v>
      </c>
      <c r="M637">
        <v>585</v>
      </c>
      <c r="N637" t="b">
        <v>0</v>
      </c>
      <c r="P637" t="s">
        <v>1752</v>
      </c>
      <c r="Q637" t="s">
        <v>1753</v>
      </c>
      <c r="R637" t="s">
        <v>1759</v>
      </c>
    </row>
    <row r="638" spans="1:18" x14ac:dyDescent="0.25">
      <c r="A638" t="s">
        <v>1565</v>
      </c>
      <c r="B638" t="s">
        <v>1810</v>
      </c>
      <c r="C638" t="s">
        <v>6</v>
      </c>
      <c r="D638" t="s">
        <v>1566</v>
      </c>
      <c r="E638" s="2">
        <v>39255</v>
      </c>
      <c r="F638">
        <v>6356</v>
      </c>
      <c r="G638" t="s">
        <v>1746</v>
      </c>
      <c r="H638" t="s">
        <v>1747</v>
      </c>
      <c r="I638" t="b">
        <v>0</v>
      </c>
      <c r="J638" t="s">
        <v>1748</v>
      </c>
      <c r="K638" t="s">
        <v>1830</v>
      </c>
      <c r="L638" t="s">
        <v>1766</v>
      </c>
      <c r="M638">
        <v>584</v>
      </c>
      <c r="N638" t="b">
        <v>0</v>
      </c>
      <c r="P638" t="s">
        <v>1752</v>
      </c>
      <c r="Q638" t="s">
        <v>1753</v>
      </c>
      <c r="R638" t="s">
        <v>1772</v>
      </c>
    </row>
    <row r="639" spans="1:18" x14ac:dyDescent="0.25">
      <c r="A639" t="s">
        <v>2750</v>
      </c>
      <c r="B639" t="s">
        <v>2335</v>
      </c>
      <c r="C639" t="s">
        <v>11</v>
      </c>
      <c r="D639" t="s">
        <v>2749</v>
      </c>
      <c r="E639" s="2">
        <v>44349</v>
      </c>
      <c r="F639">
        <v>1262</v>
      </c>
      <c r="G639" t="s">
        <v>1746</v>
      </c>
      <c r="H639" t="s">
        <v>1798</v>
      </c>
      <c r="I639" t="b">
        <v>0</v>
      </c>
      <c r="J639" t="s">
        <v>1748</v>
      </c>
      <c r="K639" t="s">
        <v>1853</v>
      </c>
      <c r="L639" t="s">
        <v>1766</v>
      </c>
      <c r="M639">
        <v>584</v>
      </c>
      <c r="N639" t="b">
        <v>0</v>
      </c>
      <c r="P639" t="s">
        <v>1752</v>
      </c>
      <c r="Q639" t="s">
        <v>1753</v>
      </c>
      <c r="R639" t="s">
        <v>1759</v>
      </c>
    </row>
    <row r="640" spans="1:18" x14ac:dyDescent="0.25">
      <c r="A640" t="s">
        <v>2752</v>
      </c>
      <c r="B640" t="s">
        <v>2133</v>
      </c>
      <c r="C640" t="s">
        <v>4</v>
      </c>
      <c r="D640" t="s">
        <v>2751</v>
      </c>
      <c r="E640" s="2">
        <v>44153</v>
      </c>
      <c r="F640">
        <v>1458</v>
      </c>
      <c r="G640" t="s">
        <v>1746</v>
      </c>
      <c r="H640" t="s">
        <v>1798</v>
      </c>
      <c r="I640" t="b">
        <v>0</v>
      </c>
      <c r="J640" t="s">
        <v>1748</v>
      </c>
      <c r="K640" t="s">
        <v>1770</v>
      </c>
      <c r="L640" t="s">
        <v>1750</v>
      </c>
      <c r="M640">
        <v>583</v>
      </c>
      <c r="N640" t="b">
        <v>0</v>
      </c>
      <c r="O640">
        <v>17</v>
      </c>
      <c r="P640" t="s">
        <v>1752</v>
      </c>
      <c r="Q640" t="s">
        <v>1753</v>
      </c>
      <c r="R640" t="s">
        <v>1828</v>
      </c>
    </row>
    <row r="641" spans="1:18" x14ac:dyDescent="0.25">
      <c r="A641" t="s">
        <v>2754</v>
      </c>
      <c r="B641" t="s">
        <v>1840</v>
      </c>
      <c r="C641" t="s">
        <v>4</v>
      </c>
      <c r="D641" t="s">
        <v>2753</v>
      </c>
      <c r="E641" s="2">
        <v>40872</v>
      </c>
      <c r="F641">
        <v>4739</v>
      </c>
      <c r="G641" t="s">
        <v>1746</v>
      </c>
      <c r="H641" t="s">
        <v>1747</v>
      </c>
      <c r="I641" t="b">
        <v>1</v>
      </c>
      <c r="J641" t="s">
        <v>1761</v>
      </c>
      <c r="K641" t="s">
        <v>1757</v>
      </c>
      <c r="L641" t="s">
        <v>1750</v>
      </c>
      <c r="M641">
        <v>581</v>
      </c>
      <c r="N641" t="b">
        <v>0</v>
      </c>
      <c r="O641">
        <v>105</v>
      </c>
      <c r="P641" t="s">
        <v>1752</v>
      </c>
      <c r="Q641" t="s">
        <v>1753</v>
      </c>
      <c r="R641" t="s">
        <v>1772</v>
      </c>
    </row>
    <row r="642" spans="1:18" x14ac:dyDescent="0.25">
      <c r="A642" t="s">
        <v>2755</v>
      </c>
      <c r="B642" t="s">
        <v>2035</v>
      </c>
      <c r="C642" t="s">
        <v>11</v>
      </c>
      <c r="D642" t="s">
        <v>12</v>
      </c>
      <c r="E642" s="2">
        <v>39993</v>
      </c>
      <c r="F642">
        <v>5618</v>
      </c>
      <c r="G642" t="s">
        <v>1746</v>
      </c>
      <c r="H642" t="s">
        <v>1798</v>
      </c>
      <c r="I642" t="b">
        <v>0</v>
      </c>
      <c r="J642" t="s">
        <v>1748</v>
      </c>
      <c r="K642" t="s">
        <v>1934</v>
      </c>
      <c r="L642" t="s">
        <v>1750</v>
      </c>
      <c r="M642">
        <v>581</v>
      </c>
      <c r="N642" t="b">
        <v>0</v>
      </c>
      <c r="O642">
        <v>50</v>
      </c>
      <c r="P642" t="s">
        <v>1827</v>
      </c>
      <c r="Q642" t="s">
        <v>1753</v>
      </c>
      <c r="R642" t="s">
        <v>1828</v>
      </c>
    </row>
    <row r="643" spans="1:18" x14ac:dyDescent="0.25">
      <c r="A643" t="s">
        <v>2756</v>
      </c>
      <c r="B643" t="s">
        <v>1754</v>
      </c>
      <c r="C643" t="s">
        <v>6</v>
      </c>
      <c r="D643" t="s">
        <v>1184</v>
      </c>
      <c r="E643" s="2">
        <v>42752</v>
      </c>
      <c r="F643">
        <v>2859</v>
      </c>
      <c r="G643" t="s">
        <v>1746</v>
      </c>
      <c r="H643" t="s">
        <v>1798</v>
      </c>
      <c r="I643" t="b">
        <v>0</v>
      </c>
      <c r="J643" t="s">
        <v>1761</v>
      </c>
      <c r="K643" t="s">
        <v>1986</v>
      </c>
      <c r="L643" t="s">
        <v>1817</v>
      </c>
      <c r="M643">
        <v>581</v>
      </c>
      <c r="N643" t="b">
        <v>1</v>
      </c>
      <c r="O643">
        <v>707</v>
      </c>
      <c r="P643" t="s">
        <v>1819</v>
      </c>
      <c r="Q643" t="s">
        <v>1753</v>
      </c>
      <c r="R643" t="s">
        <v>1828</v>
      </c>
    </row>
    <row r="644" spans="1:18" x14ac:dyDescent="0.25">
      <c r="A644" t="s">
        <v>2757</v>
      </c>
      <c r="B644" t="s">
        <v>2060</v>
      </c>
      <c r="C644" t="s">
        <v>4</v>
      </c>
      <c r="D644" t="s">
        <v>464</v>
      </c>
      <c r="E644" s="2">
        <v>43677</v>
      </c>
      <c r="F644">
        <v>1934</v>
      </c>
      <c r="G644" t="s">
        <v>1833</v>
      </c>
      <c r="H644" t="s">
        <v>1747</v>
      </c>
      <c r="I644" t="b">
        <v>0</v>
      </c>
      <c r="J644" t="s">
        <v>1748</v>
      </c>
      <c r="K644" t="s">
        <v>1853</v>
      </c>
      <c r="L644" t="s">
        <v>1750</v>
      </c>
      <c r="M644">
        <v>580</v>
      </c>
      <c r="N644" t="b">
        <v>1</v>
      </c>
      <c r="O644">
        <v>199</v>
      </c>
      <c r="P644" t="s">
        <v>1752</v>
      </c>
      <c r="Q644" t="s">
        <v>1753</v>
      </c>
      <c r="R644" t="s">
        <v>1759</v>
      </c>
    </row>
    <row r="645" spans="1:18" x14ac:dyDescent="0.25">
      <c r="A645" t="s">
        <v>2758</v>
      </c>
      <c r="B645" t="s">
        <v>1814</v>
      </c>
      <c r="C645" t="s">
        <v>4</v>
      </c>
      <c r="D645" t="s">
        <v>1001</v>
      </c>
      <c r="E645" s="2">
        <v>40942</v>
      </c>
      <c r="F645">
        <v>4669</v>
      </c>
      <c r="G645" t="s">
        <v>1746</v>
      </c>
      <c r="H645" t="s">
        <v>1798</v>
      </c>
      <c r="I645" t="b">
        <v>1</v>
      </c>
      <c r="J645" t="s">
        <v>1761</v>
      </c>
      <c r="K645" t="s">
        <v>2021</v>
      </c>
      <c r="L645" t="s">
        <v>1817</v>
      </c>
      <c r="M645">
        <v>579</v>
      </c>
      <c r="N645" t="b">
        <v>0</v>
      </c>
      <c r="O645">
        <v>434</v>
      </c>
      <c r="P645" t="s">
        <v>1819</v>
      </c>
      <c r="Q645" t="s">
        <v>1753</v>
      </c>
      <c r="R645" t="s">
        <v>1828</v>
      </c>
    </row>
    <row r="646" spans="1:18" x14ac:dyDescent="0.25">
      <c r="A646" t="s">
        <v>2759</v>
      </c>
      <c r="B646" t="s">
        <v>1945</v>
      </c>
      <c r="C646" t="s">
        <v>6</v>
      </c>
      <c r="D646" t="s">
        <v>99</v>
      </c>
      <c r="E646" s="2">
        <v>41646</v>
      </c>
      <c r="F646">
        <v>3965</v>
      </c>
      <c r="G646" t="s">
        <v>1746</v>
      </c>
      <c r="H646" t="s">
        <v>1798</v>
      </c>
      <c r="I646" t="b">
        <v>0</v>
      </c>
      <c r="J646" t="s">
        <v>1748</v>
      </c>
      <c r="K646" t="s">
        <v>1880</v>
      </c>
      <c r="L646" t="s">
        <v>1766</v>
      </c>
      <c r="M646">
        <v>576</v>
      </c>
      <c r="N646" t="b">
        <v>0</v>
      </c>
      <c r="P646" t="s">
        <v>1752</v>
      </c>
      <c r="Q646" t="s">
        <v>1753</v>
      </c>
    </row>
    <row r="647" spans="1:18" x14ac:dyDescent="0.25">
      <c r="A647" t="s">
        <v>2760</v>
      </c>
      <c r="B647" t="s">
        <v>1810</v>
      </c>
      <c r="C647" t="s">
        <v>4</v>
      </c>
      <c r="D647" t="s">
        <v>740</v>
      </c>
      <c r="E647" s="2">
        <v>43655</v>
      </c>
      <c r="F647">
        <v>1956</v>
      </c>
      <c r="G647" t="s">
        <v>1746</v>
      </c>
      <c r="H647" t="s">
        <v>1747</v>
      </c>
      <c r="I647" t="b">
        <v>1</v>
      </c>
      <c r="J647" t="s">
        <v>1748</v>
      </c>
      <c r="K647" t="s">
        <v>1749</v>
      </c>
      <c r="L647" t="s">
        <v>1817</v>
      </c>
      <c r="M647">
        <v>576</v>
      </c>
      <c r="N647" t="b">
        <v>0</v>
      </c>
      <c r="O647">
        <v>78</v>
      </c>
      <c r="P647" t="s">
        <v>1819</v>
      </c>
      <c r="Q647" t="s">
        <v>1753</v>
      </c>
    </row>
    <row r="648" spans="1:18" x14ac:dyDescent="0.25">
      <c r="A648" t="s">
        <v>2762</v>
      </c>
      <c r="B648" t="s">
        <v>2763</v>
      </c>
      <c r="C648" t="s">
        <v>4</v>
      </c>
      <c r="D648" t="s">
        <v>2761</v>
      </c>
      <c r="E648" s="2">
        <v>42338</v>
      </c>
      <c r="F648">
        <v>3273</v>
      </c>
      <c r="G648" t="s">
        <v>1746</v>
      </c>
      <c r="H648" t="s">
        <v>2001</v>
      </c>
      <c r="I648" t="b">
        <v>1</v>
      </c>
      <c r="J648" t="s">
        <v>1748</v>
      </c>
      <c r="K648" t="s">
        <v>1774</v>
      </c>
      <c r="L648" t="s">
        <v>1756</v>
      </c>
      <c r="M648">
        <v>576</v>
      </c>
      <c r="N648" t="b">
        <v>0</v>
      </c>
      <c r="O648">
        <v>198</v>
      </c>
      <c r="P648" t="s">
        <v>1752</v>
      </c>
      <c r="Q648" t="s">
        <v>1753</v>
      </c>
    </row>
    <row r="649" spans="1:18" x14ac:dyDescent="0.25">
      <c r="A649" t="s">
        <v>2764</v>
      </c>
      <c r="B649" t="s">
        <v>1860</v>
      </c>
      <c r="C649" t="s">
        <v>4</v>
      </c>
      <c r="D649" t="s">
        <v>1099</v>
      </c>
      <c r="E649" s="2">
        <v>43837</v>
      </c>
      <c r="F649">
        <v>1774</v>
      </c>
      <c r="G649" t="s">
        <v>1746</v>
      </c>
      <c r="H649" t="s">
        <v>1747</v>
      </c>
      <c r="I649" t="b">
        <v>0</v>
      </c>
      <c r="J649" t="s">
        <v>1748</v>
      </c>
      <c r="K649" t="s">
        <v>1776</v>
      </c>
      <c r="L649" t="s">
        <v>1750</v>
      </c>
      <c r="M649">
        <v>575</v>
      </c>
      <c r="N649" t="b">
        <v>1</v>
      </c>
      <c r="O649">
        <v>609</v>
      </c>
      <c r="P649" t="s">
        <v>1752</v>
      </c>
      <c r="Q649" t="s">
        <v>1753</v>
      </c>
      <c r="R649" t="s">
        <v>1759</v>
      </c>
    </row>
    <row r="650" spans="1:18" x14ac:dyDescent="0.25">
      <c r="A650" t="s">
        <v>1057</v>
      </c>
      <c r="B650" t="s">
        <v>1768</v>
      </c>
      <c r="C650" t="s">
        <v>4</v>
      </c>
      <c r="D650" t="s">
        <v>1058</v>
      </c>
      <c r="E650" s="2">
        <v>42489</v>
      </c>
      <c r="F650">
        <v>3122</v>
      </c>
      <c r="G650" t="s">
        <v>1746</v>
      </c>
      <c r="H650" t="s">
        <v>1747</v>
      </c>
      <c r="I650" t="b">
        <v>1</v>
      </c>
      <c r="J650" t="s">
        <v>1748</v>
      </c>
      <c r="K650" t="s">
        <v>1853</v>
      </c>
      <c r="L650" t="s">
        <v>1750</v>
      </c>
      <c r="M650">
        <v>575</v>
      </c>
      <c r="N650" t="b">
        <v>0</v>
      </c>
      <c r="O650">
        <v>136</v>
      </c>
      <c r="P650" t="s">
        <v>1752</v>
      </c>
      <c r="Q650" t="s">
        <v>1753</v>
      </c>
      <c r="R650" t="s">
        <v>1759</v>
      </c>
    </row>
    <row r="651" spans="1:18" x14ac:dyDescent="0.25">
      <c r="A651" t="s">
        <v>2766</v>
      </c>
      <c r="B651" t="s">
        <v>2183</v>
      </c>
      <c r="C651" t="s">
        <v>572</v>
      </c>
      <c r="D651" t="s">
        <v>2765</v>
      </c>
      <c r="E651" s="2">
        <v>41136</v>
      </c>
      <c r="F651">
        <v>4475</v>
      </c>
      <c r="G651" t="s">
        <v>1746</v>
      </c>
      <c r="H651" t="s">
        <v>1798</v>
      </c>
      <c r="I651" t="b">
        <v>0</v>
      </c>
      <c r="J651" t="s">
        <v>1748</v>
      </c>
      <c r="K651" t="s">
        <v>1799</v>
      </c>
      <c r="L651" t="s">
        <v>1775</v>
      </c>
      <c r="M651">
        <v>573</v>
      </c>
      <c r="N651" t="b">
        <v>0</v>
      </c>
      <c r="P651" t="s">
        <v>1778</v>
      </c>
      <c r="Q651" t="s">
        <v>1779</v>
      </c>
    </row>
    <row r="652" spans="1:18" x14ac:dyDescent="0.25">
      <c r="A652" t="s">
        <v>2767</v>
      </c>
      <c r="B652" t="s">
        <v>2768</v>
      </c>
      <c r="C652" t="s">
        <v>6</v>
      </c>
      <c r="D652" t="s">
        <v>870</v>
      </c>
      <c r="E652" s="2">
        <v>41519</v>
      </c>
      <c r="F652">
        <v>4092</v>
      </c>
      <c r="G652" t="s">
        <v>1746</v>
      </c>
      <c r="H652" t="s">
        <v>1798</v>
      </c>
      <c r="I652" t="b">
        <v>1</v>
      </c>
      <c r="J652" t="s">
        <v>1748</v>
      </c>
      <c r="K652" t="s">
        <v>1825</v>
      </c>
      <c r="L652" t="s">
        <v>1750</v>
      </c>
      <c r="M652">
        <v>571</v>
      </c>
      <c r="N652" t="b">
        <v>0</v>
      </c>
      <c r="O652">
        <v>6</v>
      </c>
      <c r="P652" t="s">
        <v>1819</v>
      </c>
      <c r="Q652" t="s">
        <v>1753</v>
      </c>
    </row>
    <row r="653" spans="1:18" x14ac:dyDescent="0.25">
      <c r="A653" t="s">
        <v>2769</v>
      </c>
      <c r="B653" t="s">
        <v>1810</v>
      </c>
      <c r="C653" t="s">
        <v>4</v>
      </c>
      <c r="D653" t="s">
        <v>610</v>
      </c>
      <c r="E653" s="2">
        <v>42251</v>
      </c>
      <c r="F653">
        <v>3360</v>
      </c>
      <c r="G653" t="s">
        <v>1746</v>
      </c>
      <c r="H653" t="s">
        <v>1747</v>
      </c>
      <c r="I653" t="b">
        <v>1</v>
      </c>
      <c r="J653" t="s">
        <v>1748</v>
      </c>
      <c r="K653" t="s">
        <v>1868</v>
      </c>
      <c r="L653" t="s">
        <v>1756</v>
      </c>
      <c r="M653">
        <v>563</v>
      </c>
      <c r="N653" t="b">
        <v>0</v>
      </c>
      <c r="O653">
        <v>482</v>
      </c>
      <c r="P653" t="s">
        <v>1752</v>
      </c>
      <c r="Q653" t="s">
        <v>1753</v>
      </c>
      <c r="R653" t="s">
        <v>1759</v>
      </c>
    </row>
    <row r="654" spans="1:18" x14ac:dyDescent="0.25">
      <c r="A654" t="s">
        <v>2770</v>
      </c>
      <c r="B654" t="s">
        <v>1881</v>
      </c>
      <c r="C654" t="s">
        <v>6</v>
      </c>
      <c r="D654" t="s">
        <v>1186</v>
      </c>
      <c r="E654" s="2">
        <v>42094</v>
      </c>
      <c r="F654">
        <v>3517</v>
      </c>
      <c r="G654" t="s">
        <v>1746</v>
      </c>
      <c r="H654" t="s">
        <v>1798</v>
      </c>
      <c r="I654" t="b">
        <v>0</v>
      </c>
      <c r="J654" t="s">
        <v>1748</v>
      </c>
      <c r="K654" t="s">
        <v>1809</v>
      </c>
      <c r="L654" t="s">
        <v>1817</v>
      </c>
      <c r="M654">
        <v>561</v>
      </c>
      <c r="N654" t="b">
        <v>0</v>
      </c>
      <c r="O654">
        <v>217</v>
      </c>
      <c r="P654" t="s">
        <v>1819</v>
      </c>
      <c r="Q654" t="s">
        <v>1753</v>
      </c>
    </row>
    <row r="655" spans="1:18" x14ac:dyDescent="0.25">
      <c r="A655" t="s">
        <v>2772</v>
      </c>
      <c r="B655" t="s">
        <v>1785</v>
      </c>
      <c r="C655" t="s">
        <v>4</v>
      </c>
      <c r="D655" t="s">
        <v>2771</v>
      </c>
      <c r="E655" s="2">
        <v>42053</v>
      </c>
      <c r="F655">
        <v>3558</v>
      </c>
      <c r="G655" t="s">
        <v>1746</v>
      </c>
      <c r="H655" t="s">
        <v>1747</v>
      </c>
      <c r="I655" t="b">
        <v>1</v>
      </c>
      <c r="J655" t="s">
        <v>1748</v>
      </c>
      <c r="K655" t="s">
        <v>1853</v>
      </c>
      <c r="L655" t="s">
        <v>1756</v>
      </c>
      <c r="M655">
        <v>559</v>
      </c>
      <c r="N655" t="b">
        <v>0</v>
      </c>
      <c r="O655">
        <v>1700</v>
      </c>
      <c r="P655" t="s">
        <v>1752</v>
      </c>
      <c r="Q655" t="s">
        <v>1753</v>
      </c>
    </row>
    <row r="656" spans="1:18" x14ac:dyDescent="0.25">
      <c r="A656" t="s">
        <v>2773</v>
      </c>
      <c r="B656" t="s">
        <v>1763</v>
      </c>
      <c r="C656" t="s">
        <v>4</v>
      </c>
      <c r="D656" t="s">
        <v>1333</v>
      </c>
      <c r="E656" s="2">
        <v>42424</v>
      </c>
      <c r="F656">
        <v>3187</v>
      </c>
      <c r="G656" t="s">
        <v>1746</v>
      </c>
      <c r="H656" t="s">
        <v>1747</v>
      </c>
      <c r="I656" t="b">
        <v>0</v>
      </c>
      <c r="J656" t="s">
        <v>1761</v>
      </c>
      <c r="K656" t="s">
        <v>1749</v>
      </c>
      <c r="L656" t="s">
        <v>1817</v>
      </c>
      <c r="M656">
        <v>559</v>
      </c>
      <c r="N656" t="b">
        <v>0</v>
      </c>
      <c r="O656">
        <v>216</v>
      </c>
      <c r="P656" t="s">
        <v>1819</v>
      </c>
      <c r="Q656" t="s">
        <v>1753</v>
      </c>
    </row>
    <row r="657" spans="1:18" x14ac:dyDescent="0.25">
      <c r="A657" t="s">
        <v>333</v>
      </c>
      <c r="B657" t="s">
        <v>1814</v>
      </c>
      <c r="C657" t="s">
        <v>4</v>
      </c>
      <c r="D657" t="s">
        <v>334</v>
      </c>
      <c r="E657" s="2">
        <v>40569</v>
      </c>
      <c r="F657">
        <v>5042</v>
      </c>
      <c r="G657" t="s">
        <v>1746</v>
      </c>
      <c r="H657" t="s">
        <v>1747</v>
      </c>
      <c r="I657" t="b">
        <v>1</v>
      </c>
      <c r="J657" t="s">
        <v>1761</v>
      </c>
      <c r="K657" t="s">
        <v>1846</v>
      </c>
      <c r="L657" t="s">
        <v>1750</v>
      </c>
      <c r="M657">
        <v>557</v>
      </c>
      <c r="N657" t="b">
        <v>0</v>
      </c>
      <c r="O657">
        <v>599</v>
      </c>
      <c r="P657" t="s">
        <v>1752</v>
      </c>
      <c r="Q657" t="s">
        <v>1753</v>
      </c>
    </row>
    <row r="658" spans="1:18" x14ac:dyDescent="0.25">
      <c r="A658" t="s">
        <v>2774</v>
      </c>
      <c r="B658" t="s">
        <v>2353</v>
      </c>
      <c r="C658" t="s">
        <v>4</v>
      </c>
      <c r="D658" t="s">
        <v>1334</v>
      </c>
      <c r="E658" s="2">
        <v>44074</v>
      </c>
      <c r="F658">
        <v>1537</v>
      </c>
      <c r="G658" t="s">
        <v>1746</v>
      </c>
      <c r="H658" t="s">
        <v>1798</v>
      </c>
      <c r="I658" t="b">
        <v>0</v>
      </c>
      <c r="J658" t="s">
        <v>1748</v>
      </c>
      <c r="K658" t="s">
        <v>1774</v>
      </c>
      <c r="L658" t="s">
        <v>1817</v>
      </c>
      <c r="M658">
        <v>553</v>
      </c>
      <c r="N658" t="b">
        <v>0</v>
      </c>
      <c r="O658">
        <v>216</v>
      </c>
      <c r="P658" t="s">
        <v>1819</v>
      </c>
      <c r="Q658" t="s">
        <v>1753</v>
      </c>
    </row>
    <row r="659" spans="1:18" x14ac:dyDescent="0.25">
      <c r="A659" t="s">
        <v>2776</v>
      </c>
      <c r="B659" t="s">
        <v>2011</v>
      </c>
      <c r="C659" t="s">
        <v>4</v>
      </c>
      <c r="D659" t="s">
        <v>2775</v>
      </c>
      <c r="E659" s="2">
        <v>45530</v>
      </c>
      <c r="F659">
        <v>81</v>
      </c>
      <c r="G659" t="s">
        <v>1746</v>
      </c>
      <c r="H659" t="s">
        <v>1747</v>
      </c>
      <c r="I659" t="b">
        <v>0</v>
      </c>
      <c r="J659" t="s">
        <v>1748</v>
      </c>
      <c r="K659" t="s">
        <v>1824</v>
      </c>
      <c r="L659" t="s">
        <v>1750</v>
      </c>
      <c r="M659">
        <v>551</v>
      </c>
      <c r="N659" t="b">
        <v>1</v>
      </c>
      <c r="O659">
        <v>697</v>
      </c>
      <c r="P659" t="s">
        <v>1752</v>
      </c>
      <c r="Q659" t="s">
        <v>1753</v>
      </c>
      <c r="R659" t="s">
        <v>1759</v>
      </c>
    </row>
    <row r="660" spans="1:18" x14ac:dyDescent="0.25">
      <c r="A660" t="s">
        <v>2777</v>
      </c>
      <c r="B660" t="s">
        <v>2060</v>
      </c>
      <c r="C660" t="s">
        <v>4</v>
      </c>
      <c r="D660" t="s">
        <v>1306</v>
      </c>
      <c r="E660" s="2">
        <v>43669</v>
      </c>
      <c r="F660">
        <v>1942</v>
      </c>
      <c r="G660" t="s">
        <v>1746</v>
      </c>
      <c r="H660" t="s">
        <v>1798</v>
      </c>
      <c r="I660" t="b">
        <v>1</v>
      </c>
      <c r="J660" t="s">
        <v>1748</v>
      </c>
      <c r="K660" t="s">
        <v>1822</v>
      </c>
      <c r="L660" t="s">
        <v>1750</v>
      </c>
      <c r="M660">
        <v>550</v>
      </c>
      <c r="N660" t="b">
        <v>0</v>
      </c>
      <c r="O660">
        <v>431</v>
      </c>
      <c r="P660" t="s">
        <v>1752</v>
      </c>
      <c r="Q660" t="s">
        <v>1753</v>
      </c>
      <c r="R660" t="s">
        <v>1828</v>
      </c>
    </row>
    <row r="661" spans="1:18" x14ac:dyDescent="0.25">
      <c r="A661" t="s">
        <v>2779</v>
      </c>
      <c r="B661" t="s">
        <v>2051</v>
      </c>
      <c r="C661" t="s">
        <v>4</v>
      </c>
      <c r="D661" t="s">
        <v>2778</v>
      </c>
      <c r="E661" s="2">
        <v>41562</v>
      </c>
      <c r="F661">
        <v>4049</v>
      </c>
      <c r="G661" t="s">
        <v>1746</v>
      </c>
      <c r="H661" t="s">
        <v>1747</v>
      </c>
      <c r="I661" t="b">
        <v>1</v>
      </c>
      <c r="J661" t="s">
        <v>1761</v>
      </c>
      <c r="K661" t="s">
        <v>1863</v>
      </c>
      <c r="L661" t="s">
        <v>1817</v>
      </c>
      <c r="M661">
        <v>550</v>
      </c>
      <c r="N661" t="b">
        <v>0</v>
      </c>
      <c r="O661">
        <v>758</v>
      </c>
      <c r="P661" t="s">
        <v>1819</v>
      </c>
      <c r="Q661" t="s">
        <v>1753</v>
      </c>
      <c r="R661" t="s">
        <v>1759</v>
      </c>
    </row>
    <row r="662" spans="1:18" x14ac:dyDescent="0.25">
      <c r="A662" t="s">
        <v>2781</v>
      </c>
      <c r="B662" t="s">
        <v>2173</v>
      </c>
      <c r="C662" t="s">
        <v>6</v>
      </c>
      <c r="D662" t="s">
        <v>2780</v>
      </c>
      <c r="E662" s="2">
        <v>42759</v>
      </c>
      <c r="F662">
        <v>2852</v>
      </c>
      <c r="G662" t="s">
        <v>1746</v>
      </c>
      <c r="H662" t="s">
        <v>1747</v>
      </c>
      <c r="I662" t="b">
        <v>0</v>
      </c>
      <c r="J662" t="s">
        <v>1748</v>
      </c>
      <c r="K662" t="s">
        <v>1822</v>
      </c>
      <c r="L662" t="s">
        <v>1750</v>
      </c>
      <c r="M662">
        <v>550</v>
      </c>
      <c r="N662" t="b">
        <v>0</v>
      </c>
      <c r="O662">
        <v>34</v>
      </c>
      <c r="P662" t="s">
        <v>1819</v>
      </c>
      <c r="Q662" t="s">
        <v>1753</v>
      </c>
    </row>
    <row r="663" spans="1:18" x14ac:dyDescent="0.25">
      <c r="A663" t="s">
        <v>2783</v>
      </c>
      <c r="B663" t="s">
        <v>1866</v>
      </c>
      <c r="C663" t="s">
        <v>4</v>
      </c>
      <c r="D663" t="s">
        <v>2782</v>
      </c>
      <c r="E663" s="2">
        <v>42124</v>
      </c>
      <c r="F663">
        <v>3487</v>
      </c>
      <c r="G663" t="s">
        <v>1833</v>
      </c>
      <c r="H663" t="s">
        <v>1798</v>
      </c>
      <c r="I663" t="b">
        <v>0</v>
      </c>
      <c r="J663" t="s">
        <v>1748</v>
      </c>
      <c r="K663" t="s">
        <v>1809</v>
      </c>
      <c r="L663" t="s">
        <v>1817</v>
      </c>
      <c r="M663">
        <v>550</v>
      </c>
      <c r="N663" t="b">
        <v>1</v>
      </c>
      <c r="O663">
        <v>313</v>
      </c>
      <c r="P663" t="s">
        <v>1819</v>
      </c>
      <c r="Q663" t="s">
        <v>1753</v>
      </c>
      <c r="R663" t="s">
        <v>1828</v>
      </c>
    </row>
    <row r="664" spans="1:18" x14ac:dyDescent="0.25">
      <c r="A664" t="s">
        <v>2785</v>
      </c>
      <c r="B664" t="s">
        <v>1785</v>
      </c>
      <c r="C664" t="s">
        <v>4</v>
      </c>
      <c r="D664" t="s">
        <v>2784</v>
      </c>
      <c r="E664" s="2">
        <v>39966</v>
      </c>
      <c r="F664">
        <v>5645</v>
      </c>
      <c r="G664" t="s">
        <v>1746</v>
      </c>
      <c r="H664" t="s">
        <v>1798</v>
      </c>
      <c r="I664" t="b">
        <v>1</v>
      </c>
      <c r="J664" t="s">
        <v>1748</v>
      </c>
      <c r="K664" t="s">
        <v>1824</v>
      </c>
      <c r="L664" t="s">
        <v>1817</v>
      </c>
      <c r="M664">
        <v>549</v>
      </c>
      <c r="N664" t="b">
        <v>0</v>
      </c>
      <c r="O664">
        <v>29</v>
      </c>
      <c r="P664" t="s">
        <v>1819</v>
      </c>
      <c r="Q664" t="s">
        <v>1753</v>
      </c>
      <c r="R664" t="s">
        <v>1828</v>
      </c>
    </row>
    <row r="665" spans="1:18" x14ac:dyDescent="0.25">
      <c r="A665" t="s">
        <v>2787</v>
      </c>
      <c r="B665" t="s">
        <v>2662</v>
      </c>
      <c r="C665" t="s">
        <v>4</v>
      </c>
      <c r="D665" t="s">
        <v>2786</v>
      </c>
      <c r="E665" s="2">
        <v>44839</v>
      </c>
      <c r="F665">
        <v>772</v>
      </c>
      <c r="G665" t="s">
        <v>1746</v>
      </c>
      <c r="H665" t="s">
        <v>1747</v>
      </c>
      <c r="I665" t="b">
        <v>1</v>
      </c>
      <c r="J665" t="s">
        <v>1761</v>
      </c>
      <c r="K665" t="s">
        <v>1793</v>
      </c>
      <c r="L665" t="s">
        <v>1817</v>
      </c>
      <c r="M665">
        <v>548</v>
      </c>
      <c r="N665" t="b">
        <v>0</v>
      </c>
      <c r="O665">
        <v>52</v>
      </c>
      <c r="P665" t="s">
        <v>1819</v>
      </c>
      <c r="Q665" t="s">
        <v>1753</v>
      </c>
    </row>
    <row r="666" spans="1:18" x14ac:dyDescent="0.25">
      <c r="A666" t="s">
        <v>352</v>
      </c>
      <c r="B666" t="s">
        <v>1874</v>
      </c>
      <c r="C666" t="s">
        <v>4</v>
      </c>
      <c r="D666" t="s">
        <v>353</v>
      </c>
      <c r="E666" s="2">
        <v>40424</v>
      </c>
      <c r="F666">
        <v>5187</v>
      </c>
      <c r="G666" t="s">
        <v>1746</v>
      </c>
      <c r="H666" t="s">
        <v>1747</v>
      </c>
      <c r="I666" t="b">
        <v>1</v>
      </c>
      <c r="J666" t="s">
        <v>1761</v>
      </c>
      <c r="K666" t="s">
        <v>1824</v>
      </c>
      <c r="L666" t="s">
        <v>1750</v>
      </c>
      <c r="M666">
        <v>543</v>
      </c>
      <c r="N666" t="b">
        <v>0</v>
      </c>
      <c r="O666">
        <v>105</v>
      </c>
      <c r="P666" t="s">
        <v>1752</v>
      </c>
      <c r="Q666" t="s">
        <v>1753</v>
      </c>
      <c r="R666" t="s">
        <v>2028</v>
      </c>
    </row>
    <row r="667" spans="1:18" x14ac:dyDescent="0.25">
      <c r="A667" t="s">
        <v>2789</v>
      </c>
      <c r="B667" t="s">
        <v>2173</v>
      </c>
      <c r="C667" t="s">
        <v>4</v>
      </c>
      <c r="D667" t="s">
        <v>2788</v>
      </c>
      <c r="E667" s="2">
        <v>43089</v>
      </c>
      <c r="F667">
        <v>2522</v>
      </c>
      <c r="G667" t="s">
        <v>1746</v>
      </c>
      <c r="H667" t="s">
        <v>2231</v>
      </c>
      <c r="I667" t="b">
        <v>0</v>
      </c>
      <c r="J667" t="s">
        <v>1748</v>
      </c>
      <c r="K667" t="s">
        <v>1846</v>
      </c>
      <c r="L667" t="s">
        <v>1750</v>
      </c>
      <c r="M667">
        <v>542</v>
      </c>
      <c r="N667" t="b">
        <v>1</v>
      </c>
      <c r="O667">
        <v>609</v>
      </c>
      <c r="P667" t="s">
        <v>1752</v>
      </c>
      <c r="Q667" t="s">
        <v>1753</v>
      </c>
      <c r="R667" t="s">
        <v>1759</v>
      </c>
    </row>
    <row r="668" spans="1:18" x14ac:dyDescent="0.25">
      <c r="A668" t="s">
        <v>2791</v>
      </c>
      <c r="B668" t="s">
        <v>1907</v>
      </c>
      <c r="C668" t="s">
        <v>4</v>
      </c>
      <c r="D668" t="s">
        <v>2790</v>
      </c>
      <c r="E668" s="2">
        <v>43789</v>
      </c>
      <c r="F668">
        <v>1822</v>
      </c>
      <c r="G668" t="s">
        <v>1746</v>
      </c>
      <c r="H668" t="s">
        <v>1798</v>
      </c>
      <c r="I668" t="b">
        <v>0</v>
      </c>
      <c r="J668" t="s">
        <v>1748</v>
      </c>
      <c r="K668" t="s">
        <v>1868</v>
      </c>
      <c r="L668" t="s">
        <v>1817</v>
      </c>
      <c r="M668">
        <v>539</v>
      </c>
      <c r="N668" t="b">
        <v>1</v>
      </c>
      <c r="O668">
        <v>787</v>
      </c>
      <c r="P668" t="s">
        <v>1819</v>
      </c>
      <c r="Q668" t="s">
        <v>1753</v>
      </c>
      <c r="R668" t="s">
        <v>1772</v>
      </c>
    </row>
    <row r="669" spans="1:18" x14ac:dyDescent="0.25">
      <c r="A669" t="s">
        <v>2792</v>
      </c>
      <c r="B669" t="s">
        <v>2353</v>
      </c>
      <c r="C669" t="s">
        <v>4</v>
      </c>
      <c r="D669" t="s">
        <v>536</v>
      </c>
      <c r="E669" s="2">
        <v>44706</v>
      </c>
      <c r="F669">
        <v>905</v>
      </c>
      <c r="G669" t="s">
        <v>1746</v>
      </c>
      <c r="H669" t="s">
        <v>1798</v>
      </c>
      <c r="I669" t="b">
        <v>0</v>
      </c>
      <c r="J669" t="s">
        <v>1748</v>
      </c>
      <c r="K669" t="s">
        <v>1774</v>
      </c>
      <c r="L669" t="s">
        <v>1817</v>
      </c>
      <c r="M669">
        <v>538</v>
      </c>
      <c r="N669" t="b">
        <v>1</v>
      </c>
      <c r="O669">
        <v>1281</v>
      </c>
      <c r="P669" t="s">
        <v>1819</v>
      </c>
      <c r="Q669" t="s">
        <v>1753</v>
      </c>
      <c r="R669" t="s">
        <v>1759</v>
      </c>
    </row>
    <row r="670" spans="1:18" x14ac:dyDescent="0.25">
      <c r="A670" t="s">
        <v>2794</v>
      </c>
      <c r="B670" t="s">
        <v>2082</v>
      </c>
      <c r="C670" t="s">
        <v>4</v>
      </c>
      <c r="D670" t="s">
        <v>2793</v>
      </c>
      <c r="E670" s="2">
        <v>43663</v>
      </c>
      <c r="F670">
        <v>1948</v>
      </c>
      <c r="G670" t="s">
        <v>1746</v>
      </c>
      <c r="H670" t="s">
        <v>1747</v>
      </c>
      <c r="I670" t="b">
        <v>1</v>
      </c>
      <c r="J670" t="s">
        <v>1748</v>
      </c>
      <c r="K670" t="s">
        <v>1822</v>
      </c>
      <c r="L670" t="s">
        <v>1756</v>
      </c>
      <c r="M670">
        <v>537</v>
      </c>
      <c r="N670" t="b">
        <v>0</v>
      </c>
      <c r="O670">
        <v>16</v>
      </c>
      <c r="P670" t="s">
        <v>1827</v>
      </c>
      <c r="Q670" t="s">
        <v>1753</v>
      </c>
    </row>
    <row r="671" spans="1:18" x14ac:dyDescent="0.25">
      <c r="A671" t="s">
        <v>2796</v>
      </c>
      <c r="B671" t="s">
        <v>2133</v>
      </c>
      <c r="C671" t="s">
        <v>6</v>
      </c>
      <c r="D671" t="s">
        <v>2795</v>
      </c>
      <c r="E671" s="2">
        <v>43845</v>
      </c>
      <c r="F671">
        <v>1766</v>
      </c>
      <c r="G671" t="s">
        <v>1746</v>
      </c>
      <c r="H671" t="s">
        <v>1747</v>
      </c>
      <c r="I671" t="b">
        <v>1</v>
      </c>
      <c r="J671" t="s">
        <v>1748</v>
      </c>
      <c r="K671" t="s">
        <v>1765</v>
      </c>
      <c r="L671" t="s">
        <v>1750</v>
      </c>
      <c r="M671">
        <v>536</v>
      </c>
      <c r="N671" t="b">
        <v>0</v>
      </c>
      <c r="O671">
        <v>1404</v>
      </c>
      <c r="P671" t="s">
        <v>1752</v>
      </c>
      <c r="Q671" t="s">
        <v>1753</v>
      </c>
      <c r="R671" t="s">
        <v>1759</v>
      </c>
    </row>
    <row r="672" spans="1:18" x14ac:dyDescent="0.25">
      <c r="A672" t="s">
        <v>2797</v>
      </c>
      <c r="B672" t="s">
        <v>1945</v>
      </c>
      <c r="C672" t="s">
        <v>6</v>
      </c>
      <c r="D672" t="s">
        <v>124</v>
      </c>
      <c r="E672" s="2">
        <v>42124</v>
      </c>
      <c r="F672">
        <v>3487</v>
      </c>
      <c r="G672" t="s">
        <v>1746</v>
      </c>
      <c r="H672" t="s">
        <v>1747</v>
      </c>
      <c r="I672" t="b">
        <v>0</v>
      </c>
      <c r="J672" t="s">
        <v>1748</v>
      </c>
      <c r="K672" t="s">
        <v>1770</v>
      </c>
      <c r="L672" t="s">
        <v>1817</v>
      </c>
      <c r="M672">
        <v>536</v>
      </c>
      <c r="N672" t="b">
        <v>1</v>
      </c>
      <c r="O672">
        <v>256</v>
      </c>
      <c r="P672" t="s">
        <v>1819</v>
      </c>
      <c r="Q672" t="s">
        <v>1753</v>
      </c>
      <c r="R672" t="s">
        <v>1759</v>
      </c>
    </row>
    <row r="673" spans="1:18" x14ac:dyDescent="0.25">
      <c r="A673" t="s">
        <v>2798</v>
      </c>
      <c r="B673" t="s">
        <v>2799</v>
      </c>
      <c r="C673" t="s">
        <v>11</v>
      </c>
      <c r="D673" t="s">
        <v>926</v>
      </c>
      <c r="E673" s="2">
        <v>41654</v>
      </c>
      <c r="F673">
        <v>3957</v>
      </c>
      <c r="G673" t="s">
        <v>1746</v>
      </c>
      <c r="H673" t="s">
        <v>1798</v>
      </c>
      <c r="I673" t="b">
        <v>0</v>
      </c>
      <c r="J673" t="s">
        <v>1761</v>
      </c>
      <c r="K673" t="s">
        <v>1853</v>
      </c>
      <c r="L673" t="s">
        <v>1766</v>
      </c>
      <c r="M673">
        <v>536</v>
      </c>
      <c r="N673" t="b">
        <v>0</v>
      </c>
      <c r="P673" t="s">
        <v>1752</v>
      </c>
      <c r="Q673" t="s">
        <v>1753</v>
      </c>
      <c r="R673" t="s">
        <v>1759</v>
      </c>
    </row>
    <row r="674" spans="1:18" x14ac:dyDescent="0.25">
      <c r="A674" t="s">
        <v>2800</v>
      </c>
      <c r="B674" t="s">
        <v>1876</v>
      </c>
      <c r="C674" t="s">
        <v>4</v>
      </c>
      <c r="D674" t="s">
        <v>811</v>
      </c>
      <c r="E674" s="2">
        <v>44497</v>
      </c>
      <c r="F674">
        <v>1114</v>
      </c>
      <c r="G674" t="s">
        <v>1746</v>
      </c>
      <c r="H674" t="s">
        <v>1747</v>
      </c>
      <c r="I674" t="b">
        <v>0</v>
      </c>
      <c r="J674" t="s">
        <v>1761</v>
      </c>
      <c r="K674" t="s">
        <v>1917</v>
      </c>
      <c r="L674" t="s">
        <v>1750</v>
      </c>
      <c r="M674">
        <v>535</v>
      </c>
      <c r="N674" t="b">
        <v>0</v>
      </c>
      <c r="O674">
        <v>53</v>
      </c>
      <c r="P674" t="s">
        <v>1819</v>
      </c>
      <c r="Q674" t="s">
        <v>1753</v>
      </c>
    </row>
    <row r="675" spans="1:18" x14ac:dyDescent="0.25">
      <c r="A675" t="s">
        <v>2802</v>
      </c>
      <c r="B675" t="s">
        <v>2335</v>
      </c>
      <c r="C675" t="s">
        <v>4</v>
      </c>
      <c r="D675" t="s">
        <v>2801</v>
      </c>
      <c r="E675" s="2">
        <v>44252</v>
      </c>
      <c r="F675">
        <v>1359</v>
      </c>
      <c r="G675" t="s">
        <v>1746</v>
      </c>
      <c r="H675" t="s">
        <v>1798</v>
      </c>
      <c r="I675" t="b">
        <v>0</v>
      </c>
      <c r="J675" t="s">
        <v>1748</v>
      </c>
      <c r="K675" t="s">
        <v>1776</v>
      </c>
      <c r="L675" t="s">
        <v>1750</v>
      </c>
      <c r="M675">
        <v>534</v>
      </c>
      <c r="N675" t="b">
        <v>0</v>
      </c>
      <c r="O675">
        <v>287</v>
      </c>
      <c r="P675" t="s">
        <v>1752</v>
      </c>
      <c r="Q675" t="s">
        <v>1753</v>
      </c>
    </row>
    <row r="676" spans="1:18" x14ac:dyDescent="0.25">
      <c r="A676" t="s">
        <v>2803</v>
      </c>
      <c r="B676" t="s">
        <v>1768</v>
      </c>
      <c r="C676" t="s">
        <v>6</v>
      </c>
      <c r="D676" t="s">
        <v>1130</v>
      </c>
      <c r="E676" s="2">
        <v>37518</v>
      </c>
      <c r="F676">
        <v>8093</v>
      </c>
      <c r="G676" t="s">
        <v>1746</v>
      </c>
      <c r="H676" t="s">
        <v>1798</v>
      </c>
      <c r="I676" t="b">
        <v>1</v>
      </c>
      <c r="J676" t="s">
        <v>1761</v>
      </c>
      <c r="K676" t="s">
        <v>1774</v>
      </c>
      <c r="L676" t="s">
        <v>1750</v>
      </c>
      <c r="M676">
        <v>534</v>
      </c>
      <c r="N676" t="b">
        <v>0</v>
      </c>
      <c r="O676">
        <v>221</v>
      </c>
      <c r="P676" t="s">
        <v>1752</v>
      </c>
      <c r="Q676" t="s">
        <v>1753</v>
      </c>
      <c r="R676" t="s">
        <v>1828</v>
      </c>
    </row>
    <row r="677" spans="1:18" x14ac:dyDescent="0.25">
      <c r="A677" t="s">
        <v>2804</v>
      </c>
      <c r="B677" t="s">
        <v>1810</v>
      </c>
      <c r="C677" t="s">
        <v>4</v>
      </c>
      <c r="D677" t="s">
        <v>1273</v>
      </c>
      <c r="E677" s="2">
        <v>43640</v>
      </c>
      <c r="F677">
        <v>1971</v>
      </c>
      <c r="G677" t="s">
        <v>1746</v>
      </c>
      <c r="H677" t="s">
        <v>1747</v>
      </c>
      <c r="I677" t="b">
        <v>0</v>
      </c>
      <c r="J677" t="s">
        <v>1748</v>
      </c>
      <c r="K677" t="s">
        <v>1913</v>
      </c>
      <c r="L677" t="s">
        <v>1750</v>
      </c>
      <c r="M677">
        <v>532</v>
      </c>
      <c r="N677" t="b">
        <v>1</v>
      </c>
      <c r="O677">
        <v>25</v>
      </c>
      <c r="P677" t="s">
        <v>1752</v>
      </c>
      <c r="Q677" t="s">
        <v>1753</v>
      </c>
      <c r="R677" t="s">
        <v>1759</v>
      </c>
    </row>
    <row r="678" spans="1:18" x14ac:dyDescent="0.25">
      <c r="A678" t="s">
        <v>2805</v>
      </c>
      <c r="B678" t="s">
        <v>1810</v>
      </c>
      <c r="C678" t="s">
        <v>4</v>
      </c>
      <c r="D678" t="s">
        <v>505</v>
      </c>
      <c r="E678" s="2">
        <v>43476</v>
      </c>
      <c r="F678">
        <v>2135</v>
      </c>
      <c r="G678" t="s">
        <v>1746</v>
      </c>
      <c r="H678" t="s">
        <v>1747</v>
      </c>
      <c r="I678" t="b">
        <v>1</v>
      </c>
      <c r="J678" t="s">
        <v>1761</v>
      </c>
      <c r="K678" t="s">
        <v>1985</v>
      </c>
      <c r="L678" t="s">
        <v>1817</v>
      </c>
      <c r="M678">
        <v>532</v>
      </c>
      <c r="N678" t="b">
        <v>0</v>
      </c>
      <c r="O678">
        <v>12</v>
      </c>
      <c r="P678" t="s">
        <v>1819</v>
      </c>
      <c r="Q678" t="s">
        <v>1753</v>
      </c>
    </row>
    <row r="679" spans="1:18" x14ac:dyDescent="0.25">
      <c r="A679" t="s">
        <v>2806</v>
      </c>
      <c r="B679" t="s">
        <v>2035</v>
      </c>
      <c r="C679" t="s">
        <v>6</v>
      </c>
      <c r="D679" t="s">
        <v>87</v>
      </c>
      <c r="E679" s="2">
        <v>42626</v>
      </c>
      <c r="F679">
        <v>2985</v>
      </c>
      <c r="G679" t="s">
        <v>1746</v>
      </c>
      <c r="H679" t="s">
        <v>1798</v>
      </c>
      <c r="I679" t="b">
        <v>0</v>
      </c>
      <c r="J679" t="s">
        <v>1748</v>
      </c>
      <c r="K679" t="s">
        <v>1880</v>
      </c>
      <c r="L679" t="s">
        <v>1766</v>
      </c>
      <c r="M679">
        <v>530</v>
      </c>
      <c r="N679" t="b">
        <v>0</v>
      </c>
      <c r="P679" t="s">
        <v>1752</v>
      </c>
      <c r="Q679" t="s">
        <v>1753</v>
      </c>
    </row>
    <row r="680" spans="1:18" x14ac:dyDescent="0.25">
      <c r="A680" t="s">
        <v>2808</v>
      </c>
      <c r="B680" t="s">
        <v>2284</v>
      </c>
      <c r="C680" t="s">
        <v>2338</v>
      </c>
      <c r="D680" t="s">
        <v>2807</v>
      </c>
      <c r="E680" s="2">
        <v>44683</v>
      </c>
      <c r="F680">
        <v>928</v>
      </c>
      <c r="G680" t="s">
        <v>1746</v>
      </c>
      <c r="H680" t="s">
        <v>1747</v>
      </c>
      <c r="I680" t="b">
        <v>0</v>
      </c>
      <c r="J680" t="s">
        <v>1748</v>
      </c>
      <c r="K680" t="s">
        <v>1799</v>
      </c>
      <c r="L680" t="s">
        <v>1775</v>
      </c>
      <c r="M680">
        <v>527</v>
      </c>
      <c r="N680" t="b">
        <v>0</v>
      </c>
      <c r="P680" t="s">
        <v>2283</v>
      </c>
      <c r="Q680" t="s">
        <v>1705</v>
      </c>
    </row>
    <row r="681" spans="1:18" x14ac:dyDescent="0.25">
      <c r="A681" t="s">
        <v>2809</v>
      </c>
      <c r="B681" t="s">
        <v>2810</v>
      </c>
      <c r="C681" t="s">
        <v>4</v>
      </c>
      <c r="D681" t="s">
        <v>1320</v>
      </c>
      <c r="E681" s="2">
        <v>44173</v>
      </c>
      <c r="F681">
        <v>1438</v>
      </c>
      <c r="G681" t="s">
        <v>1833</v>
      </c>
      <c r="H681" t="s">
        <v>1798</v>
      </c>
      <c r="I681" t="b">
        <v>0</v>
      </c>
      <c r="J681" t="s">
        <v>1748</v>
      </c>
      <c r="K681" t="s">
        <v>1776</v>
      </c>
      <c r="L681" t="s">
        <v>1750</v>
      </c>
      <c r="M681">
        <v>527</v>
      </c>
      <c r="N681" t="b">
        <v>0</v>
      </c>
      <c r="O681">
        <v>14571</v>
      </c>
      <c r="P681" t="s">
        <v>1752</v>
      </c>
      <c r="Q681" t="s">
        <v>1753</v>
      </c>
      <c r="R681" t="s">
        <v>1759</v>
      </c>
    </row>
    <row r="682" spans="1:18" x14ac:dyDescent="0.25">
      <c r="A682" t="s">
        <v>2812</v>
      </c>
      <c r="B682" t="s">
        <v>2342</v>
      </c>
      <c r="C682" t="s">
        <v>6</v>
      </c>
      <c r="D682" t="s">
        <v>2811</v>
      </c>
      <c r="E682" s="2">
        <v>41367</v>
      </c>
      <c r="F682">
        <v>4244</v>
      </c>
      <c r="G682" t="s">
        <v>1746</v>
      </c>
      <c r="H682" t="s">
        <v>1798</v>
      </c>
      <c r="I682" t="b">
        <v>1</v>
      </c>
      <c r="J682" t="s">
        <v>1748</v>
      </c>
      <c r="K682" t="s">
        <v>1774</v>
      </c>
      <c r="L682" t="s">
        <v>1750</v>
      </c>
      <c r="M682">
        <v>525</v>
      </c>
      <c r="N682" t="b">
        <v>1</v>
      </c>
      <c r="O682">
        <v>202</v>
      </c>
      <c r="P682" t="s">
        <v>1752</v>
      </c>
      <c r="Q682" t="s">
        <v>1753</v>
      </c>
      <c r="R682" t="s">
        <v>1828</v>
      </c>
    </row>
    <row r="683" spans="1:18" x14ac:dyDescent="0.25">
      <c r="A683" t="s">
        <v>2813</v>
      </c>
      <c r="B683" t="s">
        <v>1829</v>
      </c>
      <c r="C683" t="s">
        <v>6</v>
      </c>
      <c r="D683" t="s">
        <v>1177</v>
      </c>
      <c r="E683" s="2">
        <v>41485</v>
      </c>
      <c r="F683">
        <v>4126</v>
      </c>
      <c r="G683" t="s">
        <v>1746</v>
      </c>
      <c r="H683" t="s">
        <v>2231</v>
      </c>
      <c r="I683" t="b">
        <v>0</v>
      </c>
      <c r="J683" t="s">
        <v>1761</v>
      </c>
      <c r="K683" t="s">
        <v>1755</v>
      </c>
      <c r="L683" t="s">
        <v>1817</v>
      </c>
      <c r="M683">
        <v>523</v>
      </c>
      <c r="N683" t="b">
        <v>1</v>
      </c>
      <c r="O683">
        <v>300</v>
      </c>
      <c r="P683" t="s">
        <v>1819</v>
      </c>
      <c r="Q683" t="s">
        <v>1753</v>
      </c>
    </row>
    <row r="684" spans="1:18" x14ac:dyDescent="0.25">
      <c r="A684" t="s">
        <v>2815</v>
      </c>
      <c r="B684" t="s">
        <v>2342</v>
      </c>
      <c r="C684" t="s">
        <v>6</v>
      </c>
      <c r="D684" t="s">
        <v>2814</v>
      </c>
      <c r="E684" s="2">
        <v>40358</v>
      </c>
      <c r="F684">
        <v>5253</v>
      </c>
      <c r="G684" t="s">
        <v>1746</v>
      </c>
      <c r="H684" t="s">
        <v>1798</v>
      </c>
      <c r="I684" t="b">
        <v>1</v>
      </c>
      <c r="J684" t="s">
        <v>1761</v>
      </c>
      <c r="K684" t="s">
        <v>1863</v>
      </c>
      <c r="L684" t="s">
        <v>1750</v>
      </c>
      <c r="M684">
        <v>522</v>
      </c>
      <c r="N684" t="b">
        <v>0</v>
      </c>
      <c r="O684">
        <v>50</v>
      </c>
      <c r="P684" t="s">
        <v>1752</v>
      </c>
      <c r="Q684" t="s">
        <v>1753</v>
      </c>
      <c r="R684" t="s">
        <v>1828</v>
      </c>
    </row>
    <row r="685" spans="1:18" x14ac:dyDescent="0.25">
      <c r="A685" t="s">
        <v>2817</v>
      </c>
      <c r="B685" t="s">
        <v>1785</v>
      </c>
      <c r="C685" t="s">
        <v>4</v>
      </c>
      <c r="D685" t="s">
        <v>2816</v>
      </c>
      <c r="E685" s="2">
        <v>43532</v>
      </c>
      <c r="F685">
        <v>2079</v>
      </c>
      <c r="G685" t="s">
        <v>1746</v>
      </c>
      <c r="H685" t="s">
        <v>1747</v>
      </c>
      <c r="I685" t="b">
        <v>0</v>
      </c>
      <c r="J685" t="s">
        <v>1761</v>
      </c>
      <c r="K685" t="s">
        <v>1755</v>
      </c>
      <c r="L685" t="s">
        <v>1756</v>
      </c>
      <c r="M685">
        <v>520</v>
      </c>
      <c r="N685" t="b">
        <v>1</v>
      </c>
      <c r="O685">
        <v>1239</v>
      </c>
      <c r="P685" t="s">
        <v>1752</v>
      </c>
      <c r="Q685" t="s">
        <v>1753</v>
      </c>
      <c r="R685" t="s">
        <v>1759</v>
      </c>
    </row>
    <row r="686" spans="1:18" x14ac:dyDescent="0.25">
      <c r="A686" t="s">
        <v>2818</v>
      </c>
      <c r="B686" t="s">
        <v>1781</v>
      </c>
      <c r="C686" t="s">
        <v>186</v>
      </c>
      <c r="D686" t="s">
        <v>1432</v>
      </c>
      <c r="E686" s="2">
        <v>39196</v>
      </c>
      <c r="F686">
        <v>6415</v>
      </c>
      <c r="G686" t="s">
        <v>1746</v>
      </c>
      <c r="H686" t="s">
        <v>1747</v>
      </c>
      <c r="I686" t="b">
        <v>0</v>
      </c>
      <c r="J686" t="s">
        <v>1748</v>
      </c>
      <c r="K686" t="s">
        <v>1830</v>
      </c>
      <c r="L686" t="s">
        <v>1775</v>
      </c>
      <c r="M686">
        <v>520</v>
      </c>
      <c r="N686" t="b">
        <v>0</v>
      </c>
      <c r="P686" t="s">
        <v>1778</v>
      </c>
      <c r="Q686" t="s">
        <v>1779</v>
      </c>
    </row>
    <row r="687" spans="1:18" x14ac:dyDescent="0.25">
      <c r="A687" t="s">
        <v>2820</v>
      </c>
      <c r="B687" t="s">
        <v>2085</v>
      </c>
      <c r="C687" t="s">
        <v>4</v>
      </c>
      <c r="D687" t="s">
        <v>2819</v>
      </c>
      <c r="E687" s="2">
        <v>44011</v>
      </c>
      <c r="F687">
        <v>1600</v>
      </c>
      <c r="G687" t="s">
        <v>1746</v>
      </c>
      <c r="H687" t="s">
        <v>1805</v>
      </c>
      <c r="I687" t="b">
        <v>0</v>
      </c>
      <c r="J687" t="s">
        <v>1748</v>
      </c>
      <c r="K687" t="s">
        <v>1765</v>
      </c>
      <c r="L687" t="s">
        <v>2102</v>
      </c>
      <c r="M687">
        <v>520</v>
      </c>
      <c r="N687" t="b">
        <v>0</v>
      </c>
      <c r="P687" t="s">
        <v>1752</v>
      </c>
      <c r="Q687" t="s">
        <v>1753</v>
      </c>
    </row>
    <row r="688" spans="1:18" x14ac:dyDescent="0.25">
      <c r="A688" t="s">
        <v>2822</v>
      </c>
      <c r="B688" t="s">
        <v>1907</v>
      </c>
      <c r="C688" t="s">
        <v>6</v>
      </c>
      <c r="D688" t="s">
        <v>2821</v>
      </c>
      <c r="E688" s="2">
        <v>43845</v>
      </c>
      <c r="F688">
        <v>1766</v>
      </c>
      <c r="G688" t="s">
        <v>1746</v>
      </c>
      <c r="H688" t="s">
        <v>1798</v>
      </c>
      <c r="I688" t="b">
        <v>1</v>
      </c>
      <c r="J688" t="s">
        <v>1748</v>
      </c>
      <c r="K688" t="s">
        <v>1765</v>
      </c>
      <c r="L688" t="s">
        <v>1817</v>
      </c>
      <c r="M688">
        <v>519</v>
      </c>
      <c r="N688" t="b">
        <v>0</v>
      </c>
      <c r="O688">
        <v>404</v>
      </c>
      <c r="P688" t="s">
        <v>1819</v>
      </c>
      <c r="Q688" t="s">
        <v>1753</v>
      </c>
      <c r="R688" t="s">
        <v>1828</v>
      </c>
    </row>
    <row r="689" spans="1:18" x14ac:dyDescent="0.25">
      <c r="A689" t="s">
        <v>2824</v>
      </c>
      <c r="B689" t="s">
        <v>1810</v>
      </c>
      <c r="C689" t="s">
        <v>6</v>
      </c>
      <c r="D689" t="s">
        <v>2823</v>
      </c>
      <c r="E689" s="2">
        <v>43136</v>
      </c>
      <c r="F689">
        <v>2475</v>
      </c>
      <c r="G689" t="s">
        <v>1746</v>
      </c>
      <c r="H689" t="s">
        <v>1798</v>
      </c>
      <c r="I689" t="b">
        <v>1</v>
      </c>
      <c r="J689" t="s">
        <v>1761</v>
      </c>
      <c r="K689" t="s">
        <v>1770</v>
      </c>
      <c r="L689" t="s">
        <v>1750</v>
      </c>
      <c r="M689">
        <v>518</v>
      </c>
      <c r="N689" t="b">
        <v>0</v>
      </c>
      <c r="O689">
        <v>1283</v>
      </c>
      <c r="P689" t="s">
        <v>1752</v>
      </c>
      <c r="Q689" t="s">
        <v>1753</v>
      </c>
      <c r="R689" t="s">
        <v>1772</v>
      </c>
    </row>
    <row r="690" spans="1:18" x14ac:dyDescent="0.25">
      <c r="A690" t="s">
        <v>2826</v>
      </c>
      <c r="B690" t="s">
        <v>1785</v>
      </c>
      <c r="C690" t="s">
        <v>4</v>
      </c>
      <c r="D690" t="s">
        <v>2825</v>
      </c>
      <c r="E690" s="2">
        <v>43392</v>
      </c>
      <c r="F690">
        <v>2219</v>
      </c>
      <c r="G690" t="s">
        <v>1746</v>
      </c>
      <c r="H690" t="s">
        <v>1747</v>
      </c>
      <c r="I690" t="b">
        <v>0</v>
      </c>
      <c r="J690" t="s">
        <v>1761</v>
      </c>
      <c r="K690" t="s">
        <v>1755</v>
      </c>
      <c r="L690" t="s">
        <v>1756</v>
      </c>
      <c r="M690">
        <v>517</v>
      </c>
      <c r="N690" t="b">
        <v>1</v>
      </c>
      <c r="O690">
        <v>1293</v>
      </c>
      <c r="P690" t="s">
        <v>1752</v>
      </c>
      <c r="Q690" t="s">
        <v>1753</v>
      </c>
      <c r="R690" t="s">
        <v>1759</v>
      </c>
    </row>
    <row r="691" spans="1:18" x14ac:dyDescent="0.25">
      <c r="A691" t="s">
        <v>2828</v>
      </c>
      <c r="B691" t="s">
        <v>1840</v>
      </c>
      <c r="C691" t="s">
        <v>4</v>
      </c>
      <c r="D691" t="s">
        <v>2827</v>
      </c>
      <c r="E691" s="2">
        <v>39661</v>
      </c>
      <c r="F691">
        <v>5950</v>
      </c>
      <c r="G691" t="s">
        <v>1746</v>
      </c>
      <c r="H691" t="s">
        <v>1747</v>
      </c>
      <c r="I691" t="b">
        <v>1</v>
      </c>
      <c r="J691" t="s">
        <v>1748</v>
      </c>
      <c r="K691" t="s">
        <v>1755</v>
      </c>
      <c r="L691" t="s">
        <v>1817</v>
      </c>
      <c r="M691">
        <v>517</v>
      </c>
      <c r="N691" t="b">
        <v>0</v>
      </c>
      <c r="O691">
        <v>153</v>
      </c>
      <c r="P691" t="s">
        <v>1819</v>
      </c>
      <c r="Q691" t="s">
        <v>1753</v>
      </c>
      <c r="R691" t="s">
        <v>1759</v>
      </c>
    </row>
    <row r="692" spans="1:18" x14ac:dyDescent="0.25">
      <c r="A692" t="s">
        <v>2830</v>
      </c>
      <c r="B692" t="s">
        <v>2494</v>
      </c>
      <c r="C692" t="s">
        <v>6</v>
      </c>
      <c r="D692" t="s">
        <v>2829</v>
      </c>
      <c r="E692" s="2">
        <v>40346</v>
      </c>
      <c r="F692">
        <v>5265</v>
      </c>
      <c r="G692" t="s">
        <v>1746</v>
      </c>
      <c r="H692" t="s">
        <v>1747</v>
      </c>
      <c r="I692" t="b">
        <v>0</v>
      </c>
      <c r="J692" t="s">
        <v>1748</v>
      </c>
      <c r="K692" t="s">
        <v>1880</v>
      </c>
      <c r="L692" t="s">
        <v>1750</v>
      </c>
      <c r="M692">
        <v>516</v>
      </c>
      <c r="N692" t="b">
        <v>1</v>
      </c>
      <c r="P692" t="s">
        <v>1752</v>
      </c>
      <c r="Q692" t="s">
        <v>1753</v>
      </c>
    </row>
    <row r="693" spans="1:18" x14ac:dyDescent="0.25">
      <c r="A693" t="s">
        <v>2832</v>
      </c>
      <c r="B693" t="s">
        <v>2654</v>
      </c>
      <c r="C693" t="s">
        <v>4</v>
      </c>
      <c r="D693" t="s">
        <v>2831</v>
      </c>
      <c r="E693" s="2">
        <v>43941</v>
      </c>
      <c r="F693">
        <v>1670</v>
      </c>
      <c r="G693" t="s">
        <v>1746</v>
      </c>
      <c r="H693" t="s">
        <v>1747</v>
      </c>
      <c r="I693" t="b">
        <v>0</v>
      </c>
      <c r="J693" t="s">
        <v>1748</v>
      </c>
      <c r="K693" t="s">
        <v>1853</v>
      </c>
      <c r="L693" t="s">
        <v>1756</v>
      </c>
      <c r="M693">
        <v>516</v>
      </c>
      <c r="N693" t="b">
        <v>1</v>
      </c>
      <c r="O693">
        <v>219</v>
      </c>
      <c r="P693" t="s">
        <v>1752</v>
      </c>
      <c r="Q693" t="s">
        <v>1753</v>
      </c>
      <c r="R693" t="s">
        <v>1759</v>
      </c>
    </row>
    <row r="694" spans="1:18" x14ac:dyDescent="0.25">
      <c r="A694" t="s">
        <v>2833</v>
      </c>
      <c r="B694" t="s">
        <v>1785</v>
      </c>
      <c r="C694" t="s">
        <v>6</v>
      </c>
      <c r="D694" t="s">
        <v>836</v>
      </c>
      <c r="E694" s="2">
        <v>43158</v>
      </c>
      <c r="F694">
        <v>2453</v>
      </c>
      <c r="G694" t="s">
        <v>1746</v>
      </c>
      <c r="H694" t="s">
        <v>1805</v>
      </c>
      <c r="I694" t="b">
        <v>1</v>
      </c>
      <c r="J694" t="s">
        <v>1761</v>
      </c>
      <c r="K694" t="s">
        <v>1961</v>
      </c>
      <c r="L694" t="s">
        <v>1750</v>
      </c>
      <c r="M694">
        <v>516</v>
      </c>
      <c r="N694" t="b">
        <v>0</v>
      </c>
      <c r="O694">
        <v>246</v>
      </c>
      <c r="P694" t="s">
        <v>1752</v>
      </c>
      <c r="Q694" t="s">
        <v>1753</v>
      </c>
    </row>
    <row r="695" spans="1:18" x14ac:dyDescent="0.25">
      <c r="A695" t="s">
        <v>2835</v>
      </c>
      <c r="B695" t="s">
        <v>2836</v>
      </c>
      <c r="C695" t="s">
        <v>4</v>
      </c>
      <c r="D695" t="s">
        <v>2834</v>
      </c>
      <c r="E695" s="2">
        <v>43180</v>
      </c>
      <c r="F695">
        <v>2431</v>
      </c>
      <c r="G695" t="s">
        <v>1746</v>
      </c>
      <c r="H695" t="s">
        <v>1747</v>
      </c>
      <c r="I695" t="b">
        <v>0</v>
      </c>
      <c r="J695" t="s">
        <v>1761</v>
      </c>
      <c r="K695" t="s">
        <v>1824</v>
      </c>
      <c r="L695" t="s">
        <v>1750</v>
      </c>
      <c r="M695">
        <v>515</v>
      </c>
      <c r="N695" t="b">
        <v>1</v>
      </c>
      <c r="O695">
        <v>318</v>
      </c>
      <c r="P695" t="s">
        <v>1752</v>
      </c>
      <c r="Q695" t="s">
        <v>1753</v>
      </c>
    </row>
    <row r="696" spans="1:18" x14ac:dyDescent="0.25">
      <c r="A696" t="s">
        <v>2837</v>
      </c>
      <c r="B696" t="s">
        <v>2353</v>
      </c>
      <c r="C696" t="s">
        <v>6</v>
      </c>
      <c r="D696" t="s">
        <v>1138</v>
      </c>
      <c r="E696" s="2">
        <v>44006</v>
      </c>
      <c r="F696">
        <v>1605</v>
      </c>
      <c r="G696" t="s">
        <v>1746</v>
      </c>
      <c r="H696" t="s">
        <v>1798</v>
      </c>
      <c r="I696" t="b">
        <v>1</v>
      </c>
      <c r="J696" t="s">
        <v>1748</v>
      </c>
      <c r="K696" t="s">
        <v>1891</v>
      </c>
      <c r="L696" t="s">
        <v>1750</v>
      </c>
      <c r="M696">
        <v>515</v>
      </c>
      <c r="N696" t="b">
        <v>0</v>
      </c>
      <c r="O696">
        <v>77</v>
      </c>
      <c r="P696" t="s">
        <v>1752</v>
      </c>
      <c r="Q696" t="s">
        <v>1753</v>
      </c>
    </row>
    <row r="697" spans="1:18" x14ac:dyDescent="0.25">
      <c r="A697" t="s">
        <v>2838</v>
      </c>
      <c r="B697" t="s">
        <v>1810</v>
      </c>
      <c r="C697" t="s">
        <v>4</v>
      </c>
      <c r="D697" t="s">
        <v>496</v>
      </c>
      <c r="E697" s="2">
        <v>39904</v>
      </c>
      <c r="F697">
        <v>5707</v>
      </c>
      <c r="G697" t="s">
        <v>1746</v>
      </c>
      <c r="H697" t="s">
        <v>1798</v>
      </c>
      <c r="I697" t="b">
        <v>0</v>
      </c>
      <c r="J697" t="s">
        <v>1748</v>
      </c>
      <c r="K697" t="s">
        <v>1809</v>
      </c>
      <c r="L697" t="s">
        <v>1766</v>
      </c>
      <c r="M697">
        <v>514</v>
      </c>
      <c r="N697" t="b">
        <v>0</v>
      </c>
      <c r="P697" t="s">
        <v>1752</v>
      </c>
      <c r="Q697" t="s">
        <v>1753</v>
      </c>
      <c r="R697" t="s">
        <v>1828</v>
      </c>
    </row>
    <row r="698" spans="1:18" x14ac:dyDescent="0.25">
      <c r="A698" t="s">
        <v>2839</v>
      </c>
      <c r="B698" t="s">
        <v>1936</v>
      </c>
      <c r="C698" t="s">
        <v>186</v>
      </c>
      <c r="D698" t="s">
        <v>1416</v>
      </c>
      <c r="E698" s="2">
        <v>38987</v>
      </c>
      <c r="F698">
        <v>6624</v>
      </c>
      <c r="G698" t="s">
        <v>1746</v>
      </c>
      <c r="H698" t="s">
        <v>1747</v>
      </c>
      <c r="I698" t="b">
        <v>0</v>
      </c>
      <c r="J698" t="s">
        <v>1748</v>
      </c>
      <c r="K698" t="s">
        <v>1830</v>
      </c>
      <c r="L698" t="s">
        <v>2102</v>
      </c>
      <c r="M698">
        <v>510</v>
      </c>
      <c r="N698" t="b">
        <v>0</v>
      </c>
      <c r="P698" t="s">
        <v>2070</v>
      </c>
      <c r="Q698" t="s">
        <v>1779</v>
      </c>
    </row>
    <row r="699" spans="1:18" x14ac:dyDescent="0.25">
      <c r="A699" t="s">
        <v>376</v>
      </c>
      <c r="B699" t="s">
        <v>2220</v>
      </c>
      <c r="C699" t="s">
        <v>4</v>
      </c>
      <c r="D699" t="s">
        <v>377</v>
      </c>
      <c r="E699" s="2">
        <v>43270</v>
      </c>
      <c r="F699">
        <v>2341</v>
      </c>
      <c r="G699" t="s">
        <v>1746</v>
      </c>
      <c r="H699" t="s">
        <v>1747</v>
      </c>
      <c r="I699" t="b">
        <v>1</v>
      </c>
      <c r="J699" t="s">
        <v>1748</v>
      </c>
      <c r="K699" t="s">
        <v>1917</v>
      </c>
      <c r="L699" t="s">
        <v>1750</v>
      </c>
      <c r="M699">
        <v>507</v>
      </c>
      <c r="N699" t="b">
        <v>0</v>
      </c>
      <c r="O699">
        <v>84</v>
      </c>
      <c r="P699" t="s">
        <v>1819</v>
      </c>
      <c r="Q699" t="s">
        <v>1753</v>
      </c>
      <c r="R699" t="s">
        <v>1759</v>
      </c>
    </row>
    <row r="700" spans="1:18" x14ac:dyDescent="0.25">
      <c r="A700" t="s">
        <v>2841</v>
      </c>
      <c r="B700" t="s">
        <v>2173</v>
      </c>
      <c r="C700" t="s">
        <v>6</v>
      </c>
      <c r="D700" t="s">
        <v>2840</v>
      </c>
      <c r="E700" s="2">
        <v>43999</v>
      </c>
      <c r="F700">
        <v>1612</v>
      </c>
      <c r="G700" t="s">
        <v>1746</v>
      </c>
      <c r="H700" t="s">
        <v>2231</v>
      </c>
      <c r="I700" t="b">
        <v>1</v>
      </c>
      <c r="J700" t="s">
        <v>1748</v>
      </c>
      <c r="K700" t="s">
        <v>1824</v>
      </c>
      <c r="L700" t="s">
        <v>1750</v>
      </c>
      <c r="M700">
        <v>507</v>
      </c>
      <c r="N700" t="b">
        <v>0</v>
      </c>
      <c r="O700">
        <v>221</v>
      </c>
      <c r="P700" t="s">
        <v>1752</v>
      </c>
      <c r="Q700" t="s">
        <v>1753</v>
      </c>
      <c r="R700" t="s">
        <v>1828</v>
      </c>
    </row>
    <row r="701" spans="1:18" x14ac:dyDescent="0.25">
      <c r="A701" t="s">
        <v>2842</v>
      </c>
      <c r="B701" t="s">
        <v>2269</v>
      </c>
      <c r="C701" t="s">
        <v>4</v>
      </c>
      <c r="D701" t="s">
        <v>1063</v>
      </c>
      <c r="E701" s="2">
        <v>43243</v>
      </c>
      <c r="F701">
        <v>2368</v>
      </c>
      <c r="G701" t="s">
        <v>1746</v>
      </c>
      <c r="H701" t="s">
        <v>1798</v>
      </c>
      <c r="I701" t="b">
        <v>1</v>
      </c>
      <c r="J701" t="s">
        <v>1748</v>
      </c>
      <c r="K701" t="s">
        <v>1913</v>
      </c>
      <c r="L701" t="s">
        <v>1817</v>
      </c>
      <c r="M701">
        <v>504</v>
      </c>
      <c r="N701" t="b">
        <v>0</v>
      </c>
      <c r="O701">
        <v>340</v>
      </c>
      <c r="P701" t="s">
        <v>1819</v>
      </c>
      <c r="Q701" t="s">
        <v>1753</v>
      </c>
      <c r="R701" t="s">
        <v>1759</v>
      </c>
    </row>
    <row r="702" spans="1:18" x14ac:dyDescent="0.25">
      <c r="A702" t="s">
        <v>2843</v>
      </c>
      <c r="B702" t="s">
        <v>1876</v>
      </c>
      <c r="C702" t="s">
        <v>4</v>
      </c>
      <c r="D702" t="s">
        <v>1330</v>
      </c>
      <c r="E702" s="2">
        <v>43515</v>
      </c>
      <c r="F702">
        <v>2096</v>
      </c>
      <c r="G702" t="s">
        <v>1746</v>
      </c>
      <c r="H702" t="s">
        <v>1747</v>
      </c>
      <c r="I702" t="b">
        <v>0</v>
      </c>
      <c r="J702" t="s">
        <v>1748</v>
      </c>
      <c r="K702" t="s">
        <v>1776</v>
      </c>
      <c r="L702" t="s">
        <v>1817</v>
      </c>
      <c r="M702">
        <v>503</v>
      </c>
      <c r="N702" t="b">
        <v>0</v>
      </c>
      <c r="O702">
        <v>1173</v>
      </c>
      <c r="P702" t="s">
        <v>1819</v>
      </c>
      <c r="Q702" t="s">
        <v>1753</v>
      </c>
      <c r="R702" t="s">
        <v>1772</v>
      </c>
    </row>
    <row r="703" spans="1:18" x14ac:dyDescent="0.25">
      <c r="A703" t="s">
        <v>2844</v>
      </c>
      <c r="B703" t="s">
        <v>2599</v>
      </c>
      <c r="C703" t="s">
        <v>4</v>
      </c>
      <c r="D703" t="s">
        <v>780</v>
      </c>
      <c r="E703" s="2">
        <v>43381</v>
      </c>
      <c r="F703">
        <v>2230</v>
      </c>
      <c r="G703" t="s">
        <v>1746</v>
      </c>
      <c r="H703" t="s">
        <v>1747</v>
      </c>
      <c r="I703" t="b">
        <v>0</v>
      </c>
      <c r="J703" t="s">
        <v>1748</v>
      </c>
      <c r="K703" t="s">
        <v>1822</v>
      </c>
      <c r="L703" t="s">
        <v>1750</v>
      </c>
      <c r="M703">
        <v>503</v>
      </c>
      <c r="N703" t="b">
        <v>1</v>
      </c>
      <c r="O703">
        <v>143</v>
      </c>
      <c r="P703" t="s">
        <v>1752</v>
      </c>
      <c r="Q703" t="s">
        <v>1753</v>
      </c>
      <c r="R703" t="s">
        <v>2028</v>
      </c>
    </row>
    <row r="704" spans="1:18" x14ac:dyDescent="0.25">
      <c r="A704" t="s">
        <v>2846</v>
      </c>
      <c r="B704" t="s">
        <v>2847</v>
      </c>
      <c r="C704" t="s">
        <v>11</v>
      </c>
      <c r="D704" t="s">
        <v>2845</v>
      </c>
      <c r="E704" s="2">
        <v>40085</v>
      </c>
      <c r="F704">
        <v>5526</v>
      </c>
      <c r="G704" t="s">
        <v>1746</v>
      </c>
      <c r="H704" t="s">
        <v>1798</v>
      </c>
      <c r="I704" t="b">
        <v>0</v>
      </c>
      <c r="J704" t="s">
        <v>1748</v>
      </c>
      <c r="K704" t="s">
        <v>1824</v>
      </c>
      <c r="L704" t="s">
        <v>1766</v>
      </c>
      <c r="M704">
        <v>500</v>
      </c>
      <c r="N704" t="b">
        <v>0</v>
      </c>
      <c r="P704" t="s">
        <v>1752</v>
      </c>
      <c r="Q704" t="s">
        <v>1753</v>
      </c>
      <c r="R704" t="s">
        <v>1828</v>
      </c>
    </row>
    <row r="705" spans="1:18" x14ac:dyDescent="0.25">
      <c r="A705" t="s">
        <v>2848</v>
      </c>
      <c r="B705" t="s">
        <v>1763</v>
      </c>
      <c r="C705" t="s">
        <v>4</v>
      </c>
      <c r="D705" t="s">
        <v>1331</v>
      </c>
      <c r="E705" s="2">
        <v>42710</v>
      </c>
      <c r="F705">
        <v>2901</v>
      </c>
      <c r="G705" t="s">
        <v>1746</v>
      </c>
      <c r="H705" t="s">
        <v>1747</v>
      </c>
      <c r="I705" t="b">
        <v>0</v>
      </c>
      <c r="J705" t="s">
        <v>1761</v>
      </c>
      <c r="K705" t="s">
        <v>1776</v>
      </c>
      <c r="L705" t="s">
        <v>1817</v>
      </c>
      <c r="M705">
        <v>497</v>
      </c>
      <c r="N705" t="b">
        <v>0</v>
      </c>
      <c r="O705">
        <v>1173</v>
      </c>
      <c r="P705" t="s">
        <v>1819</v>
      </c>
      <c r="Q705" t="s">
        <v>1753</v>
      </c>
      <c r="R705" t="s">
        <v>1772</v>
      </c>
    </row>
    <row r="706" spans="1:18" x14ac:dyDescent="0.25">
      <c r="A706" t="s">
        <v>2850</v>
      </c>
      <c r="B706" t="s">
        <v>1840</v>
      </c>
      <c r="C706" t="s">
        <v>4</v>
      </c>
      <c r="D706" t="s">
        <v>2849</v>
      </c>
      <c r="E706" s="2">
        <v>43446</v>
      </c>
      <c r="F706">
        <v>2165</v>
      </c>
      <c r="G706" t="s">
        <v>1746</v>
      </c>
      <c r="H706" t="s">
        <v>1747</v>
      </c>
      <c r="I706" t="b">
        <v>0</v>
      </c>
      <c r="J706" t="s">
        <v>1761</v>
      </c>
      <c r="K706" t="s">
        <v>1774</v>
      </c>
      <c r="L706" t="s">
        <v>1817</v>
      </c>
      <c r="M706">
        <v>497</v>
      </c>
      <c r="N706" t="b">
        <v>1</v>
      </c>
      <c r="O706">
        <v>1682</v>
      </c>
      <c r="P706" t="s">
        <v>1819</v>
      </c>
      <c r="Q706" t="s">
        <v>1753</v>
      </c>
      <c r="R706" t="s">
        <v>1759</v>
      </c>
    </row>
    <row r="707" spans="1:18" x14ac:dyDescent="0.25">
      <c r="A707" t="s">
        <v>2851</v>
      </c>
      <c r="B707" t="s">
        <v>2269</v>
      </c>
      <c r="C707" t="s">
        <v>6</v>
      </c>
      <c r="D707" t="s">
        <v>1517</v>
      </c>
      <c r="E707" s="2">
        <v>39241</v>
      </c>
      <c r="F707">
        <v>6370</v>
      </c>
      <c r="G707" t="s">
        <v>1746</v>
      </c>
      <c r="H707" t="s">
        <v>1798</v>
      </c>
      <c r="I707" t="b">
        <v>1</v>
      </c>
      <c r="J707" t="s">
        <v>1748</v>
      </c>
      <c r="K707" t="s">
        <v>1824</v>
      </c>
      <c r="L707" t="s">
        <v>1817</v>
      </c>
      <c r="M707">
        <v>495</v>
      </c>
      <c r="N707" t="b">
        <v>0</v>
      </c>
      <c r="O707">
        <v>38</v>
      </c>
      <c r="P707" t="s">
        <v>1819</v>
      </c>
      <c r="Q707" t="s">
        <v>1753</v>
      </c>
      <c r="R707" t="s">
        <v>1828</v>
      </c>
    </row>
    <row r="708" spans="1:18" x14ac:dyDescent="0.25">
      <c r="A708" t="s">
        <v>2853</v>
      </c>
      <c r="B708" t="s">
        <v>2854</v>
      </c>
      <c r="C708" t="s">
        <v>11</v>
      </c>
      <c r="D708" t="s">
        <v>2852</v>
      </c>
      <c r="E708" s="2">
        <v>43447</v>
      </c>
      <c r="F708">
        <v>2164</v>
      </c>
      <c r="G708" t="s">
        <v>1746</v>
      </c>
      <c r="H708" t="s">
        <v>1798</v>
      </c>
      <c r="I708" t="b">
        <v>1</v>
      </c>
      <c r="J708" t="s">
        <v>1748</v>
      </c>
      <c r="K708" t="s">
        <v>1776</v>
      </c>
      <c r="L708" t="s">
        <v>1750</v>
      </c>
      <c r="M708">
        <v>495</v>
      </c>
      <c r="N708" t="b">
        <v>0</v>
      </c>
      <c r="O708">
        <v>43</v>
      </c>
      <c r="P708" t="s">
        <v>1752</v>
      </c>
      <c r="Q708" t="s">
        <v>1753</v>
      </c>
    </row>
    <row r="709" spans="1:18" x14ac:dyDescent="0.25">
      <c r="A709" t="s">
        <v>2856</v>
      </c>
      <c r="B709" t="s">
        <v>2857</v>
      </c>
      <c r="C709" t="s">
        <v>6</v>
      </c>
      <c r="D709" t="s">
        <v>2855</v>
      </c>
      <c r="E709" s="2">
        <v>41464</v>
      </c>
      <c r="F709">
        <v>4147</v>
      </c>
      <c r="G709" t="s">
        <v>1746</v>
      </c>
      <c r="H709" t="s">
        <v>2231</v>
      </c>
      <c r="I709" t="b">
        <v>1</v>
      </c>
      <c r="J709" t="s">
        <v>1748</v>
      </c>
      <c r="K709" t="s">
        <v>1853</v>
      </c>
      <c r="L709" t="s">
        <v>1750</v>
      </c>
      <c r="M709">
        <v>495</v>
      </c>
      <c r="N709" t="b">
        <v>0</v>
      </c>
      <c r="O709">
        <v>20</v>
      </c>
      <c r="P709" t="s">
        <v>1752</v>
      </c>
      <c r="Q709" t="s">
        <v>1753</v>
      </c>
    </row>
    <row r="710" spans="1:18" x14ac:dyDescent="0.25">
      <c r="A710" t="s">
        <v>2859</v>
      </c>
      <c r="B710" t="s">
        <v>1840</v>
      </c>
      <c r="C710" t="s">
        <v>4</v>
      </c>
      <c r="D710" t="s">
        <v>2858</v>
      </c>
      <c r="E710" s="2">
        <v>43027</v>
      </c>
      <c r="F710">
        <v>2584</v>
      </c>
      <c r="G710" t="s">
        <v>1746</v>
      </c>
      <c r="H710" t="s">
        <v>1747</v>
      </c>
      <c r="I710" t="b">
        <v>1</v>
      </c>
      <c r="J710" t="s">
        <v>1748</v>
      </c>
      <c r="K710" t="s">
        <v>1880</v>
      </c>
      <c r="L710" t="s">
        <v>1756</v>
      </c>
      <c r="M710">
        <v>493</v>
      </c>
      <c r="N710" t="b">
        <v>0</v>
      </c>
      <c r="O710">
        <v>214</v>
      </c>
      <c r="P710" t="s">
        <v>1752</v>
      </c>
      <c r="Q710" t="s">
        <v>1753</v>
      </c>
    </row>
    <row r="711" spans="1:18" x14ac:dyDescent="0.25">
      <c r="A711" t="s">
        <v>2860</v>
      </c>
      <c r="B711" t="s">
        <v>2269</v>
      </c>
      <c r="C711" t="s">
        <v>4</v>
      </c>
      <c r="D711" t="s">
        <v>1681</v>
      </c>
      <c r="E711" s="2">
        <v>42062</v>
      </c>
      <c r="F711">
        <v>3549</v>
      </c>
      <c r="G711" t="s">
        <v>1746</v>
      </c>
      <c r="H711" t="s">
        <v>1798</v>
      </c>
      <c r="I711" t="b">
        <v>1</v>
      </c>
      <c r="J711" t="s">
        <v>1748</v>
      </c>
      <c r="K711" t="s">
        <v>1755</v>
      </c>
      <c r="L711" t="s">
        <v>1750</v>
      </c>
      <c r="M711">
        <v>492</v>
      </c>
      <c r="N711" t="b">
        <v>0</v>
      </c>
      <c r="O711">
        <v>502</v>
      </c>
      <c r="P711" t="s">
        <v>1752</v>
      </c>
      <c r="Q711" t="s">
        <v>1753</v>
      </c>
    </row>
    <row r="712" spans="1:18" x14ac:dyDescent="0.25">
      <c r="A712" t="s">
        <v>2861</v>
      </c>
      <c r="B712" t="s">
        <v>1754</v>
      </c>
      <c r="C712" t="s">
        <v>4</v>
      </c>
      <c r="D712" t="s">
        <v>1082</v>
      </c>
      <c r="E712" s="2">
        <v>42192</v>
      </c>
      <c r="F712">
        <v>3419</v>
      </c>
      <c r="G712" t="s">
        <v>1746</v>
      </c>
      <c r="H712" t="s">
        <v>1747</v>
      </c>
      <c r="I712" t="b">
        <v>1</v>
      </c>
      <c r="J712" t="s">
        <v>1748</v>
      </c>
      <c r="K712" t="s">
        <v>1824</v>
      </c>
      <c r="L712" t="s">
        <v>1750</v>
      </c>
      <c r="M712">
        <v>492</v>
      </c>
      <c r="N712" t="b">
        <v>0</v>
      </c>
      <c r="O712">
        <v>72</v>
      </c>
      <c r="P712" t="s">
        <v>1752</v>
      </c>
      <c r="Q712" t="s">
        <v>1753</v>
      </c>
    </row>
    <row r="713" spans="1:18" x14ac:dyDescent="0.25">
      <c r="A713" t="s">
        <v>2863</v>
      </c>
      <c r="B713" t="s">
        <v>2144</v>
      </c>
      <c r="C713" t="s">
        <v>4</v>
      </c>
      <c r="D713" t="s">
        <v>2862</v>
      </c>
      <c r="E713" s="2">
        <v>44116</v>
      </c>
      <c r="F713">
        <v>1495</v>
      </c>
      <c r="G713" t="s">
        <v>1746</v>
      </c>
      <c r="H713" t="s">
        <v>1798</v>
      </c>
      <c r="I713" t="b">
        <v>0</v>
      </c>
      <c r="J713" t="s">
        <v>1761</v>
      </c>
      <c r="K713" t="s">
        <v>1891</v>
      </c>
      <c r="L713" t="s">
        <v>1750</v>
      </c>
      <c r="M713">
        <v>489</v>
      </c>
      <c r="N713" t="b">
        <v>1</v>
      </c>
      <c r="O713">
        <v>402</v>
      </c>
      <c r="P713" t="s">
        <v>1752</v>
      </c>
      <c r="Q713" t="s">
        <v>1753</v>
      </c>
      <c r="R713" t="s">
        <v>1759</v>
      </c>
    </row>
    <row r="714" spans="1:18" x14ac:dyDescent="0.25">
      <c r="A714" t="s">
        <v>1637</v>
      </c>
      <c r="B714" t="s">
        <v>1810</v>
      </c>
      <c r="C714" t="s">
        <v>4</v>
      </c>
      <c r="D714" t="s">
        <v>1638</v>
      </c>
      <c r="E714" s="2">
        <v>42443</v>
      </c>
      <c r="F714">
        <v>3168</v>
      </c>
      <c r="G714" t="s">
        <v>1746</v>
      </c>
      <c r="H714" t="s">
        <v>1747</v>
      </c>
      <c r="I714" t="b">
        <v>1</v>
      </c>
      <c r="J714" t="s">
        <v>1748</v>
      </c>
      <c r="K714" t="s">
        <v>1776</v>
      </c>
      <c r="L714" t="s">
        <v>1750</v>
      </c>
      <c r="M714">
        <v>488</v>
      </c>
      <c r="N714" t="b">
        <v>0</v>
      </c>
      <c r="O714">
        <v>259</v>
      </c>
      <c r="P714" t="s">
        <v>1752</v>
      </c>
      <c r="Q714" t="s">
        <v>1753</v>
      </c>
      <c r="R714" t="s">
        <v>1759</v>
      </c>
    </row>
    <row r="715" spans="1:18" x14ac:dyDescent="0.25">
      <c r="A715" t="s">
        <v>2865</v>
      </c>
      <c r="B715" t="s">
        <v>1866</v>
      </c>
      <c r="C715" t="s">
        <v>572</v>
      </c>
      <c r="D715" t="s">
        <v>2864</v>
      </c>
      <c r="E715" s="2">
        <v>38446</v>
      </c>
      <c r="F715">
        <v>7165</v>
      </c>
      <c r="G715" t="s">
        <v>1746</v>
      </c>
      <c r="H715" t="s">
        <v>1798</v>
      </c>
      <c r="I715" t="b">
        <v>0</v>
      </c>
      <c r="J715" t="s">
        <v>1761</v>
      </c>
      <c r="K715" t="s">
        <v>1922</v>
      </c>
      <c r="L715" t="s">
        <v>1750</v>
      </c>
      <c r="M715">
        <v>488</v>
      </c>
      <c r="N715" t="b">
        <v>0</v>
      </c>
      <c r="O715">
        <v>15</v>
      </c>
      <c r="P715" t="s">
        <v>1752</v>
      </c>
      <c r="Q715" t="s">
        <v>1753</v>
      </c>
    </row>
    <row r="716" spans="1:18" x14ac:dyDescent="0.25">
      <c r="A716" t="s">
        <v>2866</v>
      </c>
      <c r="B716" t="s">
        <v>2353</v>
      </c>
      <c r="C716" t="s">
        <v>4</v>
      </c>
      <c r="D716" t="s">
        <v>1632</v>
      </c>
      <c r="E716" s="2">
        <v>44083</v>
      </c>
      <c r="F716">
        <v>1528</v>
      </c>
      <c r="G716" t="s">
        <v>1746</v>
      </c>
      <c r="H716" t="s">
        <v>1798</v>
      </c>
      <c r="I716" t="b">
        <v>0</v>
      </c>
      <c r="J716" t="s">
        <v>1748</v>
      </c>
      <c r="K716" t="s">
        <v>1776</v>
      </c>
      <c r="L716" t="s">
        <v>1750</v>
      </c>
      <c r="M716">
        <v>486</v>
      </c>
      <c r="N716" t="b">
        <v>1</v>
      </c>
      <c r="O716">
        <v>658</v>
      </c>
      <c r="P716" t="s">
        <v>1752</v>
      </c>
      <c r="Q716" t="s">
        <v>1753</v>
      </c>
      <c r="R716" t="s">
        <v>1759</v>
      </c>
    </row>
    <row r="717" spans="1:18" x14ac:dyDescent="0.25">
      <c r="A717" t="s">
        <v>2868</v>
      </c>
      <c r="B717" t="s">
        <v>2150</v>
      </c>
      <c r="C717" t="s">
        <v>6</v>
      </c>
      <c r="D717" t="s">
        <v>2867</v>
      </c>
      <c r="E717" s="2">
        <v>45188</v>
      </c>
      <c r="F717">
        <v>423</v>
      </c>
      <c r="G717" t="s">
        <v>1746</v>
      </c>
      <c r="H717" t="s">
        <v>1805</v>
      </c>
      <c r="I717" t="b">
        <v>1</v>
      </c>
      <c r="J717" t="s">
        <v>1761</v>
      </c>
      <c r="K717" t="s">
        <v>1898</v>
      </c>
      <c r="L717" t="s">
        <v>1750</v>
      </c>
      <c r="M717">
        <v>485</v>
      </c>
      <c r="N717" t="b">
        <v>1</v>
      </c>
      <c r="O717">
        <v>183</v>
      </c>
      <c r="P717" t="s">
        <v>1752</v>
      </c>
      <c r="Q717" t="s">
        <v>1753</v>
      </c>
    </row>
    <row r="718" spans="1:18" x14ac:dyDescent="0.25">
      <c r="A718" t="s">
        <v>2870</v>
      </c>
      <c r="B718" t="s">
        <v>2871</v>
      </c>
      <c r="C718" t="s">
        <v>4</v>
      </c>
      <c r="D718" t="s">
        <v>2869</v>
      </c>
      <c r="E718" s="2">
        <v>45148</v>
      </c>
      <c r="F718">
        <v>463</v>
      </c>
      <c r="G718" t="s">
        <v>1746</v>
      </c>
      <c r="H718" t="s">
        <v>1747</v>
      </c>
      <c r="I718" t="b">
        <v>0</v>
      </c>
      <c r="J718" t="s">
        <v>1748</v>
      </c>
      <c r="K718" t="s">
        <v>1774</v>
      </c>
      <c r="L718" t="s">
        <v>1817</v>
      </c>
      <c r="M718">
        <v>483</v>
      </c>
      <c r="N718" t="b">
        <v>1</v>
      </c>
      <c r="O718">
        <v>421</v>
      </c>
      <c r="P718" t="s">
        <v>1819</v>
      </c>
      <c r="Q718" t="s">
        <v>1753</v>
      </c>
      <c r="R718" t="s">
        <v>1759</v>
      </c>
    </row>
    <row r="719" spans="1:18" x14ac:dyDescent="0.25">
      <c r="A719" t="s">
        <v>1053</v>
      </c>
      <c r="B719" t="s">
        <v>2057</v>
      </c>
      <c r="C719" t="s">
        <v>4</v>
      </c>
      <c r="D719" t="s">
        <v>1054</v>
      </c>
      <c r="E719" s="2">
        <v>42489</v>
      </c>
      <c r="F719">
        <v>3122</v>
      </c>
      <c r="G719" t="s">
        <v>1746</v>
      </c>
      <c r="H719" t="s">
        <v>1747</v>
      </c>
      <c r="I719" t="b">
        <v>1</v>
      </c>
      <c r="J719" t="s">
        <v>1748</v>
      </c>
      <c r="K719" t="s">
        <v>1853</v>
      </c>
      <c r="L719" t="s">
        <v>1750</v>
      </c>
      <c r="M719">
        <v>482</v>
      </c>
      <c r="N719" t="b">
        <v>0</v>
      </c>
      <c r="O719">
        <v>58</v>
      </c>
      <c r="P719" t="s">
        <v>1752</v>
      </c>
      <c r="Q719" t="s">
        <v>1753</v>
      </c>
      <c r="R719" t="s">
        <v>1759</v>
      </c>
    </row>
    <row r="720" spans="1:18" x14ac:dyDescent="0.25">
      <c r="A720" t="s">
        <v>2872</v>
      </c>
      <c r="B720" t="s">
        <v>2269</v>
      </c>
      <c r="C720" t="s">
        <v>4</v>
      </c>
      <c r="D720" t="s">
        <v>1621</v>
      </c>
      <c r="E720" s="2">
        <v>43216</v>
      </c>
      <c r="F720">
        <v>2395</v>
      </c>
      <c r="G720" t="s">
        <v>1746</v>
      </c>
      <c r="H720" t="s">
        <v>1798</v>
      </c>
      <c r="I720" t="b">
        <v>1</v>
      </c>
      <c r="J720" t="s">
        <v>1748</v>
      </c>
      <c r="K720" t="s">
        <v>1774</v>
      </c>
      <c r="L720" t="s">
        <v>1750</v>
      </c>
      <c r="M720">
        <v>477</v>
      </c>
      <c r="N720" t="b">
        <v>0</v>
      </c>
      <c r="O720">
        <v>593</v>
      </c>
      <c r="P720" t="s">
        <v>1752</v>
      </c>
      <c r="Q720" t="s">
        <v>1753</v>
      </c>
    </row>
    <row r="721" spans="1:18" x14ac:dyDescent="0.25">
      <c r="A721" t="s">
        <v>2874</v>
      </c>
      <c r="B721" t="s">
        <v>1840</v>
      </c>
      <c r="C721" t="s">
        <v>4</v>
      </c>
      <c r="D721" t="s">
        <v>2873</v>
      </c>
      <c r="E721" s="2">
        <v>42814</v>
      </c>
      <c r="F721">
        <v>2797</v>
      </c>
      <c r="G721" t="s">
        <v>1746</v>
      </c>
      <c r="H721" t="s">
        <v>1747</v>
      </c>
      <c r="I721" t="b">
        <v>1</v>
      </c>
      <c r="J721" t="s">
        <v>1748</v>
      </c>
      <c r="K721" t="s">
        <v>1824</v>
      </c>
      <c r="L721" t="s">
        <v>1750</v>
      </c>
      <c r="M721">
        <v>477</v>
      </c>
      <c r="N721" t="b">
        <v>0</v>
      </c>
      <c r="O721">
        <v>38</v>
      </c>
      <c r="P721" t="s">
        <v>1752</v>
      </c>
      <c r="Q721" t="s">
        <v>1753</v>
      </c>
    </row>
    <row r="722" spans="1:18" x14ac:dyDescent="0.25">
      <c r="A722" t="s">
        <v>2876</v>
      </c>
      <c r="B722" t="s">
        <v>1785</v>
      </c>
      <c r="C722" t="s">
        <v>4</v>
      </c>
      <c r="D722" t="s">
        <v>2875</v>
      </c>
      <c r="E722" s="2">
        <v>41046</v>
      </c>
      <c r="F722">
        <v>4565</v>
      </c>
      <c r="G722" t="s">
        <v>1746</v>
      </c>
      <c r="H722" t="s">
        <v>1805</v>
      </c>
      <c r="I722" t="b">
        <v>1</v>
      </c>
      <c r="J722" t="s">
        <v>1761</v>
      </c>
      <c r="K722" t="s">
        <v>1755</v>
      </c>
      <c r="L722" t="s">
        <v>1817</v>
      </c>
      <c r="M722">
        <v>476</v>
      </c>
      <c r="N722" t="b">
        <v>0</v>
      </c>
      <c r="O722">
        <v>910</v>
      </c>
      <c r="P722" t="s">
        <v>1819</v>
      </c>
      <c r="Q722" t="s">
        <v>1753</v>
      </c>
    </row>
    <row r="723" spans="1:18" x14ac:dyDescent="0.25">
      <c r="A723" t="s">
        <v>1649</v>
      </c>
      <c r="B723" t="s">
        <v>1810</v>
      </c>
      <c r="C723" t="s">
        <v>4</v>
      </c>
      <c r="D723" t="s">
        <v>1650</v>
      </c>
      <c r="E723" s="2">
        <v>42445</v>
      </c>
      <c r="F723">
        <v>3166</v>
      </c>
      <c r="G723" t="s">
        <v>1746</v>
      </c>
      <c r="H723" t="s">
        <v>1747</v>
      </c>
      <c r="I723" t="b">
        <v>1</v>
      </c>
      <c r="J723" t="s">
        <v>1748</v>
      </c>
      <c r="K723" t="s">
        <v>1776</v>
      </c>
      <c r="L723" t="s">
        <v>1750</v>
      </c>
      <c r="M723">
        <v>475</v>
      </c>
      <c r="N723" t="b">
        <v>0</v>
      </c>
      <c r="O723">
        <v>74</v>
      </c>
      <c r="P723" t="s">
        <v>1752</v>
      </c>
      <c r="Q723" t="s">
        <v>1753</v>
      </c>
      <c r="R723" t="s">
        <v>1759</v>
      </c>
    </row>
    <row r="724" spans="1:18" x14ac:dyDescent="0.25">
      <c r="A724" t="s">
        <v>2878</v>
      </c>
      <c r="B724" t="s">
        <v>2040</v>
      </c>
      <c r="C724" t="s">
        <v>4</v>
      </c>
      <c r="D724" t="s">
        <v>2877</v>
      </c>
      <c r="E724" s="2">
        <v>45042</v>
      </c>
      <c r="F724">
        <v>569</v>
      </c>
      <c r="G724" t="s">
        <v>1746</v>
      </c>
      <c r="H724" t="s">
        <v>1747</v>
      </c>
      <c r="I724" t="b">
        <v>0</v>
      </c>
      <c r="J724" t="s">
        <v>1748</v>
      </c>
      <c r="K724" t="s">
        <v>1774</v>
      </c>
      <c r="L724" t="s">
        <v>1750</v>
      </c>
      <c r="M724">
        <v>475</v>
      </c>
      <c r="N724" t="b">
        <v>1</v>
      </c>
      <c r="O724">
        <v>316</v>
      </c>
      <c r="P724" t="s">
        <v>1752</v>
      </c>
      <c r="Q724" t="s">
        <v>1753</v>
      </c>
    </row>
    <row r="725" spans="1:18" x14ac:dyDescent="0.25">
      <c r="A725" t="s">
        <v>2879</v>
      </c>
      <c r="B725" t="s">
        <v>2269</v>
      </c>
      <c r="C725" t="s">
        <v>6</v>
      </c>
      <c r="D725" t="s">
        <v>1529</v>
      </c>
      <c r="E725" s="2">
        <v>39241</v>
      </c>
      <c r="F725">
        <v>6370</v>
      </c>
      <c r="G725" t="s">
        <v>1746</v>
      </c>
      <c r="H725" t="s">
        <v>1798</v>
      </c>
      <c r="I725" t="b">
        <v>1</v>
      </c>
      <c r="J725" t="s">
        <v>1748</v>
      </c>
      <c r="K725" t="s">
        <v>1776</v>
      </c>
      <c r="L725" t="s">
        <v>1817</v>
      </c>
      <c r="M725">
        <v>474</v>
      </c>
      <c r="N725" t="b">
        <v>0</v>
      </c>
      <c r="O725">
        <v>154</v>
      </c>
      <c r="P725" t="s">
        <v>1819</v>
      </c>
      <c r="Q725" t="s">
        <v>1753</v>
      </c>
      <c r="R725" t="s">
        <v>1759</v>
      </c>
    </row>
    <row r="726" spans="1:18" x14ac:dyDescent="0.25">
      <c r="A726" t="s">
        <v>2881</v>
      </c>
      <c r="B726" t="s">
        <v>1978</v>
      </c>
      <c r="C726" t="s">
        <v>6</v>
      </c>
      <c r="D726" t="s">
        <v>2880</v>
      </c>
      <c r="E726" s="2">
        <v>44509</v>
      </c>
      <c r="F726">
        <v>1102</v>
      </c>
      <c r="G726" t="s">
        <v>1746</v>
      </c>
      <c r="H726" t="s">
        <v>1747</v>
      </c>
      <c r="I726" t="b">
        <v>0</v>
      </c>
      <c r="J726" t="s">
        <v>1748</v>
      </c>
      <c r="K726" t="s">
        <v>1880</v>
      </c>
      <c r="L726" t="s">
        <v>1750</v>
      </c>
      <c r="M726">
        <v>473</v>
      </c>
      <c r="N726" t="b">
        <v>1</v>
      </c>
      <c r="O726">
        <v>307</v>
      </c>
      <c r="P726" t="s">
        <v>1752</v>
      </c>
      <c r="Q726" t="s">
        <v>1753</v>
      </c>
      <c r="R726" t="s">
        <v>1772</v>
      </c>
    </row>
    <row r="727" spans="1:18" x14ac:dyDescent="0.25">
      <c r="A727" t="s">
        <v>471</v>
      </c>
      <c r="B727" t="s">
        <v>1781</v>
      </c>
      <c r="C727" t="s">
        <v>4</v>
      </c>
      <c r="D727" t="s">
        <v>472</v>
      </c>
      <c r="E727" s="2">
        <v>44292</v>
      </c>
      <c r="F727">
        <v>1319</v>
      </c>
      <c r="G727" t="s">
        <v>1746</v>
      </c>
      <c r="H727" t="s">
        <v>1747</v>
      </c>
      <c r="I727" t="b">
        <v>1</v>
      </c>
      <c r="J727" t="s">
        <v>1748</v>
      </c>
      <c r="K727" t="s">
        <v>1755</v>
      </c>
      <c r="L727" t="s">
        <v>1750</v>
      </c>
      <c r="M727">
        <v>473</v>
      </c>
      <c r="N727" t="b">
        <v>0</v>
      </c>
      <c r="O727">
        <v>504</v>
      </c>
      <c r="P727" t="s">
        <v>1752</v>
      </c>
      <c r="Q727" t="s">
        <v>1753</v>
      </c>
    </row>
    <row r="728" spans="1:18" x14ac:dyDescent="0.25">
      <c r="A728" t="s">
        <v>1259</v>
      </c>
      <c r="B728" t="s">
        <v>1810</v>
      </c>
      <c r="C728" t="s">
        <v>4</v>
      </c>
      <c r="D728" t="s">
        <v>1260</v>
      </c>
      <c r="E728" s="2">
        <v>42293</v>
      </c>
      <c r="F728">
        <v>3318</v>
      </c>
      <c r="G728" t="s">
        <v>1746</v>
      </c>
      <c r="H728" t="s">
        <v>1747</v>
      </c>
      <c r="I728" t="b">
        <v>0</v>
      </c>
      <c r="J728" t="s">
        <v>1748</v>
      </c>
      <c r="K728" t="s">
        <v>1830</v>
      </c>
      <c r="L728" t="s">
        <v>1750</v>
      </c>
      <c r="M728">
        <v>473</v>
      </c>
      <c r="N728" t="b">
        <v>1</v>
      </c>
      <c r="O728">
        <v>62</v>
      </c>
      <c r="P728" t="s">
        <v>1752</v>
      </c>
      <c r="Q728" t="s">
        <v>1753</v>
      </c>
    </row>
    <row r="729" spans="1:18" x14ac:dyDescent="0.25">
      <c r="A729" t="s">
        <v>2882</v>
      </c>
      <c r="B729" t="s">
        <v>1754</v>
      </c>
      <c r="C729" t="s">
        <v>4</v>
      </c>
      <c r="D729" t="s">
        <v>686</v>
      </c>
      <c r="E729" s="2">
        <v>38653</v>
      </c>
      <c r="F729">
        <v>6958</v>
      </c>
      <c r="G729" t="s">
        <v>1746</v>
      </c>
      <c r="H729" t="s">
        <v>1747</v>
      </c>
      <c r="I729" t="b">
        <v>1</v>
      </c>
      <c r="J729" t="s">
        <v>1761</v>
      </c>
      <c r="K729" t="s">
        <v>1835</v>
      </c>
      <c r="L729" t="s">
        <v>1750</v>
      </c>
      <c r="M729">
        <v>471</v>
      </c>
      <c r="N729" t="b">
        <v>0</v>
      </c>
      <c r="O729">
        <v>87</v>
      </c>
      <c r="P729" t="s">
        <v>1752</v>
      </c>
      <c r="Q729" t="s">
        <v>1753</v>
      </c>
    </row>
    <row r="730" spans="1:18" x14ac:dyDescent="0.25">
      <c r="A730" t="s">
        <v>2884</v>
      </c>
      <c r="B730" t="s">
        <v>1785</v>
      </c>
      <c r="C730" t="s">
        <v>4</v>
      </c>
      <c r="D730" t="s">
        <v>2883</v>
      </c>
      <c r="E730" s="2">
        <v>43367</v>
      </c>
      <c r="F730">
        <v>2244</v>
      </c>
      <c r="G730" t="s">
        <v>1746</v>
      </c>
      <c r="H730" t="s">
        <v>1747</v>
      </c>
      <c r="I730" t="b">
        <v>0</v>
      </c>
      <c r="J730" t="s">
        <v>1761</v>
      </c>
      <c r="K730" t="s">
        <v>1856</v>
      </c>
      <c r="L730" t="s">
        <v>1817</v>
      </c>
      <c r="M730">
        <v>471</v>
      </c>
      <c r="N730" t="b">
        <v>1</v>
      </c>
      <c r="O730">
        <v>787</v>
      </c>
      <c r="P730" t="s">
        <v>1819</v>
      </c>
      <c r="Q730" t="s">
        <v>1753</v>
      </c>
      <c r="R730" t="s">
        <v>1772</v>
      </c>
    </row>
    <row r="731" spans="1:18" x14ac:dyDescent="0.25">
      <c r="A731" t="s">
        <v>2885</v>
      </c>
      <c r="B731" t="s">
        <v>1754</v>
      </c>
      <c r="C731" t="s">
        <v>4</v>
      </c>
      <c r="D731" t="s">
        <v>620</v>
      </c>
      <c r="E731" s="2">
        <v>38289</v>
      </c>
      <c r="F731">
        <v>7322</v>
      </c>
      <c r="G731" t="s">
        <v>1746</v>
      </c>
      <c r="H731" t="s">
        <v>1798</v>
      </c>
      <c r="I731" t="b">
        <v>1</v>
      </c>
      <c r="J731" t="s">
        <v>1761</v>
      </c>
      <c r="K731" t="s">
        <v>2021</v>
      </c>
      <c r="L731" t="s">
        <v>1756</v>
      </c>
      <c r="M731">
        <v>469</v>
      </c>
      <c r="N731" t="b">
        <v>0</v>
      </c>
      <c r="O731">
        <v>95</v>
      </c>
      <c r="P731" t="s">
        <v>1752</v>
      </c>
      <c r="Q731" t="s">
        <v>1753</v>
      </c>
      <c r="R731" t="s">
        <v>1828</v>
      </c>
    </row>
    <row r="732" spans="1:18" x14ac:dyDescent="0.25">
      <c r="A732" t="s">
        <v>2886</v>
      </c>
      <c r="B732" t="s">
        <v>1795</v>
      </c>
      <c r="C732" t="s">
        <v>4</v>
      </c>
      <c r="D732" t="s">
        <v>546</v>
      </c>
      <c r="E732" s="2">
        <v>39920</v>
      </c>
      <c r="F732">
        <v>5691</v>
      </c>
      <c r="G732" t="s">
        <v>1746</v>
      </c>
      <c r="H732" t="s">
        <v>1798</v>
      </c>
      <c r="I732" t="b">
        <v>1</v>
      </c>
      <c r="J732" t="s">
        <v>1761</v>
      </c>
      <c r="K732" t="s">
        <v>1824</v>
      </c>
      <c r="L732" t="s">
        <v>1817</v>
      </c>
      <c r="M732">
        <v>468</v>
      </c>
      <c r="N732" t="b">
        <v>0</v>
      </c>
      <c r="O732">
        <v>31</v>
      </c>
      <c r="P732" t="s">
        <v>1819</v>
      </c>
      <c r="Q732" t="s">
        <v>1753</v>
      </c>
      <c r="R732" t="s">
        <v>1828</v>
      </c>
    </row>
    <row r="733" spans="1:18" x14ac:dyDescent="0.25">
      <c r="A733" t="s">
        <v>2888</v>
      </c>
      <c r="B733" t="s">
        <v>1840</v>
      </c>
      <c r="C733" t="s">
        <v>4</v>
      </c>
      <c r="D733" t="s">
        <v>2887</v>
      </c>
      <c r="E733" s="2">
        <v>40967</v>
      </c>
      <c r="F733">
        <v>4644</v>
      </c>
      <c r="G733" t="s">
        <v>1746</v>
      </c>
      <c r="H733" t="s">
        <v>1805</v>
      </c>
      <c r="I733" t="b">
        <v>1</v>
      </c>
      <c r="J733" t="s">
        <v>1748</v>
      </c>
      <c r="K733" t="s">
        <v>1755</v>
      </c>
      <c r="L733" t="s">
        <v>1756</v>
      </c>
      <c r="M733">
        <v>466</v>
      </c>
      <c r="N733" t="b">
        <v>0</v>
      </c>
      <c r="O733">
        <v>542</v>
      </c>
      <c r="P733" t="s">
        <v>1752</v>
      </c>
      <c r="Q733" t="s">
        <v>1753</v>
      </c>
    </row>
    <row r="734" spans="1:18" x14ac:dyDescent="0.25">
      <c r="A734" t="s">
        <v>2890</v>
      </c>
      <c r="B734" t="s">
        <v>1907</v>
      </c>
      <c r="C734" t="s">
        <v>4</v>
      </c>
      <c r="D734" t="s">
        <v>2889</v>
      </c>
      <c r="E734" s="2">
        <v>44372</v>
      </c>
      <c r="F734">
        <v>1239</v>
      </c>
      <c r="G734" t="s">
        <v>1746</v>
      </c>
      <c r="H734" t="s">
        <v>1798</v>
      </c>
      <c r="I734" t="b">
        <v>0</v>
      </c>
      <c r="J734" t="s">
        <v>1748</v>
      </c>
      <c r="K734" t="s">
        <v>1822</v>
      </c>
      <c r="L734" t="s">
        <v>1750</v>
      </c>
      <c r="M734">
        <v>466</v>
      </c>
      <c r="N734" t="b">
        <v>1</v>
      </c>
      <c r="O734">
        <v>534</v>
      </c>
      <c r="P734" t="s">
        <v>1752</v>
      </c>
      <c r="Q734" t="s">
        <v>1753</v>
      </c>
    </row>
    <row r="735" spans="1:18" x14ac:dyDescent="0.25">
      <c r="A735" t="s">
        <v>2892</v>
      </c>
      <c r="B735" t="s">
        <v>1907</v>
      </c>
      <c r="C735" t="s">
        <v>6</v>
      </c>
      <c r="D735" t="s">
        <v>2891</v>
      </c>
      <c r="E735" s="2">
        <v>44630</v>
      </c>
      <c r="F735">
        <v>981</v>
      </c>
      <c r="G735" t="s">
        <v>1746</v>
      </c>
      <c r="H735" t="s">
        <v>1798</v>
      </c>
      <c r="I735" t="b">
        <v>0</v>
      </c>
      <c r="J735" t="s">
        <v>1761</v>
      </c>
      <c r="K735" t="s">
        <v>1826</v>
      </c>
      <c r="L735" t="s">
        <v>1817</v>
      </c>
      <c r="M735">
        <v>465</v>
      </c>
      <c r="N735" t="b">
        <v>1</v>
      </c>
      <c r="O735">
        <v>4600</v>
      </c>
      <c r="P735" t="s">
        <v>1819</v>
      </c>
      <c r="Q735" t="s">
        <v>1753</v>
      </c>
      <c r="R735" t="s">
        <v>1759</v>
      </c>
    </row>
    <row r="736" spans="1:18" x14ac:dyDescent="0.25">
      <c r="A736" t="s">
        <v>2893</v>
      </c>
      <c r="B736" t="s">
        <v>1768</v>
      </c>
      <c r="C736" t="s">
        <v>6</v>
      </c>
      <c r="D736" t="s">
        <v>1148</v>
      </c>
      <c r="E736" s="2">
        <v>37193</v>
      </c>
      <c r="F736">
        <v>8418</v>
      </c>
      <c r="G736" t="s">
        <v>1746</v>
      </c>
      <c r="H736" t="s">
        <v>1798</v>
      </c>
      <c r="I736" t="b">
        <v>1</v>
      </c>
      <c r="J736" t="s">
        <v>1761</v>
      </c>
      <c r="K736" t="s">
        <v>1863</v>
      </c>
      <c r="L736" t="s">
        <v>1750</v>
      </c>
      <c r="M736">
        <v>465</v>
      </c>
      <c r="N736" t="b">
        <v>0</v>
      </c>
      <c r="O736">
        <v>50</v>
      </c>
      <c r="P736" t="s">
        <v>1752</v>
      </c>
      <c r="Q736" t="s">
        <v>1753</v>
      </c>
      <c r="R736" t="s">
        <v>1828</v>
      </c>
    </row>
    <row r="737" spans="1:18" x14ac:dyDescent="0.25">
      <c r="A737" t="s">
        <v>2895</v>
      </c>
      <c r="B737" t="s">
        <v>1785</v>
      </c>
      <c r="C737" t="s">
        <v>4</v>
      </c>
      <c r="D737" t="s">
        <v>2894</v>
      </c>
      <c r="E737" s="2">
        <v>42814</v>
      </c>
      <c r="F737">
        <v>2797</v>
      </c>
      <c r="G737" t="s">
        <v>1746</v>
      </c>
      <c r="H737" t="s">
        <v>1747</v>
      </c>
      <c r="I737" t="b">
        <v>1</v>
      </c>
      <c r="J737" t="s">
        <v>1748</v>
      </c>
      <c r="K737" t="s">
        <v>1824</v>
      </c>
      <c r="L737" t="s">
        <v>1750</v>
      </c>
      <c r="M737">
        <v>464</v>
      </c>
      <c r="N737" t="b">
        <v>0</v>
      </c>
      <c r="O737">
        <v>31</v>
      </c>
      <c r="P737" t="s">
        <v>1752</v>
      </c>
      <c r="Q737" t="s">
        <v>1753</v>
      </c>
    </row>
    <row r="738" spans="1:18" x14ac:dyDescent="0.25">
      <c r="A738" t="s">
        <v>2896</v>
      </c>
      <c r="B738" t="s">
        <v>1810</v>
      </c>
      <c r="C738" t="s">
        <v>4</v>
      </c>
      <c r="D738" t="s">
        <v>1701</v>
      </c>
      <c r="E738" s="2">
        <v>43137</v>
      </c>
      <c r="F738">
        <v>2474</v>
      </c>
      <c r="G738" t="s">
        <v>1746</v>
      </c>
      <c r="H738" t="s">
        <v>1747</v>
      </c>
      <c r="I738" t="b">
        <v>1</v>
      </c>
      <c r="J738" t="s">
        <v>1761</v>
      </c>
      <c r="K738" t="s">
        <v>1755</v>
      </c>
      <c r="L738" t="s">
        <v>1817</v>
      </c>
      <c r="M738">
        <v>463</v>
      </c>
      <c r="N738" t="b">
        <v>0</v>
      </c>
      <c r="O738">
        <v>815</v>
      </c>
      <c r="P738" t="s">
        <v>1819</v>
      </c>
      <c r="Q738" t="s">
        <v>1753</v>
      </c>
      <c r="R738" t="s">
        <v>1759</v>
      </c>
    </row>
    <row r="739" spans="1:18" x14ac:dyDescent="0.25">
      <c r="A739" t="s">
        <v>2897</v>
      </c>
      <c r="B739" t="s">
        <v>1876</v>
      </c>
      <c r="C739" t="s">
        <v>4</v>
      </c>
      <c r="D739" t="s">
        <v>218</v>
      </c>
      <c r="E739" s="2">
        <v>44168</v>
      </c>
      <c r="F739">
        <v>1443</v>
      </c>
      <c r="G739" t="s">
        <v>1833</v>
      </c>
      <c r="H739" t="s">
        <v>1747</v>
      </c>
      <c r="I739" t="b">
        <v>0</v>
      </c>
      <c r="J739" t="s">
        <v>1748</v>
      </c>
      <c r="K739" t="s">
        <v>1755</v>
      </c>
      <c r="L739" t="s">
        <v>1750</v>
      </c>
      <c r="M739">
        <v>462</v>
      </c>
      <c r="N739" t="b">
        <v>1</v>
      </c>
      <c r="O739">
        <v>107</v>
      </c>
      <c r="P739" t="s">
        <v>1752</v>
      </c>
      <c r="Q739" t="s">
        <v>1753</v>
      </c>
      <c r="R739" t="s">
        <v>2028</v>
      </c>
    </row>
    <row r="740" spans="1:18" x14ac:dyDescent="0.25">
      <c r="A740" t="s">
        <v>2898</v>
      </c>
      <c r="B740" t="s">
        <v>1810</v>
      </c>
      <c r="C740" t="s">
        <v>4</v>
      </c>
      <c r="D740" t="s">
        <v>1257</v>
      </c>
      <c r="E740" s="2">
        <v>42088</v>
      </c>
      <c r="F740">
        <v>3523</v>
      </c>
      <c r="G740" t="s">
        <v>1746</v>
      </c>
      <c r="H740" t="s">
        <v>1747</v>
      </c>
      <c r="I740" t="b">
        <v>0</v>
      </c>
      <c r="J740" t="s">
        <v>1748</v>
      </c>
      <c r="K740" t="s">
        <v>1913</v>
      </c>
      <c r="L740" t="s">
        <v>1750</v>
      </c>
      <c r="M740">
        <v>461</v>
      </c>
      <c r="N740" t="b">
        <v>0</v>
      </c>
      <c r="O740">
        <v>82</v>
      </c>
      <c r="P740" t="s">
        <v>1752</v>
      </c>
      <c r="Q740" t="s">
        <v>1753</v>
      </c>
      <c r="R740" t="s">
        <v>1759</v>
      </c>
    </row>
    <row r="741" spans="1:18" x14ac:dyDescent="0.25">
      <c r="A741" t="s">
        <v>2900</v>
      </c>
      <c r="B741" t="s">
        <v>1978</v>
      </c>
      <c r="C741" t="s">
        <v>4</v>
      </c>
      <c r="D741" t="s">
        <v>2899</v>
      </c>
      <c r="E741" s="2">
        <v>42880</v>
      </c>
      <c r="F741">
        <v>2731</v>
      </c>
      <c r="G741" t="s">
        <v>1746</v>
      </c>
      <c r="H741" t="s">
        <v>1747</v>
      </c>
      <c r="I741" t="b">
        <v>0</v>
      </c>
      <c r="J741" t="s">
        <v>1748</v>
      </c>
      <c r="K741" t="s">
        <v>1808</v>
      </c>
      <c r="L741" t="s">
        <v>2102</v>
      </c>
      <c r="M741">
        <v>459</v>
      </c>
      <c r="N741" t="b">
        <v>0</v>
      </c>
      <c r="P741" t="s">
        <v>2070</v>
      </c>
      <c r="Q741" t="s">
        <v>1753</v>
      </c>
    </row>
    <row r="742" spans="1:18" x14ac:dyDescent="0.25">
      <c r="A742" t="s">
        <v>2902</v>
      </c>
      <c r="B742" t="s">
        <v>2173</v>
      </c>
      <c r="C742" t="s">
        <v>6</v>
      </c>
      <c r="D742" t="s">
        <v>2901</v>
      </c>
      <c r="E742" s="2">
        <v>41606</v>
      </c>
      <c r="F742">
        <v>4005</v>
      </c>
      <c r="G742" t="s">
        <v>1746</v>
      </c>
      <c r="H742" t="s">
        <v>2231</v>
      </c>
      <c r="I742" t="b">
        <v>1</v>
      </c>
      <c r="J742" t="s">
        <v>1761</v>
      </c>
      <c r="K742" t="s">
        <v>1755</v>
      </c>
      <c r="L742" t="s">
        <v>1750</v>
      </c>
      <c r="M742">
        <v>459</v>
      </c>
      <c r="N742" t="b">
        <v>0</v>
      </c>
      <c r="O742">
        <v>46</v>
      </c>
      <c r="P742" t="s">
        <v>1752</v>
      </c>
      <c r="Q742" t="s">
        <v>1753</v>
      </c>
    </row>
    <row r="743" spans="1:18" x14ac:dyDescent="0.25">
      <c r="A743" t="s">
        <v>2903</v>
      </c>
      <c r="B743" t="s">
        <v>1860</v>
      </c>
      <c r="C743" t="s">
        <v>4</v>
      </c>
      <c r="D743" t="s">
        <v>1112</v>
      </c>
      <c r="E743" s="2">
        <v>43549</v>
      </c>
      <c r="F743">
        <v>2062</v>
      </c>
      <c r="G743" t="s">
        <v>1746</v>
      </c>
      <c r="H743" t="s">
        <v>1798</v>
      </c>
      <c r="I743" t="b">
        <v>0</v>
      </c>
      <c r="J743" t="s">
        <v>1748</v>
      </c>
      <c r="K743" t="s">
        <v>1986</v>
      </c>
      <c r="L743" t="s">
        <v>1750</v>
      </c>
      <c r="M743">
        <v>459</v>
      </c>
      <c r="N743" t="b">
        <v>1</v>
      </c>
      <c r="O743">
        <v>316</v>
      </c>
      <c r="P743" t="s">
        <v>1752</v>
      </c>
      <c r="Q743" t="s">
        <v>1753</v>
      </c>
    </row>
    <row r="744" spans="1:18" x14ac:dyDescent="0.25">
      <c r="A744" t="s">
        <v>2904</v>
      </c>
      <c r="B744" t="s">
        <v>1829</v>
      </c>
      <c r="C744" t="s">
        <v>6</v>
      </c>
      <c r="D744" t="s">
        <v>1124</v>
      </c>
      <c r="E744" s="2">
        <v>43679</v>
      </c>
      <c r="F744">
        <v>1932</v>
      </c>
      <c r="G744" t="s">
        <v>1746</v>
      </c>
      <c r="H744" t="s">
        <v>1798</v>
      </c>
      <c r="I744" t="b">
        <v>0</v>
      </c>
      <c r="J744" t="s">
        <v>1748</v>
      </c>
      <c r="K744" t="s">
        <v>1857</v>
      </c>
      <c r="L744" t="s">
        <v>1817</v>
      </c>
      <c r="M744">
        <v>457</v>
      </c>
      <c r="N744" t="b">
        <v>1</v>
      </c>
      <c r="O744">
        <v>802</v>
      </c>
      <c r="P744" t="s">
        <v>1819</v>
      </c>
      <c r="Q744" t="s">
        <v>1753</v>
      </c>
      <c r="R744" t="s">
        <v>1772</v>
      </c>
    </row>
    <row r="745" spans="1:18" x14ac:dyDescent="0.25">
      <c r="A745" t="s">
        <v>2905</v>
      </c>
      <c r="B745" t="s">
        <v>1763</v>
      </c>
      <c r="C745" t="s">
        <v>4</v>
      </c>
      <c r="D745" t="s">
        <v>1329</v>
      </c>
      <c r="E745" s="2">
        <v>42424</v>
      </c>
      <c r="F745">
        <v>3187</v>
      </c>
      <c r="G745" t="s">
        <v>1746</v>
      </c>
      <c r="H745" t="s">
        <v>1747</v>
      </c>
      <c r="I745" t="b">
        <v>0</v>
      </c>
      <c r="J745" t="s">
        <v>1761</v>
      </c>
      <c r="K745" t="s">
        <v>1863</v>
      </c>
      <c r="L745" t="s">
        <v>1817</v>
      </c>
      <c r="M745">
        <v>457</v>
      </c>
      <c r="N745" t="b">
        <v>0</v>
      </c>
      <c r="O745">
        <v>7086</v>
      </c>
      <c r="P745" t="s">
        <v>1819</v>
      </c>
      <c r="Q745" t="s">
        <v>1753</v>
      </c>
      <c r="R745" t="s">
        <v>1759</v>
      </c>
    </row>
    <row r="746" spans="1:18" x14ac:dyDescent="0.25">
      <c r="A746" t="s">
        <v>2907</v>
      </c>
      <c r="B746" t="s">
        <v>1785</v>
      </c>
      <c r="C746" t="s">
        <v>4</v>
      </c>
      <c r="D746" t="s">
        <v>2906</v>
      </c>
      <c r="E746" s="2">
        <v>43241</v>
      </c>
      <c r="F746">
        <v>2370</v>
      </c>
      <c r="G746" t="s">
        <v>1746</v>
      </c>
      <c r="H746" t="s">
        <v>1747</v>
      </c>
      <c r="I746" t="b">
        <v>1</v>
      </c>
      <c r="J746" t="s">
        <v>1748</v>
      </c>
      <c r="K746" t="s">
        <v>1880</v>
      </c>
      <c r="L746" t="s">
        <v>1756</v>
      </c>
      <c r="M746">
        <v>457</v>
      </c>
      <c r="N746" t="b">
        <v>0</v>
      </c>
      <c r="O746">
        <v>41</v>
      </c>
      <c r="P746" t="s">
        <v>1752</v>
      </c>
      <c r="Q746" t="s">
        <v>1753</v>
      </c>
    </row>
    <row r="747" spans="1:18" x14ac:dyDescent="0.25">
      <c r="A747" t="s">
        <v>2908</v>
      </c>
      <c r="B747" t="s">
        <v>1781</v>
      </c>
      <c r="C747" t="s">
        <v>4</v>
      </c>
      <c r="D747" t="s">
        <v>229</v>
      </c>
      <c r="E747" s="2">
        <v>44672</v>
      </c>
      <c r="F747">
        <v>939</v>
      </c>
      <c r="G747" t="s">
        <v>1746</v>
      </c>
      <c r="H747" t="s">
        <v>1747</v>
      </c>
      <c r="I747" t="b">
        <v>0</v>
      </c>
      <c r="J747" t="s">
        <v>1748</v>
      </c>
      <c r="K747" t="s">
        <v>1843</v>
      </c>
      <c r="L747" t="s">
        <v>1750</v>
      </c>
      <c r="M747">
        <v>456</v>
      </c>
      <c r="N747" t="b">
        <v>0</v>
      </c>
      <c r="O747">
        <v>100</v>
      </c>
      <c r="P747" t="s">
        <v>1752</v>
      </c>
      <c r="Q747" t="s">
        <v>1753</v>
      </c>
      <c r="R747" t="s">
        <v>1759</v>
      </c>
    </row>
    <row r="748" spans="1:18" x14ac:dyDescent="0.25">
      <c r="A748" t="s">
        <v>2909</v>
      </c>
      <c r="B748" t="s">
        <v>1768</v>
      </c>
      <c r="C748" t="s">
        <v>4</v>
      </c>
      <c r="D748" t="s">
        <v>781</v>
      </c>
      <c r="E748" s="2">
        <v>43123</v>
      </c>
      <c r="F748">
        <v>2488</v>
      </c>
      <c r="G748" t="s">
        <v>1746</v>
      </c>
      <c r="H748" t="s">
        <v>1747</v>
      </c>
      <c r="I748" t="b">
        <v>0</v>
      </c>
      <c r="J748" t="s">
        <v>1748</v>
      </c>
      <c r="K748" t="s">
        <v>1830</v>
      </c>
      <c r="L748" t="s">
        <v>1750</v>
      </c>
      <c r="M748">
        <v>456</v>
      </c>
      <c r="N748" t="b">
        <v>0</v>
      </c>
      <c r="O748">
        <v>34</v>
      </c>
      <c r="P748" t="s">
        <v>1752</v>
      </c>
      <c r="Q748" t="s">
        <v>1753</v>
      </c>
      <c r="R748" t="s">
        <v>1759</v>
      </c>
    </row>
    <row r="749" spans="1:18" x14ac:dyDescent="0.25">
      <c r="A749" t="s">
        <v>2911</v>
      </c>
      <c r="B749" t="s">
        <v>2032</v>
      </c>
      <c r="C749" t="s">
        <v>4</v>
      </c>
      <c r="D749" t="s">
        <v>2910</v>
      </c>
      <c r="E749" s="2">
        <v>43732</v>
      </c>
      <c r="F749">
        <v>1879</v>
      </c>
      <c r="G749" t="s">
        <v>1746</v>
      </c>
      <c r="H749" t="s">
        <v>1747</v>
      </c>
      <c r="I749" t="b">
        <v>1</v>
      </c>
      <c r="J749" t="s">
        <v>1748</v>
      </c>
      <c r="K749" t="s">
        <v>1824</v>
      </c>
      <c r="L749" t="s">
        <v>1750</v>
      </c>
      <c r="M749">
        <v>455</v>
      </c>
      <c r="N749" t="b">
        <v>0</v>
      </c>
      <c r="O749">
        <v>380</v>
      </c>
      <c r="P749" t="s">
        <v>1752</v>
      </c>
      <c r="Q749" t="s">
        <v>1753</v>
      </c>
      <c r="R749" t="s">
        <v>2028</v>
      </c>
    </row>
    <row r="750" spans="1:18" x14ac:dyDescent="0.25">
      <c r="A750" t="s">
        <v>2912</v>
      </c>
      <c r="B750" t="s">
        <v>1810</v>
      </c>
      <c r="C750" t="s">
        <v>4</v>
      </c>
      <c r="D750" t="s">
        <v>605</v>
      </c>
      <c r="E750" s="2">
        <v>42020</v>
      </c>
      <c r="F750">
        <v>3591</v>
      </c>
      <c r="G750" t="s">
        <v>1746</v>
      </c>
      <c r="H750" t="s">
        <v>1798</v>
      </c>
      <c r="I750" t="b">
        <v>1</v>
      </c>
      <c r="J750" t="s">
        <v>1748</v>
      </c>
      <c r="K750" t="s">
        <v>1776</v>
      </c>
      <c r="L750" t="s">
        <v>1756</v>
      </c>
      <c r="M750">
        <v>455</v>
      </c>
      <c r="N750" t="b">
        <v>0</v>
      </c>
      <c r="O750">
        <v>122</v>
      </c>
      <c r="P750" t="s">
        <v>1752</v>
      </c>
      <c r="Q750" t="s">
        <v>1753</v>
      </c>
      <c r="R750" t="s">
        <v>1828</v>
      </c>
    </row>
    <row r="751" spans="1:18" x14ac:dyDescent="0.25">
      <c r="A751" t="s">
        <v>2913</v>
      </c>
      <c r="B751" t="s">
        <v>2269</v>
      </c>
      <c r="C751" t="s">
        <v>6</v>
      </c>
      <c r="D751" t="s">
        <v>1602</v>
      </c>
      <c r="E751" s="2">
        <v>41044</v>
      </c>
      <c r="F751">
        <v>4567</v>
      </c>
      <c r="G751" t="s">
        <v>1746</v>
      </c>
      <c r="H751" t="s">
        <v>1798</v>
      </c>
      <c r="I751" t="b">
        <v>1</v>
      </c>
      <c r="J751" t="s">
        <v>1748</v>
      </c>
      <c r="K751" t="s">
        <v>2021</v>
      </c>
      <c r="L751" t="s">
        <v>1750</v>
      </c>
      <c r="M751">
        <v>455</v>
      </c>
      <c r="N751" t="b">
        <v>0</v>
      </c>
      <c r="O751">
        <v>198</v>
      </c>
      <c r="P751" t="s">
        <v>1752</v>
      </c>
      <c r="Q751" t="s">
        <v>1753</v>
      </c>
    </row>
    <row r="752" spans="1:18" x14ac:dyDescent="0.25">
      <c r="A752" t="s">
        <v>2914</v>
      </c>
      <c r="B752" t="s">
        <v>1876</v>
      </c>
      <c r="C752" t="s">
        <v>4</v>
      </c>
      <c r="D752" t="s">
        <v>357</v>
      </c>
      <c r="E752" s="2">
        <v>44384</v>
      </c>
      <c r="F752">
        <v>1227</v>
      </c>
      <c r="G752" t="s">
        <v>1746</v>
      </c>
      <c r="H752" t="s">
        <v>1747</v>
      </c>
      <c r="I752" t="b">
        <v>0</v>
      </c>
      <c r="J752" t="s">
        <v>1748</v>
      </c>
      <c r="K752" t="s">
        <v>1770</v>
      </c>
      <c r="L752" t="s">
        <v>1750</v>
      </c>
      <c r="M752">
        <v>453</v>
      </c>
      <c r="N752" t="b">
        <v>1</v>
      </c>
      <c r="O752">
        <v>594</v>
      </c>
      <c r="P752" t="s">
        <v>1752</v>
      </c>
      <c r="Q752" t="s">
        <v>1753</v>
      </c>
      <c r="R752" t="s">
        <v>1759</v>
      </c>
    </row>
    <row r="753" spans="1:18" x14ac:dyDescent="0.25">
      <c r="A753" t="s">
        <v>2916</v>
      </c>
      <c r="B753" t="s">
        <v>1866</v>
      </c>
      <c r="C753" t="s">
        <v>572</v>
      </c>
      <c r="D753" t="s">
        <v>2915</v>
      </c>
      <c r="E753" s="2">
        <v>37445</v>
      </c>
      <c r="F753">
        <v>8166</v>
      </c>
      <c r="G753" t="s">
        <v>1746</v>
      </c>
      <c r="H753" t="s">
        <v>1798</v>
      </c>
      <c r="I753" t="b">
        <v>0</v>
      </c>
      <c r="J753" t="s">
        <v>1761</v>
      </c>
      <c r="K753" t="s">
        <v>2053</v>
      </c>
      <c r="L753" t="s">
        <v>1750</v>
      </c>
      <c r="M753">
        <v>453</v>
      </c>
      <c r="N753" t="b">
        <v>0</v>
      </c>
      <c r="O753">
        <v>22</v>
      </c>
      <c r="P753" t="s">
        <v>1752</v>
      </c>
      <c r="Q753" t="s">
        <v>1753</v>
      </c>
      <c r="R753" t="s">
        <v>1828</v>
      </c>
    </row>
    <row r="754" spans="1:18" x14ac:dyDescent="0.25">
      <c r="A754" t="s">
        <v>2917</v>
      </c>
      <c r="B754" t="s">
        <v>2075</v>
      </c>
      <c r="C754" t="s">
        <v>4</v>
      </c>
      <c r="D754" t="s">
        <v>521</v>
      </c>
      <c r="E754" s="2">
        <v>43893</v>
      </c>
      <c r="F754">
        <v>1718</v>
      </c>
      <c r="G754" t="s">
        <v>1746</v>
      </c>
      <c r="H754" t="s">
        <v>1747</v>
      </c>
      <c r="I754" t="b">
        <v>0</v>
      </c>
      <c r="J754" t="s">
        <v>1761</v>
      </c>
      <c r="K754" t="s">
        <v>1824</v>
      </c>
      <c r="L754" t="s">
        <v>1817</v>
      </c>
      <c r="M754">
        <v>453</v>
      </c>
      <c r="N754" t="b">
        <v>1</v>
      </c>
      <c r="O754">
        <v>5611</v>
      </c>
      <c r="P754" t="s">
        <v>1819</v>
      </c>
      <c r="Q754" t="s">
        <v>1753</v>
      </c>
      <c r="R754" t="s">
        <v>1759</v>
      </c>
    </row>
    <row r="755" spans="1:18" x14ac:dyDescent="0.25">
      <c r="A755" t="s">
        <v>2918</v>
      </c>
      <c r="B755" t="s">
        <v>1876</v>
      </c>
      <c r="C755" t="s">
        <v>4</v>
      </c>
      <c r="D755" t="s">
        <v>785</v>
      </c>
      <c r="E755" s="2">
        <v>43648</v>
      </c>
      <c r="F755">
        <v>1963</v>
      </c>
      <c r="G755" t="s">
        <v>1746</v>
      </c>
      <c r="H755" t="s">
        <v>1747</v>
      </c>
      <c r="I755" t="b">
        <v>0</v>
      </c>
      <c r="J755" t="s">
        <v>1748</v>
      </c>
      <c r="K755" t="s">
        <v>1830</v>
      </c>
      <c r="L755" t="s">
        <v>1750</v>
      </c>
      <c r="M755">
        <v>453</v>
      </c>
      <c r="N755" t="b">
        <v>1</v>
      </c>
      <c r="O755">
        <v>56</v>
      </c>
      <c r="P755" t="s">
        <v>1752</v>
      </c>
      <c r="Q755" t="s">
        <v>1753</v>
      </c>
      <c r="R755" t="s">
        <v>1759</v>
      </c>
    </row>
    <row r="756" spans="1:18" x14ac:dyDescent="0.25">
      <c r="A756" t="s">
        <v>2920</v>
      </c>
      <c r="B756" t="s">
        <v>1803</v>
      </c>
      <c r="C756" t="s">
        <v>4</v>
      </c>
      <c r="D756" t="s">
        <v>2919</v>
      </c>
      <c r="E756" s="2">
        <v>43581</v>
      </c>
      <c r="F756">
        <v>2030</v>
      </c>
      <c r="G756" t="s">
        <v>1746</v>
      </c>
      <c r="H756" t="s">
        <v>1798</v>
      </c>
      <c r="I756" t="b">
        <v>1</v>
      </c>
      <c r="J756" t="s">
        <v>1748</v>
      </c>
      <c r="K756" t="s">
        <v>1868</v>
      </c>
      <c r="L756" t="s">
        <v>1817</v>
      </c>
      <c r="M756">
        <v>452</v>
      </c>
      <c r="N756" t="b">
        <v>0</v>
      </c>
      <c r="O756">
        <v>638</v>
      </c>
      <c r="P756" t="s">
        <v>1819</v>
      </c>
      <c r="Q756" t="s">
        <v>1753</v>
      </c>
      <c r="R756" t="s">
        <v>1772</v>
      </c>
    </row>
    <row r="757" spans="1:18" x14ac:dyDescent="0.25">
      <c r="A757" t="s">
        <v>2922</v>
      </c>
      <c r="B757" t="s">
        <v>1803</v>
      </c>
      <c r="C757" t="s">
        <v>4</v>
      </c>
      <c r="D757" t="s">
        <v>2921</v>
      </c>
      <c r="E757" s="2">
        <v>43446</v>
      </c>
      <c r="F757">
        <v>2165</v>
      </c>
      <c r="G757" t="s">
        <v>1746</v>
      </c>
      <c r="H757" t="s">
        <v>1798</v>
      </c>
      <c r="I757" t="b">
        <v>1</v>
      </c>
      <c r="J757" t="s">
        <v>1748</v>
      </c>
      <c r="K757" t="s">
        <v>2021</v>
      </c>
      <c r="L757" t="s">
        <v>1750</v>
      </c>
      <c r="M757">
        <v>451</v>
      </c>
      <c r="N757" t="b">
        <v>0</v>
      </c>
      <c r="O757">
        <v>53</v>
      </c>
      <c r="P757" t="s">
        <v>2266</v>
      </c>
      <c r="Q757" t="s">
        <v>1753</v>
      </c>
      <c r="R757" t="s">
        <v>1828</v>
      </c>
    </row>
    <row r="758" spans="1:18" x14ac:dyDescent="0.25">
      <c r="A758" t="s">
        <v>2923</v>
      </c>
      <c r="B758" t="s">
        <v>1876</v>
      </c>
      <c r="C758" t="s">
        <v>4</v>
      </c>
      <c r="D758" t="s">
        <v>293</v>
      </c>
      <c r="E758" s="2">
        <v>44502</v>
      </c>
      <c r="F758">
        <v>1109</v>
      </c>
      <c r="G758" t="s">
        <v>1746</v>
      </c>
      <c r="H758" t="s">
        <v>1747</v>
      </c>
      <c r="I758" t="b">
        <v>0</v>
      </c>
      <c r="J758" t="s">
        <v>1748</v>
      </c>
      <c r="K758" t="s">
        <v>2053</v>
      </c>
      <c r="L758" t="s">
        <v>1750</v>
      </c>
      <c r="M758">
        <v>451</v>
      </c>
      <c r="N758" t="b">
        <v>0</v>
      </c>
      <c r="O758">
        <v>99</v>
      </c>
      <c r="P758" t="s">
        <v>1752</v>
      </c>
      <c r="Q758" t="s">
        <v>1753</v>
      </c>
    </row>
    <row r="759" spans="1:18" x14ac:dyDescent="0.25">
      <c r="A759" t="s">
        <v>712</v>
      </c>
      <c r="B759" t="s">
        <v>2269</v>
      </c>
      <c r="C759" t="s">
        <v>572</v>
      </c>
      <c r="D759" t="s">
        <v>713</v>
      </c>
      <c r="E759" s="2">
        <v>38323</v>
      </c>
      <c r="F759">
        <v>7288</v>
      </c>
      <c r="G759" t="s">
        <v>1746</v>
      </c>
      <c r="H759" t="s">
        <v>1798</v>
      </c>
      <c r="I759" t="b">
        <v>0</v>
      </c>
      <c r="J759" t="s">
        <v>1761</v>
      </c>
      <c r="K759" t="s">
        <v>1822</v>
      </c>
      <c r="L759" t="s">
        <v>1817</v>
      </c>
      <c r="M759">
        <v>450</v>
      </c>
      <c r="N759" t="b">
        <v>0</v>
      </c>
      <c r="O759">
        <v>269</v>
      </c>
      <c r="P759" t="s">
        <v>1819</v>
      </c>
      <c r="Q759" t="s">
        <v>1753</v>
      </c>
    </row>
    <row r="760" spans="1:18" x14ac:dyDescent="0.25">
      <c r="A760" t="s">
        <v>2925</v>
      </c>
      <c r="B760" t="s">
        <v>1803</v>
      </c>
      <c r="C760" t="s">
        <v>572</v>
      </c>
      <c r="D760" t="s">
        <v>2924</v>
      </c>
      <c r="E760" s="2">
        <v>38475</v>
      </c>
      <c r="F760">
        <v>7136</v>
      </c>
      <c r="G760" t="s">
        <v>1746</v>
      </c>
      <c r="H760" t="s">
        <v>1798</v>
      </c>
      <c r="I760" t="b">
        <v>0</v>
      </c>
      <c r="J760" t="s">
        <v>1761</v>
      </c>
      <c r="K760" t="s">
        <v>1879</v>
      </c>
      <c r="L760" t="s">
        <v>1750</v>
      </c>
      <c r="M760">
        <v>449</v>
      </c>
      <c r="N760" t="b">
        <v>0</v>
      </c>
      <c r="O760">
        <v>30</v>
      </c>
      <c r="P760" t="s">
        <v>1752</v>
      </c>
      <c r="Q760" t="s">
        <v>1753</v>
      </c>
      <c r="R760" t="s">
        <v>1828</v>
      </c>
    </row>
    <row r="761" spans="1:18" x14ac:dyDescent="0.25">
      <c r="A761" t="s">
        <v>2926</v>
      </c>
      <c r="B761" t="s">
        <v>1810</v>
      </c>
      <c r="C761" t="s">
        <v>6</v>
      </c>
      <c r="D761" t="s">
        <v>1546</v>
      </c>
      <c r="E761" s="2">
        <v>39464</v>
      </c>
      <c r="F761">
        <v>6147</v>
      </c>
      <c r="G761" t="s">
        <v>1746</v>
      </c>
      <c r="H761" t="s">
        <v>1798</v>
      </c>
      <c r="I761" t="b">
        <v>0</v>
      </c>
      <c r="J761" t="s">
        <v>1748</v>
      </c>
      <c r="K761" t="s">
        <v>1751</v>
      </c>
      <c r="L761" t="s">
        <v>1766</v>
      </c>
      <c r="M761">
        <v>448</v>
      </c>
      <c r="N761" t="b">
        <v>0</v>
      </c>
      <c r="P761" t="s">
        <v>1752</v>
      </c>
      <c r="Q761" t="s">
        <v>1753</v>
      </c>
      <c r="R761" t="s">
        <v>1759</v>
      </c>
    </row>
    <row r="762" spans="1:18" x14ac:dyDescent="0.25">
      <c r="A762" t="s">
        <v>1707</v>
      </c>
      <c r="B762" t="s">
        <v>2235</v>
      </c>
      <c r="C762" t="s">
        <v>2338</v>
      </c>
      <c r="D762" t="s">
        <v>2927</v>
      </c>
      <c r="E762" s="2">
        <v>43529</v>
      </c>
      <c r="F762">
        <v>2082</v>
      </c>
      <c r="G762" t="s">
        <v>1746</v>
      </c>
      <c r="H762" t="s">
        <v>1747</v>
      </c>
      <c r="I762" t="b">
        <v>0</v>
      </c>
      <c r="J762" t="s">
        <v>1748</v>
      </c>
      <c r="K762" t="s">
        <v>1845</v>
      </c>
      <c r="L762" t="s">
        <v>1775</v>
      </c>
      <c r="M762">
        <v>448</v>
      </c>
      <c r="N762" t="b">
        <v>0</v>
      </c>
      <c r="P762" t="s">
        <v>2283</v>
      </c>
      <c r="Q762" t="s">
        <v>1705</v>
      </c>
    </row>
    <row r="763" spans="1:18" x14ac:dyDescent="0.25">
      <c r="A763" t="s">
        <v>2929</v>
      </c>
      <c r="B763" t="s">
        <v>2173</v>
      </c>
      <c r="C763" t="s">
        <v>4</v>
      </c>
      <c r="D763" t="s">
        <v>2928</v>
      </c>
      <c r="E763" s="2">
        <v>40527</v>
      </c>
      <c r="F763">
        <v>5084</v>
      </c>
      <c r="G763" t="s">
        <v>1746</v>
      </c>
      <c r="H763" t="s">
        <v>1747</v>
      </c>
      <c r="I763" t="b">
        <v>0</v>
      </c>
      <c r="J763" t="s">
        <v>1748</v>
      </c>
      <c r="K763" t="s">
        <v>1824</v>
      </c>
      <c r="L763" t="s">
        <v>2102</v>
      </c>
      <c r="M763">
        <v>447</v>
      </c>
      <c r="N763" t="b">
        <v>0</v>
      </c>
      <c r="P763" t="s">
        <v>1752</v>
      </c>
      <c r="Q763" t="s">
        <v>1753</v>
      </c>
    </row>
    <row r="764" spans="1:18" x14ac:dyDescent="0.25">
      <c r="A764" t="s">
        <v>2931</v>
      </c>
      <c r="B764" t="s">
        <v>2150</v>
      </c>
      <c r="C764" t="s">
        <v>4</v>
      </c>
      <c r="D764" t="s">
        <v>2930</v>
      </c>
      <c r="E764" s="2">
        <v>44278</v>
      </c>
      <c r="F764">
        <v>1333</v>
      </c>
      <c r="G764" t="s">
        <v>1833</v>
      </c>
      <c r="H764" t="s">
        <v>1805</v>
      </c>
      <c r="I764" t="b">
        <v>0</v>
      </c>
      <c r="J764" t="s">
        <v>1748</v>
      </c>
      <c r="K764" t="s">
        <v>1853</v>
      </c>
      <c r="L764" t="s">
        <v>1750</v>
      </c>
      <c r="M764">
        <v>447</v>
      </c>
      <c r="N764" t="b">
        <v>1</v>
      </c>
      <c r="O764">
        <v>326</v>
      </c>
      <c r="P764" t="s">
        <v>1819</v>
      </c>
      <c r="Q764" t="s">
        <v>1753</v>
      </c>
      <c r="R764" t="s">
        <v>1759</v>
      </c>
    </row>
    <row r="765" spans="1:18" x14ac:dyDescent="0.25">
      <c r="A765" t="s">
        <v>2933</v>
      </c>
      <c r="B765" t="s">
        <v>1840</v>
      </c>
      <c r="C765" t="s">
        <v>4</v>
      </c>
      <c r="D765" t="s">
        <v>2932</v>
      </c>
      <c r="E765" s="2">
        <v>42656</v>
      </c>
      <c r="F765">
        <v>2955</v>
      </c>
      <c r="G765" t="s">
        <v>1746</v>
      </c>
      <c r="H765" t="s">
        <v>1747</v>
      </c>
      <c r="I765" t="b">
        <v>1</v>
      </c>
      <c r="J765" t="s">
        <v>1748</v>
      </c>
      <c r="K765" t="s">
        <v>1755</v>
      </c>
      <c r="L765" t="s">
        <v>1756</v>
      </c>
      <c r="M765">
        <v>444</v>
      </c>
      <c r="N765" t="b">
        <v>0</v>
      </c>
      <c r="O765">
        <v>125</v>
      </c>
      <c r="P765" t="s">
        <v>1752</v>
      </c>
      <c r="Q765" t="s">
        <v>1753</v>
      </c>
    </row>
    <row r="766" spans="1:18" x14ac:dyDescent="0.25">
      <c r="A766" t="s">
        <v>2935</v>
      </c>
      <c r="B766" t="s">
        <v>2532</v>
      </c>
      <c r="C766" t="s">
        <v>4</v>
      </c>
      <c r="D766" t="s">
        <v>2934</v>
      </c>
      <c r="E766" s="2">
        <v>43230</v>
      </c>
      <c r="F766">
        <v>2381</v>
      </c>
      <c r="G766" t="s">
        <v>1746</v>
      </c>
      <c r="H766" t="s">
        <v>1747</v>
      </c>
      <c r="I766" t="b">
        <v>1</v>
      </c>
      <c r="J766" t="s">
        <v>1748</v>
      </c>
      <c r="K766" t="s">
        <v>1755</v>
      </c>
      <c r="L766" t="s">
        <v>1817</v>
      </c>
      <c r="M766">
        <v>442</v>
      </c>
      <c r="N766" t="b">
        <v>0</v>
      </c>
      <c r="O766">
        <v>13583</v>
      </c>
      <c r="P766" t="s">
        <v>1819</v>
      </c>
      <c r="Q766" t="s">
        <v>1753</v>
      </c>
      <c r="R766" t="s">
        <v>1759</v>
      </c>
    </row>
    <row r="767" spans="1:18" x14ac:dyDescent="0.25">
      <c r="A767" t="s">
        <v>2936</v>
      </c>
      <c r="B767" t="s">
        <v>1860</v>
      </c>
      <c r="C767" t="s">
        <v>4</v>
      </c>
      <c r="D767" t="s">
        <v>1109</v>
      </c>
      <c r="E767" s="2">
        <v>44427</v>
      </c>
      <c r="F767">
        <v>1184</v>
      </c>
      <c r="G767" t="s">
        <v>1746</v>
      </c>
      <c r="H767" t="s">
        <v>1747</v>
      </c>
      <c r="I767" t="b">
        <v>0</v>
      </c>
      <c r="J767" t="s">
        <v>1748</v>
      </c>
      <c r="K767" t="s">
        <v>1891</v>
      </c>
      <c r="L767" t="s">
        <v>1750</v>
      </c>
      <c r="M767">
        <v>441</v>
      </c>
      <c r="N767" t="b">
        <v>1</v>
      </c>
      <c r="O767">
        <v>765</v>
      </c>
      <c r="P767" t="s">
        <v>1752</v>
      </c>
      <c r="Q767" t="s">
        <v>1753</v>
      </c>
      <c r="R767" t="s">
        <v>1759</v>
      </c>
    </row>
    <row r="768" spans="1:18" x14ac:dyDescent="0.25">
      <c r="A768" t="s">
        <v>2938</v>
      </c>
      <c r="B768" t="s">
        <v>1785</v>
      </c>
      <c r="C768" t="s">
        <v>4</v>
      </c>
      <c r="D768" t="s">
        <v>2937</v>
      </c>
      <c r="E768" s="2">
        <v>43532</v>
      </c>
      <c r="F768">
        <v>2079</v>
      </c>
      <c r="G768" t="s">
        <v>1746</v>
      </c>
      <c r="H768" t="s">
        <v>1747</v>
      </c>
      <c r="I768" t="b">
        <v>0</v>
      </c>
      <c r="J768" t="s">
        <v>1761</v>
      </c>
      <c r="K768" t="s">
        <v>1824</v>
      </c>
      <c r="L768" t="s">
        <v>1756</v>
      </c>
      <c r="M768">
        <v>440</v>
      </c>
      <c r="N768" t="b">
        <v>1</v>
      </c>
      <c r="O768">
        <v>192</v>
      </c>
      <c r="P768" t="s">
        <v>1752</v>
      </c>
      <c r="Q768" t="s">
        <v>1753</v>
      </c>
    </row>
    <row r="769" spans="1:18" x14ac:dyDescent="0.25">
      <c r="A769" t="s">
        <v>2940</v>
      </c>
      <c r="B769" t="s">
        <v>1803</v>
      </c>
      <c r="C769" t="s">
        <v>572</v>
      </c>
      <c r="D769" t="s">
        <v>2939</v>
      </c>
      <c r="E769" s="2">
        <v>38446</v>
      </c>
      <c r="F769">
        <v>7165</v>
      </c>
      <c r="G769" t="s">
        <v>1746</v>
      </c>
      <c r="H769" t="s">
        <v>1798</v>
      </c>
      <c r="I769" t="b">
        <v>0</v>
      </c>
      <c r="J769" t="s">
        <v>1761</v>
      </c>
      <c r="K769" t="s">
        <v>1943</v>
      </c>
      <c r="L769" t="s">
        <v>1750</v>
      </c>
      <c r="M769">
        <v>440</v>
      </c>
      <c r="N769" t="b">
        <v>0</v>
      </c>
      <c r="O769">
        <v>200</v>
      </c>
      <c r="P769" t="s">
        <v>1752</v>
      </c>
      <c r="Q769" t="s">
        <v>1753</v>
      </c>
      <c r="R769" t="s">
        <v>1828</v>
      </c>
    </row>
    <row r="770" spans="1:18" x14ac:dyDescent="0.25">
      <c r="A770" t="s">
        <v>2941</v>
      </c>
      <c r="B770" t="s">
        <v>1768</v>
      </c>
      <c r="C770" t="s">
        <v>4</v>
      </c>
      <c r="D770" t="s">
        <v>615</v>
      </c>
      <c r="E770" s="2">
        <v>43516</v>
      </c>
      <c r="F770">
        <v>2095</v>
      </c>
      <c r="G770" t="s">
        <v>1746</v>
      </c>
      <c r="H770" t="s">
        <v>1747</v>
      </c>
      <c r="I770" t="b">
        <v>1</v>
      </c>
      <c r="J770" t="s">
        <v>1748</v>
      </c>
      <c r="K770" t="s">
        <v>2021</v>
      </c>
      <c r="L770" t="s">
        <v>1756</v>
      </c>
      <c r="M770">
        <v>438</v>
      </c>
      <c r="N770" t="b">
        <v>1</v>
      </c>
      <c r="O770">
        <v>88</v>
      </c>
      <c r="P770" t="s">
        <v>1752</v>
      </c>
      <c r="Q770" t="s">
        <v>1753</v>
      </c>
      <c r="R770" t="s">
        <v>1759</v>
      </c>
    </row>
    <row r="771" spans="1:18" x14ac:dyDescent="0.25">
      <c r="A771" t="s">
        <v>2943</v>
      </c>
      <c r="B771" t="s">
        <v>2144</v>
      </c>
      <c r="C771" t="s">
        <v>4</v>
      </c>
      <c r="D771" t="s">
        <v>2942</v>
      </c>
      <c r="E771" s="2">
        <v>44824</v>
      </c>
      <c r="F771">
        <v>787</v>
      </c>
      <c r="G771" t="s">
        <v>1746</v>
      </c>
      <c r="H771" t="s">
        <v>1798</v>
      </c>
      <c r="I771" t="b">
        <v>1</v>
      </c>
      <c r="J771" t="s">
        <v>1748</v>
      </c>
      <c r="K771" t="s">
        <v>1770</v>
      </c>
      <c r="L771" t="s">
        <v>1750</v>
      </c>
      <c r="M771">
        <v>437</v>
      </c>
      <c r="N771" t="b">
        <v>1</v>
      </c>
      <c r="O771">
        <v>191</v>
      </c>
      <c r="P771" t="s">
        <v>1752</v>
      </c>
      <c r="Q771" t="s">
        <v>1753</v>
      </c>
      <c r="R771" t="s">
        <v>1759</v>
      </c>
    </row>
    <row r="772" spans="1:18" x14ac:dyDescent="0.25">
      <c r="A772" t="s">
        <v>2944</v>
      </c>
      <c r="B772" t="s">
        <v>1876</v>
      </c>
      <c r="C772" t="s">
        <v>4</v>
      </c>
      <c r="D772" t="s">
        <v>213</v>
      </c>
      <c r="E772" s="2">
        <v>43972</v>
      </c>
      <c r="F772">
        <v>1639</v>
      </c>
      <c r="G772" t="s">
        <v>1833</v>
      </c>
      <c r="H772" t="s">
        <v>1747</v>
      </c>
      <c r="I772" t="b">
        <v>0</v>
      </c>
      <c r="J772" t="s">
        <v>1748</v>
      </c>
      <c r="K772" t="s">
        <v>1755</v>
      </c>
      <c r="L772" t="s">
        <v>1750</v>
      </c>
      <c r="M772">
        <v>437</v>
      </c>
      <c r="N772" t="b">
        <v>1</v>
      </c>
      <c r="O772">
        <v>201</v>
      </c>
      <c r="P772" t="s">
        <v>1752</v>
      </c>
      <c r="Q772" t="s">
        <v>1753</v>
      </c>
    </row>
    <row r="773" spans="1:18" x14ac:dyDescent="0.25">
      <c r="A773" t="s">
        <v>2946</v>
      </c>
      <c r="B773" t="s">
        <v>1840</v>
      </c>
      <c r="C773" t="s">
        <v>4</v>
      </c>
      <c r="D773" t="s">
        <v>2945</v>
      </c>
      <c r="E773" s="2">
        <v>42990</v>
      </c>
      <c r="F773">
        <v>2621</v>
      </c>
      <c r="G773" t="s">
        <v>1746</v>
      </c>
      <c r="H773" t="s">
        <v>1747</v>
      </c>
      <c r="I773" t="b">
        <v>1</v>
      </c>
      <c r="J773" t="s">
        <v>1761</v>
      </c>
      <c r="K773" t="s">
        <v>1774</v>
      </c>
      <c r="L773" t="s">
        <v>1750</v>
      </c>
      <c r="M773">
        <v>437</v>
      </c>
      <c r="N773" t="b">
        <v>0</v>
      </c>
      <c r="O773">
        <v>53</v>
      </c>
      <c r="P773" t="s">
        <v>1752</v>
      </c>
      <c r="Q773" t="s">
        <v>1753</v>
      </c>
    </row>
    <row r="774" spans="1:18" x14ac:dyDescent="0.25">
      <c r="A774" t="s">
        <v>2948</v>
      </c>
      <c r="B774" t="s">
        <v>2949</v>
      </c>
      <c r="C774" t="s">
        <v>6</v>
      </c>
      <c r="D774" t="s">
        <v>2947</v>
      </c>
      <c r="E774" s="2">
        <v>40162</v>
      </c>
      <c r="F774">
        <v>5449</v>
      </c>
      <c r="G774" t="s">
        <v>1746</v>
      </c>
      <c r="H774" t="s">
        <v>1798</v>
      </c>
      <c r="I774" t="b">
        <v>0</v>
      </c>
      <c r="J774" t="s">
        <v>1748</v>
      </c>
      <c r="K774" t="s">
        <v>1824</v>
      </c>
      <c r="L774" t="s">
        <v>1750</v>
      </c>
      <c r="M774">
        <v>434</v>
      </c>
      <c r="N774" t="b">
        <v>1</v>
      </c>
      <c r="O774">
        <v>181</v>
      </c>
      <c r="P774" t="s">
        <v>1752</v>
      </c>
      <c r="Q774" t="s">
        <v>1753</v>
      </c>
      <c r="R774" t="s">
        <v>1828</v>
      </c>
    </row>
    <row r="775" spans="1:18" x14ac:dyDescent="0.25">
      <c r="A775" t="s">
        <v>2950</v>
      </c>
      <c r="B775" t="s">
        <v>1860</v>
      </c>
      <c r="C775" t="s">
        <v>4</v>
      </c>
      <c r="D775" t="s">
        <v>506</v>
      </c>
      <c r="E775" s="2">
        <v>43536</v>
      </c>
      <c r="F775">
        <v>2075</v>
      </c>
      <c r="G775" t="s">
        <v>1746</v>
      </c>
      <c r="H775" t="s">
        <v>1798</v>
      </c>
      <c r="I775" t="b">
        <v>1</v>
      </c>
      <c r="J775" t="s">
        <v>1761</v>
      </c>
      <c r="K775" t="s">
        <v>1822</v>
      </c>
      <c r="L775" t="s">
        <v>1817</v>
      </c>
      <c r="M775">
        <v>433</v>
      </c>
      <c r="N775" t="b">
        <v>0</v>
      </c>
      <c r="O775">
        <v>12</v>
      </c>
      <c r="P775" t="s">
        <v>1819</v>
      </c>
      <c r="Q775" t="s">
        <v>1753</v>
      </c>
    </row>
    <row r="776" spans="1:18" x14ac:dyDescent="0.25">
      <c r="A776" t="s">
        <v>2952</v>
      </c>
      <c r="B776" t="s">
        <v>1907</v>
      </c>
      <c r="C776" t="s">
        <v>4</v>
      </c>
      <c r="D776" t="s">
        <v>2951</v>
      </c>
      <c r="E776" s="2">
        <v>44839</v>
      </c>
      <c r="F776">
        <v>772</v>
      </c>
      <c r="G776" t="s">
        <v>1746</v>
      </c>
      <c r="H776" t="s">
        <v>1798</v>
      </c>
      <c r="I776" t="b">
        <v>1</v>
      </c>
      <c r="J776" t="s">
        <v>1761</v>
      </c>
      <c r="K776" t="s">
        <v>1863</v>
      </c>
      <c r="L776" t="s">
        <v>1817</v>
      </c>
      <c r="M776">
        <v>432</v>
      </c>
      <c r="N776" t="b">
        <v>0</v>
      </c>
      <c r="O776">
        <v>66</v>
      </c>
      <c r="P776" t="s">
        <v>1819</v>
      </c>
      <c r="Q776" t="s">
        <v>1753</v>
      </c>
    </row>
    <row r="777" spans="1:18" x14ac:dyDescent="0.25">
      <c r="A777" t="s">
        <v>2953</v>
      </c>
      <c r="B777" t="s">
        <v>2384</v>
      </c>
      <c r="C777" t="s">
        <v>4</v>
      </c>
      <c r="D777" t="s">
        <v>1284</v>
      </c>
      <c r="E777" s="2">
        <v>44278</v>
      </c>
      <c r="F777">
        <v>1333</v>
      </c>
      <c r="G777" t="s">
        <v>1746</v>
      </c>
      <c r="H777" t="s">
        <v>1747</v>
      </c>
      <c r="I777" t="b">
        <v>1</v>
      </c>
      <c r="J777" t="s">
        <v>1748</v>
      </c>
      <c r="K777" t="s">
        <v>1988</v>
      </c>
      <c r="L777" t="s">
        <v>1756</v>
      </c>
      <c r="M777">
        <v>431</v>
      </c>
      <c r="N777" t="b">
        <v>1</v>
      </c>
      <c r="O777">
        <v>5815</v>
      </c>
      <c r="P777" t="s">
        <v>1752</v>
      </c>
      <c r="Q777" t="s">
        <v>1753</v>
      </c>
      <c r="R777" t="s">
        <v>1759</v>
      </c>
    </row>
    <row r="778" spans="1:18" x14ac:dyDescent="0.25">
      <c r="A778" t="s">
        <v>2955</v>
      </c>
      <c r="B778" t="s">
        <v>1907</v>
      </c>
      <c r="C778" t="s">
        <v>572</v>
      </c>
      <c r="D778" t="s">
        <v>2954</v>
      </c>
      <c r="E778" s="2">
        <v>44008</v>
      </c>
      <c r="F778">
        <v>1603</v>
      </c>
      <c r="G778" t="s">
        <v>1746</v>
      </c>
      <c r="H778" t="s">
        <v>1798</v>
      </c>
      <c r="I778" t="b">
        <v>0</v>
      </c>
      <c r="J778" t="s">
        <v>1761</v>
      </c>
      <c r="K778" t="s">
        <v>1776</v>
      </c>
      <c r="L778" t="s">
        <v>1750</v>
      </c>
      <c r="M778">
        <v>431</v>
      </c>
      <c r="N778" t="b">
        <v>1</v>
      </c>
      <c r="O778">
        <v>370</v>
      </c>
      <c r="P778" t="s">
        <v>1752</v>
      </c>
      <c r="Q778" t="s">
        <v>1753</v>
      </c>
      <c r="R778" t="s">
        <v>1828</v>
      </c>
    </row>
    <row r="779" spans="1:18" x14ac:dyDescent="0.25">
      <c r="A779" t="s">
        <v>2956</v>
      </c>
      <c r="B779" t="s">
        <v>1768</v>
      </c>
      <c r="C779" t="s">
        <v>4</v>
      </c>
      <c r="D779" t="s">
        <v>813</v>
      </c>
      <c r="E779" s="2">
        <v>40255</v>
      </c>
      <c r="F779">
        <v>5356</v>
      </c>
      <c r="G779" t="s">
        <v>1746</v>
      </c>
      <c r="H779" t="s">
        <v>1747</v>
      </c>
      <c r="I779" t="b">
        <v>0</v>
      </c>
      <c r="J779" t="s">
        <v>1748</v>
      </c>
      <c r="K779" t="s">
        <v>1853</v>
      </c>
      <c r="L779" t="s">
        <v>1766</v>
      </c>
      <c r="M779">
        <v>430</v>
      </c>
      <c r="N779" t="b">
        <v>0</v>
      </c>
      <c r="P779" t="s">
        <v>2070</v>
      </c>
      <c r="Q779" t="s">
        <v>1753</v>
      </c>
    </row>
    <row r="780" spans="1:18" x14ac:dyDescent="0.25">
      <c r="A780" t="s">
        <v>2957</v>
      </c>
      <c r="B780" t="s">
        <v>1814</v>
      </c>
      <c r="C780" t="s">
        <v>11</v>
      </c>
      <c r="D780" t="s">
        <v>890</v>
      </c>
      <c r="E780" s="2">
        <v>38666</v>
      </c>
      <c r="F780">
        <v>6945</v>
      </c>
      <c r="G780" t="s">
        <v>1746</v>
      </c>
      <c r="H780" t="s">
        <v>1798</v>
      </c>
      <c r="I780" t="b">
        <v>0</v>
      </c>
      <c r="J780" t="s">
        <v>1761</v>
      </c>
      <c r="K780" t="s">
        <v>1856</v>
      </c>
      <c r="L780" t="s">
        <v>1750</v>
      </c>
      <c r="M780">
        <v>430</v>
      </c>
      <c r="N780" t="b">
        <v>0</v>
      </c>
      <c r="O780">
        <v>1874</v>
      </c>
      <c r="P780" t="s">
        <v>1752</v>
      </c>
      <c r="Q780" t="s">
        <v>1753</v>
      </c>
    </row>
    <row r="781" spans="1:18" x14ac:dyDescent="0.25">
      <c r="A781" t="s">
        <v>1558</v>
      </c>
      <c r="B781" t="s">
        <v>1781</v>
      </c>
      <c r="C781" t="s">
        <v>6</v>
      </c>
      <c r="D781" t="s">
        <v>1559</v>
      </c>
      <c r="E781" s="2">
        <v>44671</v>
      </c>
      <c r="F781">
        <v>940</v>
      </c>
      <c r="G781" t="s">
        <v>1746</v>
      </c>
      <c r="H781" t="s">
        <v>1747</v>
      </c>
      <c r="I781" t="b">
        <v>1</v>
      </c>
      <c r="J781" t="s">
        <v>1761</v>
      </c>
      <c r="K781" t="s">
        <v>1846</v>
      </c>
      <c r="L781" t="s">
        <v>1750</v>
      </c>
      <c r="M781">
        <v>430</v>
      </c>
      <c r="N781" t="b">
        <v>0</v>
      </c>
      <c r="O781">
        <v>599</v>
      </c>
      <c r="P781" t="s">
        <v>1752</v>
      </c>
      <c r="Q781" t="s">
        <v>1753</v>
      </c>
    </row>
    <row r="782" spans="1:18" x14ac:dyDescent="0.25">
      <c r="A782" t="s">
        <v>2958</v>
      </c>
      <c r="B782" t="s">
        <v>2035</v>
      </c>
      <c r="C782" t="s">
        <v>6</v>
      </c>
      <c r="D782" t="s">
        <v>907</v>
      </c>
      <c r="E782" s="2">
        <v>38442</v>
      </c>
      <c r="F782">
        <v>7169</v>
      </c>
      <c r="G782" t="s">
        <v>1746</v>
      </c>
      <c r="H782" t="s">
        <v>1798</v>
      </c>
      <c r="I782" t="b">
        <v>1</v>
      </c>
      <c r="J782" t="s">
        <v>1761</v>
      </c>
      <c r="K782" t="s">
        <v>2021</v>
      </c>
      <c r="L782" t="s">
        <v>1750</v>
      </c>
      <c r="M782">
        <v>427</v>
      </c>
      <c r="N782" t="b">
        <v>1</v>
      </c>
      <c r="O782">
        <v>370</v>
      </c>
      <c r="P782" t="s">
        <v>1752</v>
      </c>
      <c r="Q782" t="s">
        <v>1753</v>
      </c>
      <c r="R782" t="s">
        <v>1828</v>
      </c>
    </row>
    <row r="783" spans="1:18" x14ac:dyDescent="0.25">
      <c r="A783" t="s">
        <v>2959</v>
      </c>
      <c r="B783" t="s">
        <v>1754</v>
      </c>
      <c r="C783" t="s">
        <v>4</v>
      </c>
      <c r="D783" t="s">
        <v>549</v>
      </c>
      <c r="E783" s="2">
        <v>39920</v>
      </c>
      <c r="F783">
        <v>5691</v>
      </c>
      <c r="G783" t="s">
        <v>1746</v>
      </c>
      <c r="H783" t="s">
        <v>1798</v>
      </c>
      <c r="I783" t="b">
        <v>1</v>
      </c>
      <c r="J783" t="s">
        <v>1761</v>
      </c>
      <c r="K783" t="s">
        <v>1824</v>
      </c>
      <c r="L783" t="s">
        <v>1817</v>
      </c>
      <c r="M783">
        <v>425</v>
      </c>
      <c r="N783" t="b">
        <v>0</v>
      </c>
      <c r="O783">
        <v>30</v>
      </c>
      <c r="P783" t="s">
        <v>1819</v>
      </c>
      <c r="Q783" t="s">
        <v>1753</v>
      </c>
      <c r="R783" t="s">
        <v>1828</v>
      </c>
    </row>
    <row r="784" spans="1:18" x14ac:dyDescent="0.25">
      <c r="A784" t="s">
        <v>2960</v>
      </c>
      <c r="B784" t="s">
        <v>2353</v>
      </c>
      <c r="C784" t="s">
        <v>4</v>
      </c>
      <c r="D784" t="s">
        <v>1673</v>
      </c>
      <c r="E784" s="2">
        <v>44503</v>
      </c>
      <c r="F784">
        <v>1108</v>
      </c>
      <c r="G784" t="s">
        <v>1746</v>
      </c>
      <c r="H784" t="s">
        <v>1798</v>
      </c>
      <c r="I784" t="b">
        <v>1</v>
      </c>
      <c r="J784" t="s">
        <v>1748</v>
      </c>
      <c r="K784" t="s">
        <v>1853</v>
      </c>
      <c r="L784" t="s">
        <v>1750</v>
      </c>
      <c r="M784">
        <v>423</v>
      </c>
      <c r="N784" t="b">
        <v>0</v>
      </c>
      <c r="O784">
        <v>503</v>
      </c>
      <c r="P784" t="s">
        <v>1752</v>
      </c>
      <c r="Q784" t="s">
        <v>1753</v>
      </c>
    </row>
    <row r="785" spans="1:18" x14ac:dyDescent="0.25">
      <c r="A785" t="s">
        <v>2961</v>
      </c>
      <c r="B785" t="s">
        <v>1829</v>
      </c>
      <c r="C785" t="s">
        <v>4</v>
      </c>
      <c r="D785" t="s">
        <v>539</v>
      </c>
      <c r="E785" s="2">
        <v>42038</v>
      </c>
      <c r="F785">
        <v>3573</v>
      </c>
      <c r="G785" t="s">
        <v>1746</v>
      </c>
      <c r="H785" t="s">
        <v>1798</v>
      </c>
      <c r="I785" t="b">
        <v>1</v>
      </c>
      <c r="J785" t="s">
        <v>1761</v>
      </c>
      <c r="K785" t="s">
        <v>1776</v>
      </c>
      <c r="L785" t="s">
        <v>1817</v>
      </c>
      <c r="M785">
        <v>423</v>
      </c>
      <c r="N785" t="b">
        <v>0</v>
      </c>
      <c r="O785">
        <v>2495</v>
      </c>
      <c r="P785" t="s">
        <v>1819</v>
      </c>
      <c r="Q785" t="s">
        <v>1753</v>
      </c>
      <c r="R785" t="s">
        <v>1828</v>
      </c>
    </row>
    <row r="786" spans="1:18" x14ac:dyDescent="0.25">
      <c r="A786" t="s">
        <v>2962</v>
      </c>
      <c r="B786" t="s">
        <v>2035</v>
      </c>
      <c r="C786" t="s">
        <v>6</v>
      </c>
      <c r="D786" t="s">
        <v>40</v>
      </c>
      <c r="E786" s="2">
        <v>39986</v>
      </c>
      <c r="F786">
        <v>5625</v>
      </c>
      <c r="G786" t="s">
        <v>1746</v>
      </c>
      <c r="H786" t="s">
        <v>1798</v>
      </c>
      <c r="I786" t="b">
        <v>0</v>
      </c>
      <c r="J786" t="s">
        <v>1748</v>
      </c>
      <c r="K786" t="s">
        <v>1934</v>
      </c>
      <c r="L786" t="s">
        <v>1817</v>
      </c>
      <c r="M786">
        <v>422</v>
      </c>
      <c r="N786" t="b">
        <v>1</v>
      </c>
      <c r="O786">
        <v>2832</v>
      </c>
      <c r="P786" t="s">
        <v>1819</v>
      </c>
      <c r="Q786" t="s">
        <v>1753</v>
      </c>
      <c r="R786" t="s">
        <v>1759</v>
      </c>
    </row>
    <row r="787" spans="1:18" x14ac:dyDescent="0.25">
      <c r="A787" t="s">
        <v>2964</v>
      </c>
      <c r="B787" t="s">
        <v>2965</v>
      </c>
      <c r="C787" t="s">
        <v>4</v>
      </c>
      <c r="D787" t="s">
        <v>2963</v>
      </c>
      <c r="E787" s="2">
        <v>43440</v>
      </c>
      <c r="F787">
        <v>2171</v>
      </c>
      <c r="G787" t="s">
        <v>1746</v>
      </c>
      <c r="H787" t="s">
        <v>1747</v>
      </c>
      <c r="I787" t="b">
        <v>0</v>
      </c>
      <c r="J787" t="s">
        <v>1761</v>
      </c>
      <c r="K787" t="s">
        <v>1755</v>
      </c>
      <c r="L787" t="s">
        <v>1750</v>
      </c>
      <c r="M787">
        <v>421</v>
      </c>
      <c r="N787" t="b">
        <v>1</v>
      </c>
      <c r="O787">
        <v>175</v>
      </c>
      <c r="P787" t="s">
        <v>1752</v>
      </c>
      <c r="Q787" t="s">
        <v>1753</v>
      </c>
    </row>
    <row r="788" spans="1:18" x14ac:dyDescent="0.25">
      <c r="A788" t="s">
        <v>2967</v>
      </c>
      <c r="B788" t="s">
        <v>2662</v>
      </c>
      <c r="C788" t="s">
        <v>4</v>
      </c>
      <c r="D788" t="s">
        <v>2966</v>
      </c>
      <c r="E788" s="2">
        <v>45133</v>
      </c>
      <c r="F788">
        <v>478</v>
      </c>
      <c r="G788" t="s">
        <v>1746</v>
      </c>
      <c r="H788" t="s">
        <v>1747</v>
      </c>
      <c r="I788" t="b">
        <v>1</v>
      </c>
      <c r="J788" t="s">
        <v>1761</v>
      </c>
      <c r="K788" t="s">
        <v>1755</v>
      </c>
      <c r="L788" t="s">
        <v>1756</v>
      </c>
      <c r="M788">
        <v>421</v>
      </c>
      <c r="N788" t="b">
        <v>0</v>
      </c>
      <c r="O788">
        <v>1410</v>
      </c>
      <c r="P788" t="s">
        <v>1752</v>
      </c>
      <c r="Q788" t="s">
        <v>1753</v>
      </c>
      <c r="R788" t="s">
        <v>1759</v>
      </c>
    </row>
    <row r="789" spans="1:18" x14ac:dyDescent="0.25">
      <c r="A789" t="s">
        <v>2969</v>
      </c>
      <c r="B789" t="s">
        <v>2620</v>
      </c>
      <c r="C789" t="s">
        <v>4</v>
      </c>
      <c r="D789" t="s">
        <v>2968</v>
      </c>
      <c r="E789" s="2">
        <v>43789</v>
      </c>
      <c r="F789">
        <v>1822</v>
      </c>
      <c r="G789" t="s">
        <v>1746</v>
      </c>
      <c r="H789" t="s">
        <v>1747</v>
      </c>
      <c r="I789" t="b">
        <v>0</v>
      </c>
      <c r="J789" t="s">
        <v>1761</v>
      </c>
      <c r="K789" t="s">
        <v>1776</v>
      </c>
      <c r="L789" t="s">
        <v>1817</v>
      </c>
      <c r="M789">
        <v>418</v>
      </c>
      <c r="N789" t="b">
        <v>1</v>
      </c>
      <c r="O789">
        <v>1112</v>
      </c>
      <c r="P789" t="s">
        <v>1819</v>
      </c>
      <c r="Q789" t="s">
        <v>1753</v>
      </c>
      <c r="R789" t="s">
        <v>1759</v>
      </c>
    </row>
    <row r="790" spans="1:18" x14ac:dyDescent="0.25">
      <c r="A790" t="s">
        <v>2970</v>
      </c>
      <c r="B790" t="s">
        <v>2810</v>
      </c>
      <c r="C790" t="s">
        <v>4</v>
      </c>
      <c r="D790" t="s">
        <v>982</v>
      </c>
      <c r="E790" s="2">
        <v>44684</v>
      </c>
      <c r="F790">
        <v>927</v>
      </c>
      <c r="G790" t="s">
        <v>1746</v>
      </c>
      <c r="H790" t="s">
        <v>1798</v>
      </c>
      <c r="I790" t="b">
        <v>0</v>
      </c>
      <c r="J790" t="s">
        <v>1748</v>
      </c>
      <c r="K790" t="s">
        <v>1774</v>
      </c>
      <c r="L790" t="s">
        <v>1817</v>
      </c>
      <c r="M790">
        <v>418</v>
      </c>
      <c r="N790" t="b">
        <v>1</v>
      </c>
      <c r="O790">
        <v>553</v>
      </c>
      <c r="P790" t="s">
        <v>1819</v>
      </c>
      <c r="Q790" t="s">
        <v>1753</v>
      </c>
      <c r="R790" t="s">
        <v>1759</v>
      </c>
    </row>
    <row r="791" spans="1:18" x14ac:dyDescent="0.25">
      <c r="A791" t="s">
        <v>2972</v>
      </c>
      <c r="B791" t="s">
        <v>2662</v>
      </c>
      <c r="C791" t="s">
        <v>4</v>
      </c>
      <c r="D791" t="s">
        <v>2971</v>
      </c>
      <c r="E791" s="2">
        <v>44839</v>
      </c>
      <c r="F791">
        <v>772</v>
      </c>
      <c r="G791" t="s">
        <v>1746</v>
      </c>
      <c r="H791" t="s">
        <v>1747</v>
      </c>
      <c r="I791" t="b">
        <v>1</v>
      </c>
      <c r="J791" t="s">
        <v>1761</v>
      </c>
      <c r="K791" t="s">
        <v>1863</v>
      </c>
      <c r="L791" t="s">
        <v>1817</v>
      </c>
      <c r="M791">
        <v>418</v>
      </c>
      <c r="N791" t="b">
        <v>0</v>
      </c>
      <c r="O791">
        <v>66</v>
      </c>
      <c r="P791" t="s">
        <v>1819</v>
      </c>
      <c r="Q791" t="s">
        <v>1753</v>
      </c>
    </row>
    <row r="792" spans="1:18" x14ac:dyDescent="0.25">
      <c r="A792" t="s">
        <v>2974</v>
      </c>
      <c r="B792" t="s">
        <v>2082</v>
      </c>
      <c r="C792" t="s">
        <v>4</v>
      </c>
      <c r="D792" t="s">
        <v>2973</v>
      </c>
      <c r="E792" s="2">
        <v>45266</v>
      </c>
      <c r="F792">
        <v>345</v>
      </c>
      <c r="G792" t="s">
        <v>1746</v>
      </c>
      <c r="H792" t="s">
        <v>1798</v>
      </c>
      <c r="I792" t="b">
        <v>0</v>
      </c>
      <c r="J792" t="s">
        <v>1761</v>
      </c>
      <c r="K792" t="s">
        <v>1776</v>
      </c>
      <c r="L792" t="s">
        <v>1756</v>
      </c>
      <c r="M792">
        <v>418</v>
      </c>
      <c r="N792" t="b">
        <v>1</v>
      </c>
      <c r="O792">
        <v>383</v>
      </c>
      <c r="P792" t="s">
        <v>1819</v>
      </c>
      <c r="Q792" t="s">
        <v>1753</v>
      </c>
      <c r="R792" t="s">
        <v>1759</v>
      </c>
    </row>
    <row r="793" spans="1:18" x14ac:dyDescent="0.25">
      <c r="A793" t="s">
        <v>2975</v>
      </c>
      <c r="B793" t="s">
        <v>1810</v>
      </c>
      <c r="C793" t="s">
        <v>4</v>
      </c>
      <c r="D793" t="s">
        <v>1107</v>
      </c>
      <c r="E793" s="2">
        <v>41010</v>
      </c>
      <c r="F793">
        <v>4601</v>
      </c>
      <c r="G793" t="s">
        <v>1746</v>
      </c>
      <c r="H793" t="s">
        <v>1747</v>
      </c>
      <c r="I793" t="b">
        <v>1</v>
      </c>
      <c r="J793" t="s">
        <v>1761</v>
      </c>
      <c r="K793" t="s">
        <v>1755</v>
      </c>
      <c r="L793" t="s">
        <v>1750</v>
      </c>
      <c r="M793">
        <v>417</v>
      </c>
      <c r="N793" t="b">
        <v>0</v>
      </c>
      <c r="O793">
        <v>446</v>
      </c>
      <c r="P793" t="s">
        <v>1752</v>
      </c>
      <c r="Q793" t="s">
        <v>1753</v>
      </c>
    </row>
    <row r="794" spans="1:18" x14ac:dyDescent="0.25">
      <c r="A794" t="s">
        <v>2977</v>
      </c>
      <c r="B794" t="s">
        <v>2133</v>
      </c>
      <c r="C794" t="s">
        <v>4</v>
      </c>
      <c r="D794" t="s">
        <v>2976</v>
      </c>
      <c r="E794" s="2">
        <v>43479</v>
      </c>
      <c r="F794">
        <v>2132</v>
      </c>
      <c r="G794" t="s">
        <v>1746</v>
      </c>
      <c r="H794" t="s">
        <v>1798</v>
      </c>
      <c r="I794" t="b">
        <v>1</v>
      </c>
      <c r="J794" t="s">
        <v>1761</v>
      </c>
      <c r="K794" t="s">
        <v>1863</v>
      </c>
      <c r="L794" t="s">
        <v>1750</v>
      </c>
      <c r="M794">
        <v>417</v>
      </c>
      <c r="N794" t="b">
        <v>0</v>
      </c>
      <c r="O794">
        <v>312</v>
      </c>
      <c r="P794" t="s">
        <v>1752</v>
      </c>
      <c r="Q794" t="s">
        <v>1753</v>
      </c>
      <c r="R794" t="s">
        <v>1828</v>
      </c>
    </row>
    <row r="795" spans="1:18" x14ac:dyDescent="0.25">
      <c r="A795" t="s">
        <v>2978</v>
      </c>
      <c r="B795" t="s">
        <v>2035</v>
      </c>
      <c r="C795" t="s">
        <v>6</v>
      </c>
      <c r="D795" t="s">
        <v>74</v>
      </c>
      <c r="E795" s="2">
        <v>42512</v>
      </c>
      <c r="F795">
        <v>3099</v>
      </c>
      <c r="G795" t="s">
        <v>1746</v>
      </c>
      <c r="H795" t="s">
        <v>1798</v>
      </c>
      <c r="I795" t="b">
        <v>0</v>
      </c>
      <c r="J795" t="s">
        <v>1748</v>
      </c>
      <c r="K795" t="s">
        <v>1891</v>
      </c>
      <c r="L795" t="s">
        <v>1766</v>
      </c>
      <c r="M795">
        <v>415</v>
      </c>
      <c r="N795" t="b">
        <v>0</v>
      </c>
      <c r="P795" t="s">
        <v>1752</v>
      </c>
      <c r="Q795" t="s">
        <v>1753</v>
      </c>
      <c r="R795" t="s">
        <v>1828</v>
      </c>
    </row>
    <row r="796" spans="1:18" x14ac:dyDescent="0.25">
      <c r="A796" t="s">
        <v>2979</v>
      </c>
      <c r="B796" t="s">
        <v>1881</v>
      </c>
      <c r="C796" t="s">
        <v>6</v>
      </c>
      <c r="D796" t="s">
        <v>1193</v>
      </c>
      <c r="E796" s="2">
        <v>41789</v>
      </c>
      <c r="F796">
        <v>3822</v>
      </c>
      <c r="G796" t="s">
        <v>1746</v>
      </c>
      <c r="H796" t="s">
        <v>1798</v>
      </c>
      <c r="I796" t="b">
        <v>0</v>
      </c>
      <c r="J796" t="s">
        <v>1761</v>
      </c>
      <c r="K796" t="s">
        <v>1826</v>
      </c>
      <c r="L796" t="s">
        <v>1817</v>
      </c>
      <c r="M796">
        <v>414</v>
      </c>
      <c r="N796" t="b">
        <v>0</v>
      </c>
      <c r="O796">
        <v>704</v>
      </c>
      <c r="P796" t="s">
        <v>1819</v>
      </c>
      <c r="Q796" t="s">
        <v>1753</v>
      </c>
      <c r="R796" t="s">
        <v>1828</v>
      </c>
    </row>
    <row r="797" spans="1:18" x14ac:dyDescent="0.25">
      <c r="A797" t="s">
        <v>2980</v>
      </c>
      <c r="B797" t="s">
        <v>1874</v>
      </c>
      <c r="C797" t="s">
        <v>4</v>
      </c>
      <c r="D797" t="s">
        <v>1459</v>
      </c>
      <c r="E797" s="2">
        <v>42524</v>
      </c>
      <c r="F797">
        <v>3087</v>
      </c>
      <c r="G797" t="s">
        <v>1746</v>
      </c>
      <c r="H797" t="s">
        <v>1747</v>
      </c>
      <c r="I797" t="b">
        <v>0</v>
      </c>
      <c r="J797" t="s">
        <v>1748</v>
      </c>
      <c r="K797" t="s">
        <v>1787</v>
      </c>
      <c r="L797" t="s">
        <v>1756</v>
      </c>
      <c r="M797">
        <v>414</v>
      </c>
      <c r="N797" t="b">
        <v>1</v>
      </c>
      <c r="O797">
        <v>300</v>
      </c>
      <c r="P797" t="s">
        <v>1752</v>
      </c>
      <c r="Q797" t="s">
        <v>1753</v>
      </c>
    </row>
    <row r="798" spans="1:18" x14ac:dyDescent="0.25">
      <c r="A798" t="s">
        <v>2981</v>
      </c>
      <c r="B798" t="s">
        <v>1814</v>
      </c>
      <c r="C798" t="s">
        <v>4</v>
      </c>
      <c r="D798" t="s">
        <v>476</v>
      </c>
      <c r="E798" s="2">
        <v>42135</v>
      </c>
      <c r="F798">
        <v>3476</v>
      </c>
      <c r="G798" t="s">
        <v>1746</v>
      </c>
      <c r="H798" t="s">
        <v>1747</v>
      </c>
      <c r="I798" t="b">
        <v>0</v>
      </c>
      <c r="J798" t="s">
        <v>1761</v>
      </c>
      <c r="K798" t="s">
        <v>1853</v>
      </c>
      <c r="L798" t="s">
        <v>1750</v>
      </c>
      <c r="M798">
        <v>412</v>
      </c>
      <c r="N798" t="b">
        <v>0</v>
      </c>
      <c r="O798">
        <v>50</v>
      </c>
      <c r="P798" t="s">
        <v>1752</v>
      </c>
      <c r="Q798" t="s">
        <v>1753</v>
      </c>
    </row>
    <row r="799" spans="1:18" x14ac:dyDescent="0.25">
      <c r="A799" t="s">
        <v>2983</v>
      </c>
      <c r="B799" t="s">
        <v>2342</v>
      </c>
      <c r="C799" t="s">
        <v>11</v>
      </c>
      <c r="D799" t="s">
        <v>2982</v>
      </c>
      <c r="E799" s="2">
        <v>42212</v>
      </c>
      <c r="F799">
        <v>3399</v>
      </c>
      <c r="G799" t="s">
        <v>1746</v>
      </c>
      <c r="H799" t="s">
        <v>1798</v>
      </c>
      <c r="I799" t="b">
        <v>0</v>
      </c>
      <c r="J799" t="s">
        <v>1748</v>
      </c>
      <c r="K799" t="s">
        <v>1824</v>
      </c>
      <c r="L799" t="s">
        <v>1750</v>
      </c>
      <c r="M799">
        <v>411</v>
      </c>
      <c r="N799" t="b">
        <v>0</v>
      </c>
      <c r="O799">
        <v>50</v>
      </c>
      <c r="P799" t="s">
        <v>1752</v>
      </c>
      <c r="Q799" t="s">
        <v>1753</v>
      </c>
      <c r="R799" t="s">
        <v>1828</v>
      </c>
    </row>
    <row r="800" spans="1:18" x14ac:dyDescent="0.25">
      <c r="A800" t="s">
        <v>2984</v>
      </c>
      <c r="B800" t="s">
        <v>1860</v>
      </c>
      <c r="C800" t="s">
        <v>6</v>
      </c>
      <c r="D800" t="s">
        <v>89</v>
      </c>
      <c r="E800" s="2">
        <v>43845</v>
      </c>
      <c r="F800">
        <v>1766</v>
      </c>
      <c r="G800" t="s">
        <v>1746</v>
      </c>
      <c r="H800" t="s">
        <v>1798</v>
      </c>
      <c r="I800" t="b">
        <v>1</v>
      </c>
      <c r="J800" t="s">
        <v>1748</v>
      </c>
      <c r="K800" t="s">
        <v>1749</v>
      </c>
      <c r="L800" t="s">
        <v>1817</v>
      </c>
      <c r="M800">
        <v>410</v>
      </c>
      <c r="N800" t="b">
        <v>0</v>
      </c>
      <c r="O800">
        <v>3733</v>
      </c>
      <c r="P800" t="s">
        <v>1819</v>
      </c>
      <c r="Q800" t="s">
        <v>1753</v>
      </c>
      <c r="R800" t="s">
        <v>1759</v>
      </c>
    </row>
    <row r="801" spans="1:18" x14ac:dyDescent="0.25">
      <c r="A801" t="s">
        <v>2986</v>
      </c>
      <c r="B801" t="s">
        <v>1907</v>
      </c>
      <c r="C801" t="s">
        <v>4</v>
      </c>
      <c r="D801" t="s">
        <v>2985</v>
      </c>
      <c r="E801" s="2">
        <v>44680</v>
      </c>
      <c r="F801">
        <v>931</v>
      </c>
      <c r="G801" t="s">
        <v>1746</v>
      </c>
      <c r="H801" t="s">
        <v>1798</v>
      </c>
      <c r="I801" t="b">
        <v>1</v>
      </c>
      <c r="J801" t="s">
        <v>1748</v>
      </c>
      <c r="K801" t="s">
        <v>1755</v>
      </c>
      <c r="L801" t="s">
        <v>1817</v>
      </c>
      <c r="M801">
        <v>409</v>
      </c>
      <c r="N801" t="b">
        <v>0</v>
      </c>
      <c r="O801">
        <v>2268</v>
      </c>
      <c r="P801" t="s">
        <v>1819</v>
      </c>
      <c r="Q801" t="s">
        <v>1753</v>
      </c>
      <c r="R801" t="s">
        <v>1759</v>
      </c>
    </row>
    <row r="802" spans="1:18" x14ac:dyDescent="0.25">
      <c r="A802" t="s">
        <v>1040</v>
      </c>
      <c r="B802" t="s">
        <v>1814</v>
      </c>
      <c r="C802" t="s">
        <v>4</v>
      </c>
      <c r="D802" t="s">
        <v>1041</v>
      </c>
      <c r="E802" s="2">
        <v>41978</v>
      </c>
      <c r="F802">
        <v>3633</v>
      </c>
      <c r="G802" t="s">
        <v>1746</v>
      </c>
      <c r="H802" t="s">
        <v>1798</v>
      </c>
      <c r="I802" t="b">
        <v>1</v>
      </c>
      <c r="J802" t="s">
        <v>1748</v>
      </c>
      <c r="K802" t="s">
        <v>1770</v>
      </c>
      <c r="L802" t="s">
        <v>1750</v>
      </c>
      <c r="M802">
        <v>409</v>
      </c>
      <c r="N802" t="b">
        <v>0</v>
      </c>
      <c r="O802">
        <v>34</v>
      </c>
      <c r="P802" t="s">
        <v>1752</v>
      </c>
      <c r="Q802" t="s">
        <v>1753</v>
      </c>
      <c r="R802" t="s">
        <v>1828</v>
      </c>
    </row>
    <row r="803" spans="1:18" x14ac:dyDescent="0.25">
      <c r="A803" t="s">
        <v>2987</v>
      </c>
      <c r="B803" t="s">
        <v>2180</v>
      </c>
      <c r="C803" t="s">
        <v>4</v>
      </c>
      <c r="D803" t="s">
        <v>730</v>
      </c>
      <c r="E803" s="2">
        <v>45174</v>
      </c>
      <c r="F803">
        <v>437</v>
      </c>
      <c r="G803" t="s">
        <v>1746</v>
      </c>
      <c r="H803" t="s">
        <v>1798</v>
      </c>
      <c r="I803" t="b">
        <v>0</v>
      </c>
      <c r="J803" t="s">
        <v>1748</v>
      </c>
      <c r="K803" t="s">
        <v>1774</v>
      </c>
      <c r="L803" t="s">
        <v>1817</v>
      </c>
      <c r="M803">
        <v>409</v>
      </c>
      <c r="N803" t="b">
        <v>1</v>
      </c>
      <c r="O803">
        <v>347</v>
      </c>
      <c r="P803" t="s">
        <v>1819</v>
      </c>
      <c r="Q803" t="s">
        <v>1753</v>
      </c>
      <c r="R803" t="s">
        <v>1759</v>
      </c>
    </row>
    <row r="804" spans="1:18" x14ac:dyDescent="0.25">
      <c r="A804" t="s">
        <v>2988</v>
      </c>
      <c r="B804" t="s">
        <v>2599</v>
      </c>
      <c r="C804" t="s">
        <v>4</v>
      </c>
      <c r="D804" t="s">
        <v>812</v>
      </c>
      <c r="E804" s="2">
        <v>43381</v>
      </c>
      <c r="F804">
        <v>2230</v>
      </c>
      <c r="G804" t="s">
        <v>1746</v>
      </c>
      <c r="H804" t="s">
        <v>1747</v>
      </c>
      <c r="I804" t="b">
        <v>0</v>
      </c>
      <c r="J804" t="s">
        <v>1748</v>
      </c>
      <c r="K804" t="s">
        <v>1822</v>
      </c>
      <c r="L804" t="s">
        <v>1750</v>
      </c>
      <c r="M804">
        <v>409</v>
      </c>
      <c r="N804" t="b">
        <v>1</v>
      </c>
      <c r="O804">
        <v>293</v>
      </c>
      <c r="P804" t="s">
        <v>1752</v>
      </c>
      <c r="Q804" t="s">
        <v>1753</v>
      </c>
    </row>
    <row r="805" spans="1:18" x14ac:dyDescent="0.25">
      <c r="A805" t="s">
        <v>2989</v>
      </c>
      <c r="B805" t="s">
        <v>2035</v>
      </c>
      <c r="C805" t="s">
        <v>6</v>
      </c>
      <c r="D805" t="s">
        <v>861</v>
      </c>
      <c r="E805" s="2">
        <v>39100</v>
      </c>
      <c r="F805">
        <v>6511</v>
      </c>
      <c r="G805" t="s">
        <v>1746</v>
      </c>
      <c r="H805" t="s">
        <v>1798</v>
      </c>
      <c r="I805" t="b">
        <v>1</v>
      </c>
      <c r="J805" t="s">
        <v>1748</v>
      </c>
      <c r="K805" t="s">
        <v>1824</v>
      </c>
      <c r="L805" t="s">
        <v>1750</v>
      </c>
      <c r="M805">
        <v>409</v>
      </c>
      <c r="N805" t="b">
        <v>0</v>
      </c>
      <c r="O805">
        <v>55</v>
      </c>
      <c r="P805" t="s">
        <v>1819</v>
      </c>
      <c r="Q805" t="s">
        <v>1753</v>
      </c>
      <c r="R805" t="s">
        <v>1828</v>
      </c>
    </row>
    <row r="806" spans="1:18" x14ac:dyDescent="0.25">
      <c r="A806" t="s">
        <v>1038</v>
      </c>
      <c r="B806" t="s">
        <v>1814</v>
      </c>
      <c r="C806" t="s">
        <v>4</v>
      </c>
      <c r="D806" t="s">
        <v>1039</v>
      </c>
      <c r="E806" s="2">
        <v>41978</v>
      </c>
      <c r="F806">
        <v>3633</v>
      </c>
      <c r="G806" t="s">
        <v>1746</v>
      </c>
      <c r="H806" t="s">
        <v>1798</v>
      </c>
      <c r="I806" t="b">
        <v>1</v>
      </c>
      <c r="J806" t="s">
        <v>1748</v>
      </c>
      <c r="K806" t="s">
        <v>1770</v>
      </c>
      <c r="L806" t="s">
        <v>1750</v>
      </c>
      <c r="M806">
        <v>409</v>
      </c>
      <c r="N806" t="b">
        <v>0</v>
      </c>
      <c r="O806">
        <v>88</v>
      </c>
      <c r="P806" t="s">
        <v>1752</v>
      </c>
      <c r="Q806" t="s">
        <v>1753</v>
      </c>
      <c r="R806" t="s">
        <v>1828</v>
      </c>
    </row>
    <row r="807" spans="1:18" x14ac:dyDescent="0.25">
      <c r="A807" t="s">
        <v>2990</v>
      </c>
      <c r="B807" t="s">
        <v>2180</v>
      </c>
      <c r="C807" t="s">
        <v>6</v>
      </c>
      <c r="D807" t="s">
        <v>47</v>
      </c>
      <c r="E807" s="2">
        <v>44088</v>
      </c>
      <c r="F807">
        <v>1523</v>
      </c>
      <c r="G807" t="s">
        <v>1746</v>
      </c>
      <c r="H807" t="s">
        <v>1747</v>
      </c>
      <c r="I807" t="b">
        <v>1</v>
      </c>
      <c r="J807" t="s">
        <v>1748</v>
      </c>
      <c r="K807" t="s">
        <v>1770</v>
      </c>
      <c r="L807" t="s">
        <v>1750</v>
      </c>
      <c r="M807">
        <v>408</v>
      </c>
      <c r="N807" t="b">
        <v>1</v>
      </c>
      <c r="O807">
        <v>926</v>
      </c>
      <c r="P807" t="s">
        <v>1752</v>
      </c>
      <c r="Q807" t="s">
        <v>1753</v>
      </c>
      <c r="R807" t="s">
        <v>1772</v>
      </c>
    </row>
    <row r="808" spans="1:18" x14ac:dyDescent="0.25">
      <c r="A808" t="s">
        <v>2991</v>
      </c>
      <c r="B808" t="s">
        <v>1876</v>
      </c>
      <c r="C808" t="s">
        <v>4</v>
      </c>
      <c r="D808" t="s">
        <v>440</v>
      </c>
      <c r="E808" s="2">
        <v>40294</v>
      </c>
      <c r="F808">
        <v>5317</v>
      </c>
      <c r="G808" t="s">
        <v>1746</v>
      </c>
      <c r="H808" t="s">
        <v>1747</v>
      </c>
      <c r="I808" t="b">
        <v>0</v>
      </c>
      <c r="J808" t="s">
        <v>1748</v>
      </c>
      <c r="K808" t="s">
        <v>1809</v>
      </c>
      <c r="L808" t="s">
        <v>1766</v>
      </c>
      <c r="M808">
        <v>407</v>
      </c>
      <c r="N808" t="b">
        <v>0</v>
      </c>
      <c r="P808" t="s">
        <v>1752</v>
      </c>
      <c r="Q808" t="s">
        <v>1753</v>
      </c>
      <c r="R808" t="s">
        <v>1772</v>
      </c>
    </row>
    <row r="809" spans="1:18" x14ac:dyDescent="0.25">
      <c r="A809" t="s">
        <v>2993</v>
      </c>
      <c r="B809" t="s">
        <v>1866</v>
      </c>
      <c r="C809" t="s">
        <v>572</v>
      </c>
      <c r="D809" t="s">
        <v>2992</v>
      </c>
      <c r="E809" s="2">
        <v>36972</v>
      </c>
      <c r="F809">
        <v>8639</v>
      </c>
      <c r="G809" t="s">
        <v>1746</v>
      </c>
      <c r="H809" t="s">
        <v>2231</v>
      </c>
      <c r="I809" t="b">
        <v>0</v>
      </c>
      <c r="J809" t="s">
        <v>1761</v>
      </c>
      <c r="K809" t="s">
        <v>1788</v>
      </c>
      <c r="L809" t="s">
        <v>1750</v>
      </c>
      <c r="M809">
        <v>407</v>
      </c>
      <c r="N809" t="b">
        <v>0</v>
      </c>
      <c r="O809">
        <v>30</v>
      </c>
      <c r="P809" t="s">
        <v>1752</v>
      </c>
      <c r="Q809" t="s">
        <v>1753</v>
      </c>
    </row>
    <row r="810" spans="1:18" x14ac:dyDescent="0.25">
      <c r="A810" t="s">
        <v>2995</v>
      </c>
      <c r="B810" t="s">
        <v>2144</v>
      </c>
      <c r="C810" t="s">
        <v>4</v>
      </c>
      <c r="D810" t="s">
        <v>2994</v>
      </c>
      <c r="E810" s="2">
        <v>44946</v>
      </c>
      <c r="F810">
        <v>665</v>
      </c>
      <c r="G810" t="s">
        <v>1746</v>
      </c>
      <c r="H810" t="s">
        <v>1747</v>
      </c>
      <c r="I810" t="b">
        <v>1</v>
      </c>
      <c r="J810" t="s">
        <v>1761</v>
      </c>
      <c r="K810" t="s">
        <v>1880</v>
      </c>
      <c r="L810" t="s">
        <v>1750</v>
      </c>
      <c r="M810">
        <v>407</v>
      </c>
      <c r="N810" t="b">
        <v>1</v>
      </c>
      <c r="O810">
        <v>370</v>
      </c>
      <c r="P810" t="s">
        <v>1752</v>
      </c>
      <c r="Q810" t="s">
        <v>1753</v>
      </c>
    </row>
    <row r="811" spans="1:18" x14ac:dyDescent="0.25">
      <c r="A811" t="s">
        <v>2996</v>
      </c>
      <c r="B811" t="s">
        <v>2997</v>
      </c>
      <c r="C811" t="s">
        <v>6</v>
      </c>
      <c r="D811" t="s">
        <v>1164</v>
      </c>
      <c r="E811" s="2">
        <v>43921</v>
      </c>
      <c r="F811">
        <v>1690</v>
      </c>
      <c r="G811" t="s">
        <v>1746</v>
      </c>
      <c r="H811" t="s">
        <v>1798</v>
      </c>
      <c r="I811" t="b">
        <v>0</v>
      </c>
      <c r="J811" t="s">
        <v>1748</v>
      </c>
      <c r="K811" t="s">
        <v>1770</v>
      </c>
      <c r="L811" t="s">
        <v>1817</v>
      </c>
      <c r="M811">
        <v>407</v>
      </c>
      <c r="N811" t="b">
        <v>1</v>
      </c>
      <c r="O811">
        <v>1299</v>
      </c>
      <c r="P811" t="s">
        <v>1819</v>
      </c>
      <c r="Q811" t="s">
        <v>1753</v>
      </c>
      <c r="R811" t="s">
        <v>1759</v>
      </c>
    </row>
    <row r="812" spans="1:18" x14ac:dyDescent="0.25">
      <c r="A812" t="s">
        <v>2998</v>
      </c>
      <c r="B812" t="s">
        <v>2810</v>
      </c>
      <c r="C812" t="s">
        <v>4</v>
      </c>
      <c r="D812" t="s">
        <v>1318</v>
      </c>
      <c r="E812" s="2">
        <v>44173</v>
      </c>
      <c r="F812">
        <v>1438</v>
      </c>
      <c r="G812" t="s">
        <v>1833</v>
      </c>
      <c r="H812" t="s">
        <v>1798</v>
      </c>
      <c r="I812" t="b">
        <v>0</v>
      </c>
      <c r="J812" t="s">
        <v>1748</v>
      </c>
      <c r="K812" t="s">
        <v>1776</v>
      </c>
      <c r="L812" t="s">
        <v>1750</v>
      </c>
      <c r="M812">
        <v>407</v>
      </c>
      <c r="N812" t="b">
        <v>0</v>
      </c>
      <c r="O812">
        <v>14555</v>
      </c>
      <c r="P812" t="s">
        <v>1752</v>
      </c>
      <c r="Q812" t="s">
        <v>1753</v>
      </c>
      <c r="R812" t="s">
        <v>1759</v>
      </c>
    </row>
    <row r="813" spans="1:18" x14ac:dyDescent="0.25">
      <c r="A813" t="s">
        <v>3000</v>
      </c>
      <c r="B813" t="s">
        <v>2150</v>
      </c>
      <c r="C813" t="s">
        <v>6</v>
      </c>
      <c r="D813" t="s">
        <v>2999</v>
      </c>
      <c r="E813" s="2">
        <v>44847</v>
      </c>
      <c r="F813">
        <v>764</v>
      </c>
      <c r="G813" t="s">
        <v>1746</v>
      </c>
      <c r="H813" t="s">
        <v>1747</v>
      </c>
      <c r="I813" t="b">
        <v>1</v>
      </c>
      <c r="J813" t="s">
        <v>1748</v>
      </c>
      <c r="K813" t="s">
        <v>1755</v>
      </c>
      <c r="L813" t="s">
        <v>1817</v>
      </c>
      <c r="M813">
        <v>407</v>
      </c>
      <c r="N813" t="b">
        <v>0</v>
      </c>
      <c r="O813">
        <v>29</v>
      </c>
      <c r="P813" t="s">
        <v>1819</v>
      </c>
      <c r="Q813" t="s">
        <v>1753</v>
      </c>
      <c r="R813" t="s">
        <v>1828</v>
      </c>
    </row>
    <row r="814" spans="1:18" x14ac:dyDescent="0.25">
      <c r="A814" t="s">
        <v>3001</v>
      </c>
      <c r="B814" t="s">
        <v>1876</v>
      </c>
      <c r="C814" t="s">
        <v>4</v>
      </c>
      <c r="D814" t="s">
        <v>448</v>
      </c>
      <c r="E814" s="2">
        <v>44536</v>
      </c>
      <c r="F814">
        <v>1075</v>
      </c>
      <c r="G814" t="s">
        <v>1746</v>
      </c>
      <c r="H814" t="s">
        <v>1747</v>
      </c>
      <c r="I814" t="b">
        <v>0</v>
      </c>
      <c r="J814" t="s">
        <v>1748</v>
      </c>
      <c r="K814" t="s">
        <v>1863</v>
      </c>
      <c r="L814" t="s">
        <v>1750</v>
      </c>
      <c r="M814">
        <v>406</v>
      </c>
      <c r="N814" t="b">
        <v>1</v>
      </c>
      <c r="O814">
        <v>190</v>
      </c>
      <c r="P814" t="s">
        <v>1752</v>
      </c>
      <c r="Q814" t="s">
        <v>1753</v>
      </c>
    </row>
    <row r="815" spans="1:18" x14ac:dyDescent="0.25">
      <c r="A815" t="s">
        <v>3002</v>
      </c>
      <c r="B815" t="s">
        <v>2180</v>
      </c>
      <c r="C815" t="s">
        <v>4</v>
      </c>
      <c r="D815" t="s">
        <v>638</v>
      </c>
      <c r="E815" s="2">
        <v>45175</v>
      </c>
      <c r="F815">
        <v>436</v>
      </c>
      <c r="G815" t="s">
        <v>1746</v>
      </c>
      <c r="H815" t="s">
        <v>1798</v>
      </c>
      <c r="I815" t="b">
        <v>0</v>
      </c>
      <c r="J815" t="s">
        <v>1748</v>
      </c>
      <c r="K815" t="s">
        <v>1774</v>
      </c>
      <c r="L815" t="s">
        <v>1817</v>
      </c>
      <c r="M815">
        <v>406</v>
      </c>
      <c r="N815" t="b">
        <v>1</v>
      </c>
      <c r="O815">
        <v>373</v>
      </c>
      <c r="P815" t="s">
        <v>1819</v>
      </c>
      <c r="Q815" t="s">
        <v>1753</v>
      </c>
      <c r="R815" t="s">
        <v>1759</v>
      </c>
    </row>
    <row r="816" spans="1:18" x14ac:dyDescent="0.25">
      <c r="A816" t="s">
        <v>3003</v>
      </c>
      <c r="B816" t="s">
        <v>2599</v>
      </c>
      <c r="C816" t="s">
        <v>4</v>
      </c>
      <c r="D816" t="s">
        <v>223</v>
      </c>
      <c r="E816" s="2">
        <v>43461</v>
      </c>
      <c r="F816">
        <v>2150</v>
      </c>
      <c r="G816" t="s">
        <v>1746</v>
      </c>
      <c r="H816" t="s">
        <v>1747</v>
      </c>
      <c r="I816" t="b">
        <v>0</v>
      </c>
      <c r="J816" t="s">
        <v>1748</v>
      </c>
      <c r="K816" t="s">
        <v>2042</v>
      </c>
      <c r="L816" t="s">
        <v>1750</v>
      </c>
      <c r="M816">
        <v>406</v>
      </c>
      <c r="N816" t="b">
        <v>0</v>
      </c>
      <c r="O816">
        <v>63</v>
      </c>
      <c r="P816" t="s">
        <v>1752</v>
      </c>
      <c r="Q816" t="s">
        <v>1753</v>
      </c>
      <c r="R816" t="s">
        <v>1759</v>
      </c>
    </row>
    <row r="817" spans="1:18" x14ac:dyDescent="0.25">
      <c r="A817" t="s">
        <v>3004</v>
      </c>
      <c r="B817" t="s">
        <v>1945</v>
      </c>
      <c r="C817" t="s">
        <v>6</v>
      </c>
      <c r="D817" t="s">
        <v>110</v>
      </c>
      <c r="E817" s="2">
        <v>39786</v>
      </c>
      <c r="F817">
        <v>5825</v>
      </c>
      <c r="G817" t="s">
        <v>1746</v>
      </c>
      <c r="H817" t="s">
        <v>1798</v>
      </c>
      <c r="I817" t="b">
        <v>0</v>
      </c>
      <c r="J817" t="s">
        <v>1748</v>
      </c>
      <c r="K817" t="s">
        <v>1776</v>
      </c>
      <c r="L817" t="s">
        <v>1766</v>
      </c>
      <c r="M817">
        <v>405</v>
      </c>
      <c r="N817" t="b">
        <v>0</v>
      </c>
      <c r="P817" t="s">
        <v>1752</v>
      </c>
      <c r="Q817" t="s">
        <v>1753</v>
      </c>
      <c r="R817" t="s">
        <v>1759</v>
      </c>
    </row>
    <row r="818" spans="1:18" x14ac:dyDescent="0.25">
      <c r="A818" t="s">
        <v>3005</v>
      </c>
      <c r="B818" t="s">
        <v>1814</v>
      </c>
      <c r="C818" t="s">
        <v>4</v>
      </c>
      <c r="D818" t="s">
        <v>423</v>
      </c>
      <c r="E818" s="2">
        <v>39398</v>
      </c>
      <c r="F818">
        <v>6213</v>
      </c>
      <c r="G818" t="s">
        <v>1746</v>
      </c>
      <c r="H818" t="s">
        <v>1747</v>
      </c>
      <c r="I818" t="b">
        <v>0</v>
      </c>
      <c r="J818" t="s">
        <v>1761</v>
      </c>
      <c r="K818" t="s">
        <v>1917</v>
      </c>
      <c r="L818" t="s">
        <v>1750</v>
      </c>
      <c r="M818">
        <v>405</v>
      </c>
      <c r="N818" t="b">
        <v>0</v>
      </c>
      <c r="O818">
        <v>1006</v>
      </c>
      <c r="P818" t="s">
        <v>1752</v>
      </c>
      <c r="Q818" t="s">
        <v>1753</v>
      </c>
    </row>
    <row r="819" spans="1:18" x14ac:dyDescent="0.25">
      <c r="A819" t="s">
        <v>3006</v>
      </c>
      <c r="B819" t="s">
        <v>1814</v>
      </c>
      <c r="C819" t="s">
        <v>6</v>
      </c>
      <c r="D819" t="s">
        <v>833</v>
      </c>
      <c r="E819" s="2">
        <v>37839</v>
      </c>
      <c r="F819">
        <v>7772</v>
      </c>
      <c r="G819" t="s">
        <v>1746</v>
      </c>
      <c r="H819" t="s">
        <v>1798</v>
      </c>
      <c r="I819" t="b">
        <v>0</v>
      </c>
      <c r="J819" t="s">
        <v>1761</v>
      </c>
      <c r="K819" t="s">
        <v>1774</v>
      </c>
      <c r="L819" t="s">
        <v>1750</v>
      </c>
      <c r="M819">
        <v>404</v>
      </c>
      <c r="N819" t="b">
        <v>0</v>
      </c>
      <c r="O819">
        <v>223</v>
      </c>
      <c r="P819" t="s">
        <v>1752</v>
      </c>
      <c r="Q819" t="s">
        <v>1753</v>
      </c>
      <c r="R819" t="s">
        <v>1828</v>
      </c>
    </row>
    <row r="820" spans="1:18" x14ac:dyDescent="0.25">
      <c r="A820" t="s">
        <v>3008</v>
      </c>
      <c r="B820" t="s">
        <v>2235</v>
      </c>
      <c r="C820" t="s">
        <v>4</v>
      </c>
      <c r="D820" t="s">
        <v>3007</v>
      </c>
      <c r="E820" s="2">
        <v>45175</v>
      </c>
      <c r="F820">
        <v>436</v>
      </c>
      <c r="G820" t="s">
        <v>1746</v>
      </c>
      <c r="H820" t="s">
        <v>1747</v>
      </c>
      <c r="I820" t="b">
        <v>0</v>
      </c>
      <c r="J820" t="s">
        <v>1748</v>
      </c>
      <c r="K820" t="s">
        <v>1774</v>
      </c>
      <c r="L820" t="s">
        <v>1817</v>
      </c>
      <c r="M820">
        <v>404</v>
      </c>
      <c r="N820" t="b">
        <v>1</v>
      </c>
      <c r="O820">
        <v>529</v>
      </c>
      <c r="P820" t="s">
        <v>1819</v>
      </c>
      <c r="Q820" t="s">
        <v>1753</v>
      </c>
      <c r="R820" t="s">
        <v>1759</v>
      </c>
    </row>
    <row r="821" spans="1:18" x14ac:dyDescent="0.25">
      <c r="A821" t="s">
        <v>3009</v>
      </c>
      <c r="B821" t="s">
        <v>1754</v>
      </c>
      <c r="C821" t="s">
        <v>6</v>
      </c>
      <c r="D821" t="s">
        <v>1134</v>
      </c>
      <c r="E821" s="2">
        <v>42207</v>
      </c>
      <c r="F821">
        <v>3404</v>
      </c>
      <c r="G821" t="s">
        <v>1746</v>
      </c>
      <c r="H821" t="s">
        <v>2001</v>
      </c>
      <c r="I821" t="b">
        <v>0</v>
      </c>
      <c r="J821" t="s">
        <v>1761</v>
      </c>
      <c r="K821" t="s">
        <v>1809</v>
      </c>
      <c r="L821" t="s">
        <v>1750</v>
      </c>
      <c r="M821">
        <v>403</v>
      </c>
      <c r="N821" t="b">
        <v>1</v>
      </c>
      <c r="O821">
        <v>60</v>
      </c>
      <c r="P821" t="s">
        <v>1752</v>
      </c>
      <c r="Q821" t="s">
        <v>1753</v>
      </c>
    </row>
    <row r="822" spans="1:18" x14ac:dyDescent="0.25">
      <c r="A822" t="s">
        <v>3010</v>
      </c>
      <c r="B822" t="s">
        <v>3011</v>
      </c>
      <c r="C822" t="s">
        <v>11</v>
      </c>
      <c r="D822" t="s">
        <v>879</v>
      </c>
      <c r="E822" s="2">
        <v>37928</v>
      </c>
      <c r="F822">
        <v>7683</v>
      </c>
      <c r="G822" t="s">
        <v>1746</v>
      </c>
      <c r="H822" t="s">
        <v>1798</v>
      </c>
      <c r="I822" t="b">
        <v>1</v>
      </c>
      <c r="J822" t="s">
        <v>1761</v>
      </c>
      <c r="K822" t="s">
        <v>1880</v>
      </c>
      <c r="L822" t="s">
        <v>1750</v>
      </c>
      <c r="M822">
        <v>401</v>
      </c>
      <c r="N822" t="b">
        <v>0</v>
      </c>
      <c r="O822">
        <v>40</v>
      </c>
      <c r="P822" t="s">
        <v>1752</v>
      </c>
      <c r="Q822" t="s">
        <v>1753</v>
      </c>
    </row>
    <row r="823" spans="1:18" x14ac:dyDescent="0.25">
      <c r="A823" t="s">
        <v>3012</v>
      </c>
      <c r="B823" t="s">
        <v>1754</v>
      </c>
      <c r="C823" t="s">
        <v>4</v>
      </c>
      <c r="D823" t="s">
        <v>619</v>
      </c>
      <c r="E823" s="2">
        <v>38289</v>
      </c>
      <c r="F823">
        <v>7322</v>
      </c>
      <c r="G823" t="s">
        <v>1746</v>
      </c>
      <c r="H823" t="s">
        <v>1798</v>
      </c>
      <c r="I823" t="b">
        <v>1</v>
      </c>
      <c r="J823" t="s">
        <v>1761</v>
      </c>
      <c r="K823" t="s">
        <v>2021</v>
      </c>
      <c r="L823" t="s">
        <v>1756</v>
      </c>
      <c r="M823">
        <v>401</v>
      </c>
      <c r="N823" t="b">
        <v>0</v>
      </c>
      <c r="O823">
        <v>95</v>
      </c>
      <c r="P823" t="s">
        <v>1752</v>
      </c>
      <c r="Q823" t="s">
        <v>1753</v>
      </c>
      <c r="R823" t="s">
        <v>1828</v>
      </c>
    </row>
    <row r="824" spans="1:18" x14ac:dyDescent="0.25">
      <c r="A824" t="s">
        <v>3014</v>
      </c>
      <c r="B824" t="s">
        <v>2051</v>
      </c>
      <c r="C824" t="s">
        <v>4</v>
      </c>
      <c r="D824" t="s">
        <v>3013</v>
      </c>
      <c r="E824" s="2">
        <v>41010</v>
      </c>
      <c r="F824">
        <v>4601</v>
      </c>
      <c r="G824" t="s">
        <v>1746</v>
      </c>
      <c r="H824" t="s">
        <v>1747</v>
      </c>
      <c r="I824" t="b">
        <v>1</v>
      </c>
      <c r="J824" t="s">
        <v>1761</v>
      </c>
      <c r="K824" t="s">
        <v>1822</v>
      </c>
      <c r="L824" t="s">
        <v>1756</v>
      </c>
      <c r="M824">
        <v>395</v>
      </c>
      <c r="N824" t="b">
        <v>0</v>
      </c>
      <c r="O824">
        <v>1413</v>
      </c>
      <c r="P824" t="s">
        <v>1752</v>
      </c>
      <c r="Q824" t="s">
        <v>1753</v>
      </c>
      <c r="R824" t="s">
        <v>1759</v>
      </c>
    </row>
    <row r="825" spans="1:18" x14ac:dyDescent="0.25">
      <c r="A825" t="s">
        <v>256</v>
      </c>
      <c r="B825" t="s">
        <v>1768</v>
      </c>
      <c r="C825" t="s">
        <v>4</v>
      </c>
      <c r="D825" t="s">
        <v>257</v>
      </c>
      <c r="E825" s="2">
        <v>44041</v>
      </c>
      <c r="F825">
        <v>1570</v>
      </c>
      <c r="G825" t="s">
        <v>1746</v>
      </c>
      <c r="H825" t="s">
        <v>1747</v>
      </c>
      <c r="I825" t="b">
        <v>0</v>
      </c>
      <c r="J825" t="s">
        <v>1748</v>
      </c>
      <c r="K825" t="s">
        <v>1749</v>
      </c>
      <c r="L825" t="s">
        <v>1750</v>
      </c>
      <c r="M825">
        <v>395</v>
      </c>
      <c r="N825" t="b">
        <v>1</v>
      </c>
      <c r="O825">
        <v>286</v>
      </c>
      <c r="P825" t="s">
        <v>1752</v>
      </c>
      <c r="Q825" t="s">
        <v>1753</v>
      </c>
    </row>
    <row r="826" spans="1:18" x14ac:dyDescent="0.25">
      <c r="A826" t="s">
        <v>3015</v>
      </c>
      <c r="B826" t="s">
        <v>3016</v>
      </c>
      <c r="C826" t="s">
        <v>4</v>
      </c>
      <c r="D826" t="s">
        <v>1287</v>
      </c>
      <c r="E826" s="2">
        <v>44336</v>
      </c>
      <c r="F826">
        <v>1275</v>
      </c>
      <c r="G826" t="s">
        <v>1746</v>
      </c>
      <c r="H826" t="s">
        <v>1798</v>
      </c>
      <c r="I826" t="b">
        <v>0</v>
      </c>
      <c r="J826" t="s">
        <v>1761</v>
      </c>
      <c r="K826" t="s">
        <v>1824</v>
      </c>
      <c r="L826" t="s">
        <v>1750</v>
      </c>
      <c r="M826">
        <v>395</v>
      </c>
      <c r="N826" t="b">
        <v>1</v>
      </c>
      <c r="O826">
        <v>4040</v>
      </c>
      <c r="P826" t="s">
        <v>1819</v>
      </c>
      <c r="Q826" t="s">
        <v>1753</v>
      </c>
      <c r="R826" t="s">
        <v>1759</v>
      </c>
    </row>
    <row r="827" spans="1:18" x14ac:dyDescent="0.25">
      <c r="A827" t="s">
        <v>3018</v>
      </c>
      <c r="B827" t="s">
        <v>1785</v>
      </c>
      <c r="C827" t="s">
        <v>6</v>
      </c>
      <c r="D827" t="s">
        <v>3017</v>
      </c>
      <c r="E827" s="2">
        <v>41241</v>
      </c>
      <c r="F827">
        <v>4370</v>
      </c>
      <c r="G827" t="s">
        <v>1746</v>
      </c>
      <c r="H827" t="s">
        <v>1798</v>
      </c>
      <c r="I827" t="b">
        <v>1</v>
      </c>
      <c r="J827" t="s">
        <v>1761</v>
      </c>
      <c r="K827" t="s">
        <v>1863</v>
      </c>
      <c r="L827" t="s">
        <v>1750</v>
      </c>
      <c r="M827">
        <v>394</v>
      </c>
      <c r="N827" t="b">
        <v>1</v>
      </c>
      <c r="O827">
        <v>36</v>
      </c>
      <c r="P827" t="s">
        <v>1752</v>
      </c>
      <c r="Q827" t="s">
        <v>1753</v>
      </c>
    </row>
    <row r="828" spans="1:18" x14ac:dyDescent="0.25">
      <c r="A828" t="s">
        <v>3020</v>
      </c>
      <c r="B828" t="s">
        <v>2096</v>
      </c>
      <c r="C828" t="s">
        <v>4</v>
      </c>
      <c r="D828" t="s">
        <v>3019</v>
      </c>
      <c r="E828" s="2">
        <v>45308</v>
      </c>
      <c r="F828">
        <v>303</v>
      </c>
      <c r="G828" t="s">
        <v>1746</v>
      </c>
      <c r="H828" t="s">
        <v>1798</v>
      </c>
      <c r="I828" t="b">
        <v>0</v>
      </c>
      <c r="J828" t="s">
        <v>1748</v>
      </c>
      <c r="K828" t="s">
        <v>1755</v>
      </c>
      <c r="L828" t="s">
        <v>1750</v>
      </c>
      <c r="M828">
        <v>392</v>
      </c>
      <c r="N828" t="b">
        <v>1</v>
      </c>
      <c r="O828">
        <v>326</v>
      </c>
      <c r="P828" t="s">
        <v>1752</v>
      </c>
      <c r="Q828" t="s">
        <v>1753</v>
      </c>
      <c r="R828" t="s">
        <v>1759</v>
      </c>
    </row>
    <row r="829" spans="1:18" x14ac:dyDescent="0.25">
      <c r="A829" t="s">
        <v>1034</v>
      </c>
      <c r="B829" t="s">
        <v>1814</v>
      </c>
      <c r="C829" t="s">
        <v>4</v>
      </c>
      <c r="D829" t="s">
        <v>1035</v>
      </c>
      <c r="E829" s="2">
        <v>41978</v>
      </c>
      <c r="F829">
        <v>3633</v>
      </c>
      <c r="G829" t="s">
        <v>1746</v>
      </c>
      <c r="H829" t="s">
        <v>1798</v>
      </c>
      <c r="I829" t="b">
        <v>1</v>
      </c>
      <c r="J829" t="s">
        <v>1748</v>
      </c>
      <c r="K829" t="s">
        <v>1770</v>
      </c>
      <c r="L829" t="s">
        <v>1750</v>
      </c>
      <c r="M829">
        <v>390</v>
      </c>
      <c r="N829" t="b">
        <v>0</v>
      </c>
      <c r="O829">
        <v>80</v>
      </c>
      <c r="P829" t="s">
        <v>1752</v>
      </c>
      <c r="Q829" t="s">
        <v>1753</v>
      </c>
      <c r="R829" t="s">
        <v>1828</v>
      </c>
    </row>
    <row r="830" spans="1:18" x14ac:dyDescent="0.25">
      <c r="A830" t="s">
        <v>3022</v>
      </c>
      <c r="B830" t="s">
        <v>2173</v>
      </c>
      <c r="C830" t="s">
        <v>4</v>
      </c>
      <c r="D830" t="s">
        <v>3021</v>
      </c>
      <c r="E830" s="2">
        <v>43789</v>
      </c>
      <c r="F830">
        <v>1822</v>
      </c>
      <c r="G830" t="s">
        <v>1746</v>
      </c>
      <c r="H830" t="s">
        <v>2231</v>
      </c>
      <c r="I830" t="b">
        <v>0</v>
      </c>
      <c r="J830" t="s">
        <v>1748</v>
      </c>
      <c r="K830" t="s">
        <v>1868</v>
      </c>
      <c r="L830" t="s">
        <v>1817</v>
      </c>
      <c r="M830">
        <v>390</v>
      </c>
      <c r="N830" t="b">
        <v>1</v>
      </c>
      <c r="O830">
        <v>787</v>
      </c>
      <c r="P830" t="s">
        <v>1819</v>
      </c>
      <c r="Q830" t="s">
        <v>1753</v>
      </c>
      <c r="R830" t="s">
        <v>1772</v>
      </c>
    </row>
    <row r="831" spans="1:18" x14ac:dyDescent="0.25">
      <c r="A831" t="s">
        <v>3024</v>
      </c>
      <c r="B831" t="s">
        <v>1840</v>
      </c>
      <c r="C831" t="s">
        <v>4</v>
      </c>
      <c r="D831" t="s">
        <v>3023</v>
      </c>
      <c r="E831" s="2">
        <v>42814</v>
      </c>
      <c r="F831">
        <v>2797</v>
      </c>
      <c r="G831" t="s">
        <v>1746</v>
      </c>
      <c r="H831" t="s">
        <v>1747</v>
      </c>
      <c r="I831" t="b">
        <v>1</v>
      </c>
      <c r="J831" t="s">
        <v>1748</v>
      </c>
      <c r="K831" t="s">
        <v>1824</v>
      </c>
      <c r="L831" t="s">
        <v>1750</v>
      </c>
      <c r="M831">
        <v>389</v>
      </c>
      <c r="N831" t="b">
        <v>0</v>
      </c>
      <c r="O831">
        <v>78</v>
      </c>
      <c r="P831" t="s">
        <v>1752</v>
      </c>
      <c r="Q831" t="s">
        <v>1753</v>
      </c>
    </row>
    <row r="832" spans="1:18" x14ac:dyDescent="0.25">
      <c r="A832" t="s">
        <v>3026</v>
      </c>
      <c r="B832" t="s">
        <v>2173</v>
      </c>
      <c r="C832" t="s">
        <v>4</v>
      </c>
      <c r="D832" t="s">
        <v>3025</v>
      </c>
      <c r="E832" s="2">
        <v>43025</v>
      </c>
      <c r="F832">
        <v>2586</v>
      </c>
      <c r="G832" t="s">
        <v>1746</v>
      </c>
      <c r="H832" t="s">
        <v>2231</v>
      </c>
      <c r="I832" t="b">
        <v>1</v>
      </c>
      <c r="J832" t="s">
        <v>1748</v>
      </c>
      <c r="K832" t="s">
        <v>1880</v>
      </c>
      <c r="L832" t="s">
        <v>1750</v>
      </c>
      <c r="M832">
        <v>387</v>
      </c>
      <c r="N832" t="b">
        <v>0</v>
      </c>
      <c r="O832">
        <v>101</v>
      </c>
      <c r="P832" t="s">
        <v>1752</v>
      </c>
      <c r="Q832" t="s">
        <v>1753</v>
      </c>
    </row>
    <row r="833" spans="1:18" x14ac:dyDescent="0.25">
      <c r="A833" t="s">
        <v>3028</v>
      </c>
      <c r="B833" t="s">
        <v>1704</v>
      </c>
      <c r="C833" t="s">
        <v>6</v>
      </c>
      <c r="D833" t="s">
        <v>3027</v>
      </c>
      <c r="E833" s="2">
        <v>45181</v>
      </c>
      <c r="F833">
        <v>430</v>
      </c>
      <c r="G833" t="s">
        <v>1746</v>
      </c>
      <c r="H833" t="s">
        <v>1798</v>
      </c>
      <c r="I833" t="b">
        <v>1</v>
      </c>
      <c r="J833" t="s">
        <v>1748</v>
      </c>
      <c r="K833" t="s">
        <v>1749</v>
      </c>
      <c r="L833" t="s">
        <v>1756</v>
      </c>
      <c r="M833">
        <v>387</v>
      </c>
      <c r="N833" t="b">
        <v>0</v>
      </c>
      <c r="O833">
        <v>7</v>
      </c>
      <c r="P833" t="s">
        <v>1819</v>
      </c>
      <c r="Q833" t="s">
        <v>1753</v>
      </c>
    </row>
    <row r="834" spans="1:18" x14ac:dyDescent="0.25">
      <c r="A834" t="s">
        <v>3030</v>
      </c>
      <c r="B834" t="s">
        <v>2032</v>
      </c>
      <c r="C834" t="s">
        <v>4</v>
      </c>
      <c r="D834" t="s">
        <v>3029</v>
      </c>
      <c r="E834" s="2">
        <v>43565</v>
      </c>
      <c r="F834">
        <v>2046</v>
      </c>
      <c r="G834" t="s">
        <v>1746</v>
      </c>
      <c r="H834" t="s">
        <v>1747</v>
      </c>
      <c r="I834" t="b">
        <v>0</v>
      </c>
      <c r="J834" t="s">
        <v>1748</v>
      </c>
      <c r="K834" t="s">
        <v>2042</v>
      </c>
      <c r="L834" t="s">
        <v>1756</v>
      </c>
      <c r="M834">
        <v>387</v>
      </c>
      <c r="N834" t="b">
        <v>0</v>
      </c>
      <c r="O834">
        <v>44</v>
      </c>
      <c r="P834" t="s">
        <v>1752</v>
      </c>
      <c r="Q834" t="s">
        <v>1753</v>
      </c>
    </row>
    <row r="835" spans="1:18" x14ac:dyDescent="0.25">
      <c r="A835" t="s">
        <v>3031</v>
      </c>
      <c r="B835" t="s">
        <v>1810</v>
      </c>
      <c r="C835" t="s">
        <v>4</v>
      </c>
      <c r="D835" t="s">
        <v>238</v>
      </c>
      <c r="E835" s="2">
        <v>43276</v>
      </c>
      <c r="F835">
        <v>2335</v>
      </c>
      <c r="G835" t="s">
        <v>1833</v>
      </c>
      <c r="H835" t="s">
        <v>1798</v>
      </c>
      <c r="I835" t="b">
        <v>0</v>
      </c>
      <c r="J835" t="s">
        <v>1761</v>
      </c>
      <c r="K835" t="s">
        <v>1824</v>
      </c>
      <c r="L835" t="s">
        <v>1750</v>
      </c>
      <c r="M835">
        <v>386</v>
      </c>
      <c r="N835" t="b">
        <v>1</v>
      </c>
      <c r="O835">
        <v>103</v>
      </c>
      <c r="P835" t="s">
        <v>1819</v>
      </c>
      <c r="Q835" t="s">
        <v>1753</v>
      </c>
      <c r="R835" t="s">
        <v>1759</v>
      </c>
    </row>
    <row r="836" spans="1:18" x14ac:dyDescent="0.25">
      <c r="A836" t="s">
        <v>3033</v>
      </c>
      <c r="B836" t="s">
        <v>2662</v>
      </c>
      <c r="C836" t="s">
        <v>4</v>
      </c>
      <c r="D836" t="s">
        <v>3032</v>
      </c>
      <c r="E836" s="2">
        <v>43637</v>
      </c>
      <c r="F836">
        <v>1974</v>
      </c>
      <c r="G836" t="s">
        <v>1746</v>
      </c>
      <c r="H836" t="s">
        <v>1747</v>
      </c>
      <c r="I836" t="b">
        <v>1</v>
      </c>
      <c r="J836" t="s">
        <v>1748</v>
      </c>
      <c r="K836" t="s">
        <v>1776</v>
      </c>
      <c r="L836" t="s">
        <v>1817</v>
      </c>
      <c r="M836">
        <v>386</v>
      </c>
      <c r="N836" t="b">
        <v>0</v>
      </c>
      <c r="O836">
        <v>855</v>
      </c>
      <c r="P836" t="s">
        <v>1819</v>
      </c>
      <c r="Q836" t="s">
        <v>1753</v>
      </c>
      <c r="R836" t="s">
        <v>1759</v>
      </c>
    </row>
    <row r="837" spans="1:18" x14ac:dyDescent="0.25">
      <c r="A837" t="s">
        <v>3035</v>
      </c>
      <c r="B837" t="s">
        <v>2144</v>
      </c>
      <c r="C837" t="s">
        <v>4</v>
      </c>
      <c r="D837" t="s">
        <v>3034</v>
      </c>
      <c r="E837" s="2">
        <v>44824</v>
      </c>
      <c r="F837">
        <v>787</v>
      </c>
      <c r="G837" t="s">
        <v>1746</v>
      </c>
      <c r="H837" t="s">
        <v>1798</v>
      </c>
      <c r="I837" t="b">
        <v>0</v>
      </c>
      <c r="J837" t="s">
        <v>1748</v>
      </c>
      <c r="K837" t="s">
        <v>1770</v>
      </c>
      <c r="L837" t="s">
        <v>1750</v>
      </c>
      <c r="M837">
        <v>385</v>
      </c>
      <c r="N837" t="b">
        <v>1</v>
      </c>
      <c r="O837">
        <v>97</v>
      </c>
      <c r="P837" t="s">
        <v>1752</v>
      </c>
      <c r="Q837" t="s">
        <v>1753</v>
      </c>
      <c r="R837" t="s">
        <v>1759</v>
      </c>
    </row>
    <row r="838" spans="1:18" x14ac:dyDescent="0.25">
      <c r="A838" t="s">
        <v>3037</v>
      </c>
      <c r="B838" t="s">
        <v>1907</v>
      </c>
      <c r="C838" t="s">
        <v>4</v>
      </c>
      <c r="D838" t="s">
        <v>3036</v>
      </c>
      <c r="E838" s="2">
        <v>44062</v>
      </c>
      <c r="F838">
        <v>1549</v>
      </c>
      <c r="G838" t="s">
        <v>1746</v>
      </c>
      <c r="H838" t="s">
        <v>1798</v>
      </c>
      <c r="I838" t="b">
        <v>0</v>
      </c>
      <c r="J838" t="s">
        <v>1748</v>
      </c>
      <c r="K838" t="s">
        <v>1929</v>
      </c>
      <c r="L838" t="s">
        <v>1817</v>
      </c>
      <c r="M838">
        <v>383</v>
      </c>
      <c r="N838" t="b">
        <v>1</v>
      </c>
      <c r="O838">
        <v>1112</v>
      </c>
      <c r="P838" t="s">
        <v>1819</v>
      </c>
      <c r="Q838" t="s">
        <v>1753</v>
      </c>
      <c r="R838" t="s">
        <v>1759</v>
      </c>
    </row>
    <row r="839" spans="1:18" x14ac:dyDescent="0.25">
      <c r="A839" t="s">
        <v>3038</v>
      </c>
      <c r="B839" t="s">
        <v>1814</v>
      </c>
      <c r="C839" t="s">
        <v>6</v>
      </c>
      <c r="D839" t="s">
        <v>893</v>
      </c>
      <c r="E839" s="2">
        <v>38833</v>
      </c>
      <c r="F839">
        <v>6778</v>
      </c>
      <c r="G839" t="s">
        <v>1746</v>
      </c>
      <c r="H839" t="s">
        <v>1798</v>
      </c>
      <c r="I839" t="b">
        <v>0</v>
      </c>
      <c r="J839" t="s">
        <v>1748</v>
      </c>
      <c r="K839" t="s">
        <v>2042</v>
      </c>
      <c r="L839" t="s">
        <v>1766</v>
      </c>
      <c r="M839">
        <v>383</v>
      </c>
      <c r="N839" t="b">
        <v>0</v>
      </c>
      <c r="P839" t="s">
        <v>1752</v>
      </c>
      <c r="Q839" t="s">
        <v>1753</v>
      </c>
      <c r="R839" t="s">
        <v>2028</v>
      </c>
    </row>
    <row r="840" spans="1:18" x14ac:dyDescent="0.25">
      <c r="A840" t="s">
        <v>3040</v>
      </c>
      <c r="B840" t="s">
        <v>2620</v>
      </c>
      <c r="C840" t="s">
        <v>4</v>
      </c>
      <c r="D840" t="s">
        <v>3039</v>
      </c>
      <c r="E840" s="2">
        <v>43734</v>
      </c>
      <c r="F840">
        <v>1877</v>
      </c>
      <c r="G840" t="s">
        <v>1746</v>
      </c>
      <c r="H840" t="s">
        <v>1798</v>
      </c>
      <c r="I840" t="b">
        <v>1</v>
      </c>
      <c r="J840" t="s">
        <v>1761</v>
      </c>
      <c r="K840" t="s">
        <v>1776</v>
      </c>
      <c r="L840" t="s">
        <v>1817</v>
      </c>
      <c r="M840">
        <v>382</v>
      </c>
      <c r="N840" t="b">
        <v>0</v>
      </c>
      <c r="O840">
        <v>855</v>
      </c>
      <c r="P840" t="s">
        <v>1819</v>
      </c>
      <c r="Q840" t="s">
        <v>1753</v>
      </c>
      <c r="R840" t="s">
        <v>1759</v>
      </c>
    </row>
    <row r="841" spans="1:18" x14ac:dyDescent="0.25">
      <c r="A841" t="s">
        <v>3042</v>
      </c>
      <c r="B841" t="s">
        <v>2620</v>
      </c>
      <c r="C841" t="s">
        <v>4</v>
      </c>
      <c r="D841" t="s">
        <v>3041</v>
      </c>
      <c r="E841" s="2">
        <v>43789</v>
      </c>
      <c r="F841">
        <v>1822</v>
      </c>
      <c r="G841" t="s">
        <v>1746</v>
      </c>
      <c r="H841" t="s">
        <v>1798</v>
      </c>
      <c r="I841" t="b">
        <v>0</v>
      </c>
      <c r="J841" t="s">
        <v>1761</v>
      </c>
      <c r="K841" t="s">
        <v>1776</v>
      </c>
      <c r="L841" t="s">
        <v>1817</v>
      </c>
      <c r="M841">
        <v>382</v>
      </c>
      <c r="N841" t="b">
        <v>1</v>
      </c>
      <c r="O841">
        <v>376</v>
      </c>
      <c r="P841" t="s">
        <v>1819</v>
      </c>
      <c r="Q841" t="s">
        <v>1753</v>
      </c>
      <c r="R841" t="s">
        <v>1759</v>
      </c>
    </row>
    <row r="842" spans="1:18" x14ac:dyDescent="0.25">
      <c r="A842" t="s">
        <v>3043</v>
      </c>
      <c r="B842" t="s">
        <v>1754</v>
      </c>
      <c r="C842" t="s">
        <v>4</v>
      </c>
      <c r="D842" t="s">
        <v>558</v>
      </c>
      <c r="E842" s="2">
        <v>42621</v>
      </c>
      <c r="F842">
        <v>2990</v>
      </c>
      <c r="G842" t="s">
        <v>1746</v>
      </c>
      <c r="H842" t="s">
        <v>1747</v>
      </c>
      <c r="I842" t="b">
        <v>1</v>
      </c>
      <c r="J842" t="s">
        <v>1748</v>
      </c>
      <c r="K842" t="s">
        <v>2021</v>
      </c>
      <c r="L842" t="s">
        <v>1756</v>
      </c>
      <c r="M842">
        <v>382</v>
      </c>
      <c r="N842" t="b">
        <v>1</v>
      </c>
      <c r="O842">
        <v>343</v>
      </c>
      <c r="P842" t="s">
        <v>1752</v>
      </c>
      <c r="Q842" t="s">
        <v>1753</v>
      </c>
      <c r="R842" t="s">
        <v>1759</v>
      </c>
    </row>
    <row r="843" spans="1:18" x14ac:dyDescent="0.25">
      <c r="A843" t="s">
        <v>3044</v>
      </c>
      <c r="B843" t="s">
        <v>1754</v>
      </c>
      <c r="C843" t="s">
        <v>4</v>
      </c>
      <c r="D843" t="s">
        <v>1083</v>
      </c>
      <c r="E843" s="2">
        <v>42192</v>
      </c>
      <c r="F843">
        <v>3419</v>
      </c>
      <c r="G843" t="s">
        <v>1746</v>
      </c>
      <c r="H843" t="s">
        <v>1747</v>
      </c>
      <c r="I843" t="b">
        <v>1</v>
      </c>
      <c r="J843" t="s">
        <v>1748</v>
      </c>
      <c r="K843" t="s">
        <v>1824</v>
      </c>
      <c r="L843" t="s">
        <v>1750</v>
      </c>
      <c r="M843">
        <v>381</v>
      </c>
      <c r="N843" t="b">
        <v>0</v>
      </c>
      <c r="O843">
        <v>62</v>
      </c>
      <c r="P843" t="s">
        <v>1752</v>
      </c>
      <c r="Q843" t="s">
        <v>1753</v>
      </c>
    </row>
    <row r="844" spans="1:18" x14ac:dyDescent="0.25">
      <c r="A844" t="s">
        <v>3045</v>
      </c>
      <c r="B844" t="s">
        <v>1876</v>
      </c>
      <c r="C844" t="s">
        <v>6</v>
      </c>
      <c r="D844" t="s">
        <v>899</v>
      </c>
      <c r="E844" s="2">
        <v>43286</v>
      </c>
      <c r="F844">
        <v>2325</v>
      </c>
      <c r="G844" t="s">
        <v>1746</v>
      </c>
      <c r="H844" t="s">
        <v>1747</v>
      </c>
      <c r="I844" t="b">
        <v>0</v>
      </c>
      <c r="J844" t="s">
        <v>1748</v>
      </c>
      <c r="K844" t="s">
        <v>1771</v>
      </c>
      <c r="L844" t="s">
        <v>1766</v>
      </c>
      <c r="M844">
        <v>380</v>
      </c>
      <c r="N844" t="b">
        <v>0</v>
      </c>
      <c r="P844" t="s">
        <v>1752</v>
      </c>
      <c r="Q844" t="s">
        <v>1753</v>
      </c>
    </row>
    <row r="845" spans="1:18" x14ac:dyDescent="0.25">
      <c r="A845" t="s">
        <v>3046</v>
      </c>
      <c r="B845" t="s">
        <v>2046</v>
      </c>
      <c r="C845" t="s">
        <v>6</v>
      </c>
      <c r="D845" t="s">
        <v>1151</v>
      </c>
      <c r="E845" s="2">
        <v>43084</v>
      </c>
      <c r="F845">
        <v>2527</v>
      </c>
      <c r="G845" t="s">
        <v>1746</v>
      </c>
      <c r="H845" t="s">
        <v>1798</v>
      </c>
      <c r="I845" t="b">
        <v>0</v>
      </c>
      <c r="J845" t="s">
        <v>1748</v>
      </c>
      <c r="K845" t="s">
        <v>1755</v>
      </c>
      <c r="L845" t="s">
        <v>1750</v>
      </c>
      <c r="M845">
        <v>380</v>
      </c>
      <c r="N845" t="b">
        <v>1</v>
      </c>
      <c r="O845">
        <v>74</v>
      </c>
      <c r="P845" t="s">
        <v>1752</v>
      </c>
      <c r="Q845" t="s">
        <v>1753</v>
      </c>
      <c r="R845" t="s">
        <v>1828</v>
      </c>
    </row>
    <row r="846" spans="1:18" x14ac:dyDescent="0.25">
      <c r="A846" t="s">
        <v>3047</v>
      </c>
      <c r="B846" t="s">
        <v>1754</v>
      </c>
      <c r="C846" t="s">
        <v>4</v>
      </c>
      <c r="D846" t="s">
        <v>560</v>
      </c>
      <c r="E846" s="2">
        <v>38870</v>
      </c>
      <c r="F846">
        <v>6741</v>
      </c>
      <c r="G846" t="s">
        <v>1746</v>
      </c>
      <c r="H846" t="s">
        <v>1747</v>
      </c>
      <c r="I846" t="b">
        <v>1</v>
      </c>
      <c r="J846" t="s">
        <v>1761</v>
      </c>
      <c r="K846" t="s">
        <v>1883</v>
      </c>
      <c r="L846" t="s">
        <v>1750</v>
      </c>
      <c r="M846">
        <v>380</v>
      </c>
      <c r="N846" t="b">
        <v>0</v>
      </c>
      <c r="O846">
        <v>50</v>
      </c>
      <c r="P846" t="s">
        <v>1752</v>
      </c>
      <c r="Q846" t="s">
        <v>1753</v>
      </c>
      <c r="R846" t="s">
        <v>2028</v>
      </c>
    </row>
    <row r="847" spans="1:18" x14ac:dyDescent="0.25">
      <c r="A847" t="s">
        <v>3049</v>
      </c>
      <c r="B847" t="s">
        <v>1820</v>
      </c>
      <c r="C847" t="s">
        <v>4</v>
      </c>
      <c r="D847" t="s">
        <v>3048</v>
      </c>
      <c r="E847" s="2">
        <v>41547</v>
      </c>
      <c r="F847">
        <v>4064</v>
      </c>
      <c r="G847" t="s">
        <v>1746</v>
      </c>
      <c r="H847" t="s">
        <v>1747</v>
      </c>
      <c r="I847" t="b">
        <v>1</v>
      </c>
      <c r="J847" t="s">
        <v>1748</v>
      </c>
      <c r="K847" t="s">
        <v>1905</v>
      </c>
      <c r="L847" t="s">
        <v>1756</v>
      </c>
      <c r="M847">
        <v>379</v>
      </c>
      <c r="N847" t="b">
        <v>0</v>
      </c>
      <c r="O847">
        <v>198</v>
      </c>
      <c r="P847" t="s">
        <v>1752</v>
      </c>
      <c r="Q847" t="s">
        <v>1753</v>
      </c>
    </row>
    <row r="848" spans="1:18" x14ac:dyDescent="0.25">
      <c r="A848" t="s">
        <v>3050</v>
      </c>
      <c r="B848" t="s">
        <v>2046</v>
      </c>
      <c r="C848" t="s">
        <v>6</v>
      </c>
      <c r="D848" t="s">
        <v>1165</v>
      </c>
      <c r="E848" s="2">
        <v>42929</v>
      </c>
      <c r="F848">
        <v>2682</v>
      </c>
      <c r="G848" t="s">
        <v>1746</v>
      </c>
      <c r="H848" t="s">
        <v>2505</v>
      </c>
      <c r="I848" t="b">
        <v>1</v>
      </c>
      <c r="J848" t="s">
        <v>1748</v>
      </c>
      <c r="K848" t="s">
        <v>1787</v>
      </c>
      <c r="L848" t="s">
        <v>1750</v>
      </c>
      <c r="M848">
        <v>379</v>
      </c>
      <c r="N848" t="b">
        <v>0</v>
      </c>
      <c r="O848">
        <v>86</v>
      </c>
      <c r="P848" t="s">
        <v>1752</v>
      </c>
      <c r="Q848" t="s">
        <v>1753</v>
      </c>
    </row>
    <row r="849" spans="1:18" x14ac:dyDescent="0.25">
      <c r="A849" t="s">
        <v>3051</v>
      </c>
      <c r="B849" t="s">
        <v>2269</v>
      </c>
      <c r="C849" t="s">
        <v>572</v>
      </c>
      <c r="D849" t="s">
        <v>599</v>
      </c>
      <c r="E849" s="2">
        <v>38623</v>
      </c>
      <c r="F849">
        <v>6988</v>
      </c>
      <c r="G849" t="s">
        <v>1746</v>
      </c>
      <c r="H849" t="s">
        <v>1747</v>
      </c>
      <c r="I849" t="b">
        <v>0</v>
      </c>
      <c r="J849" t="s">
        <v>1761</v>
      </c>
      <c r="K849" t="s">
        <v>1922</v>
      </c>
      <c r="L849" t="s">
        <v>1750</v>
      </c>
      <c r="M849">
        <v>378</v>
      </c>
      <c r="N849" t="b">
        <v>0</v>
      </c>
      <c r="O849">
        <v>98</v>
      </c>
      <c r="P849" t="s">
        <v>1752</v>
      </c>
      <c r="Q849" t="s">
        <v>1753</v>
      </c>
    </row>
    <row r="850" spans="1:18" x14ac:dyDescent="0.25">
      <c r="A850" t="s">
        <v>3052</v>
      </c>
      <c r="B850" t="s">
        <v>2353</v>
      </c>
      <c r="C850" t="s">
        <v>4</v>
      </c>
      <c r="D850" t="s">
        <v>475</v>
      </c>
      <c r="E850" s="2">
        <v>44505</v>
      </c>
      <c r="F850">
        <v>1106</v>
      </c>
      <c r="G850" t="s">
        <v>1746</v>
      </c>
      <c r="H850" t="s">
        <v>1798</v>
      </c>
      <c r="I850" t="b">
        <v>0</v>
      </c>
      <c r="J850" t="s">
        <v>1748</v>
      </c>
      <c r="K850" t="s">
        <v>1863</v>
      </c>
      <c r="L850" t="s">
        <v>1766</v>
      </c>
      <c r="M850">
        <v>377</v>
      </c>
      <c r="N850" t="b">
        <v>1</v>
      </c>
      <c r="P850" t="s">
        <v>1752</v>
      </c>
      <c r="Q850" t="s">
        <v>1753</v>
      </c>
    </row>
    <row r="851" spans="1:18" x14ac:dyDescent="0.25">
      <c r="A851" t="s">
        <v>3053</v>
      </c>
      <c r="B851" t="s">
        <v>1829</v>
      </c>
      <c r="C851" t="s">
        <v>4</v>
      </c>
      <c r="D851" t="s">
        <v>405</v>
      </c>
      <c r="E851" s="2">
        <v>43705</v>
      </c>
      <c r="F851">
        <v>1906</v>
      </c>
      <c r="G851" t="s">
        <v>1746</v>
      </c>
      <c r="H851" t="s">
        <v>1798</v>
      </c>
      <c r="I851" t="b">
        <v>0</v>
      </c>
      <c r="J851" t="s">
        <v>1761</v>
      </c>
      <c r="K851" t="s">
        <v>1822</v>
      </c>
      <c r="L851" t="s">
        <v>1817</v>
      </c>
      <c r="M851">
        <v>377</v>
      </c>
      <c r="N851" t="b">
        <v>0</v>
      </c>
      <c r="O851">
        <v>54</v>
      </c>
      <c r="P851" t="s">
        <v>1819</v>
      </c>
      <c r="Q851" t="s">
        <v>1753</v>
      </c>
      <c r="R851" t="s">
        <v>1828</v>
      </c>
    </row>
    <row r="852" spans="1:18" x14ac:dyDescent="0.25">
      <c r="A852" t="s">
        <v>3055</v>
      </c>
      <c r="B852" t="s">
        <v>2235</v>
      </c>
      <c r="C852" t="s">
        <v>6</v>
      </c>
      <c r="D852" t="s">
        <v>3054</v>
      </c>
      <c r="E852" s="2">
        <v>44117</v>
      </c>
      <c r="F852">
        <v>1494</v>
      </c>
      <c r="G852" t="s">
        <v>1746</v>
      </c>
      <c r="H852" t="s">
        <v>2001</v>
      </c>
      <c r="I852" t="b">
        <v>0</v>
      </c>
      <c r="J852" t="s">
        <v>1748</v>
      </c>
      <c r="K852" t="s">
        <v>1770</v>
      </c>
      <c r="L852" t="s">
        <v>1750</v>
      </c>
      <c r="M852">
        <v>377</v>
      </c>
      <c r="N852" t="b">
        <v>1</v>
      </c>
      <c r="O852">
        <v>38</v>
      </c>
      <c r="P852" t="s">
        <v>1752</v>
      </c>
      <c r="Q852" t="s">
        <v>1753</v>
      </c>
    </row>
    <row r="853" spans="1:18" x14ac:dyDescent="0.25">
      <c r="A853" t="s">
        <v>3056</v>
      </c>
      <c r="B853" t="s">
        <v>3057</v>
      </c>
      <c r="C853" t="s">
        <v>4</v>
      </c>
      <c r="D853" t="s">
        <v>559</v>
      </c>
      <c r="E853" s="2">
        <v>40802</v>
      </c>
      <c r="F853">
        <v>4809</v>
      </c>
      <c r="G853" t="s">
        <v>1746</v>
      </c>
      <c r="H853" t="s">
        <v>1747</v>
      </c>
      <c r="I853" t="b">
        <v>1</v>
      </c>
      <c r="J853" t="s">
        <v>1748</v>
      </c>
      <c r="K853" t="s">
        <v>1913</v>
      </c>
      <c r="L853" t="s">
        <v>1750</v>
      </c>
      <c r="M853">
        <v>377</v>
      </c>
      <c r="N853" t="b">
        <v>0</v>
      </c>
      <c r="O853">
        <v>102</v>
      </c>
      <c r="P853" t="s">
        <v>1752</v>
      </c>
      <c r="Q853" t="s">
        <v>1753</v>
      </c>
      <c r="R853" t="s">
        <v>1759</v>
      </c>
    </row>
    <row r="854" spans="1:18" x14ac:dyDescent="0.25">
      <c r="A854" t="s">
        <v>3059</v>
      </c>
      <c r="B854" t="s">
        <v>1907</v>
      </c>
      <c r="C854" t="s">
        <v>4</v>
      </c>
      <c r="D854" t="s">
        <v>3058</v>
      </c>
      <c r="E854" s="2">
        <v>43948</v>
      </c>
      <c r="F854">
        <v>1663</v>
      </c>
      <c r="G854" t="s">
        <v>1746</v>
      </c>
      <c r="H854" t="s">
        <v>1798</v>
      </c>
      <c r="I854" t="b">
        <v>1</v>
      </c>
      <c r="J854" t="s">
        <v>1748</v>
      </c>
      <c r="K854" t="s">
        <v>1755</v>
      </c>
      <c r="L854" t="s">
        <v>1817</v>
      </c>
      <c r="M854">
        <v>376</v>
      </c>
      <c r="N854" t="b">
        <v>0</v>
      </c>
      <c r="O854">
        <v>153</v>
      </c>
      <c r="P854" t="s">
        <v>1819</v>
      </c>
      <c r="Q854" t="s">
        <v>1753</v>
      </c>
      <c r="R854" t="s">
        <v>1759</v>
      </c>
    </row>
    <row r="855" spans="1:18" x14ac:dyDescent="0.25">
      <c r="A855" t="s">
        <v>3060</v>
      </c>
      <c r="B855" t="s">
        <v>1829</v>
      </c>
      <c r="C855" t="s">
        <v>4</v>
      </c>
      <c r="D855" t="s">
        <v>1000</v>
      </c>
      <c r="E855" s="2">
        <v>40686</v>
      </c>
      <c r="F855">
        <v>4925</v>
      </c>
      <c r="G855" t="s">
        <v>1746</v>
      </c>
      <c r="H855" t="s">
        <v>1798</v>
      </c>
      <c r="I855" t="b">
        <v>1</v>
      </c>
      <c r="J855" t="s">
        <v>1761</v>
      </c>
      <c r="K855" t="s">
        <v>1749</v>
      </c>
      <c r="L855" t="s">
        <v>1817</v>
      </c>
      <c r="M855">
        <v>376</v>
      </c>
      <c r="N855" t="b">
        <v>0</v>
      </c>
      <c r="O855">
        <v>486</v>
      </c>
      <c r="P855" t="s">
        <v>1819</v>
      </c>
      <c r="Q855" t="s">
        <v>1753</v>
      </c>
      <c r="R855" t="s">
        <v>1828</v>
      </c>
    </row>
    <row r="856" spans="1:18" x14ac:dyDescent="0.25">
      <c r="A856" t="s">
        <v>3062</v>
      </c>
      <c r="B856" t="s">
        <v>2085</v>
      </c>
      <c r="C856" t="s">
        <v>4</v>
      </c>
      <c r="D856" t="s">
        <v>3061</v>
      </c>
      <c r="E856" s="2">
        <v>40451</v>
      </c>
      <c r="F856">
        <v>5160</v>
      </c>
      <c r="G856" t="s">
        <v>1746</v>
      </c>
      <c r="H856" t="s">
        <v>1805</v>
      </c>
      <c r="I856" t="b">
        <v>1</v>
      </c>
      <c r="J856" t="s">
        <v>1748</v>
      </c>
      <c r="K856" t="s">
        <v>1913</v>
      </c>
      <c r="L856" t="s">
        <v>1756</v>
      </c>
      <c r="M856">
        <v>376</v>
      </c>
      <c r="N856" t="b">
        <v>0</v>
      </c>
      <c r="O856">
        <v>1410</v>
      </c>
      <c r="P856" t="s">
        <v>1752</v>
      </c>
      <c r="Q856" t="s">
        <v>1753</v>
      </c>
      <c r="R856" t="s">
        <v>1759</v>
      </c>
    </row>
    <row r="857" spans="1:18" x14ac:dyDescent="0.25">
      <c r="A857" t="s">
        <v>3064</v>
      </c>
      <c r="B857" t="s">
        <v>2173</v>
      </c>
      <c r="C857" t="s">
        <v>6</v>
      </c>
      <c r="D857" t="s">
        <v>3063</v>
      </c>
      <c r="E857" s="2">
        <v>43999</v>
      </c>
      <c r="F857">
        <v>1612</v>
      </c>
      <c r="G857" t="s">
        <v>1746</v>
      </c>
      <c r="H857" t="s">
        <v>2231</v>
      </c>
      <c r="I857" t="b">
        <v>1</v>
      </c>
      <c r="J857" t="s">
        <v>1748</v>
      </c>
      <c r="K857" t="s">
        <v>1891</v>
      </c>
      <c r="L857" t="s">
        <v>1750</v>
      </c>
      <c r="M857">
        <v>375</v>
      </c>
      <c r="N857" t="b">
        <v>0</v>
      </c>
      <c r="O857">
        <v>77</v>
      </c>
      <c r="P857" t="s">
        <v>1752</v>
      </c>
      <c r="Q857" t="s">
        <v>1753</v>
      </c>
    </row>
    <row r="858" spans="1:18" x14ac:dyDescent="0.25">
      <c r="A858" t="s">
        <v>3065</v>
      </c>
      <c r="B858" t="s">
        <v>1829</v>
      </c>
      <c r="C858" t="s">
        <v>6</v>
      </c>
      <c r="D858" t="s">
        <v>1178</v>
      </c>
      <c r="E858" s="2">
        <v>41485</v>
      </c>
      <c r="F858">
        <v>4126</v>
      </c>
      <c r="G858" t="s">
        <v>1746</v>
      </c>
      <c r="H858" t="s">
        <v>2231</v>
      </c>
      <c r="I858" t="b">
        <v>0</v>
      </c>
      <c r="J858" t="s">
        <v>1761</v>
      </c>
      <c r="K858" t="s">
        <v>1755</v>
      </c>
      <c r="L858" t="s">
        <v>1817</v>
      </c>
      <c r="M858">
        <v>375</v>
      </c>
      <c r="N858" t="b">
        <v>1</v>
      </c>
      <c r="O858">
        <v>113</v>
      </c>
      <c r="P858" t="s">
        <v>1819</v>
      </c>
      <c r="Q858" t="s">
        <v>1753</v>
      </c>
    </row>
    <row r="859" spans="1:18" x14ac:dyDescent="0.25">
      <c r="A859" t="s">
        <v>3066</v>
      </c>
      <c r="B859" t="s">
        <v>2035</v>
      </c>
      <c r="C859" t="s">
        <v>6</v>
      </c>
      <c r="D859" t="s">
        <v>21</v>
      </c>
      <c r="E859" s="2">
        <v>41520</v>
      </c>
      <c r="F859">
        <v>4091</v>
      </c>
      <c r="G859" t="s">
        <v>1746</v>
      </c>
      <c r="H859" t="s">
        <v>1798</v>
      </c>
      <c r="I859" t="b">
        <v>0</v>
      </c>
      <c r="J859" t="s">
        <v>1748</v>
      </c>
      <c r="K859" t="s">
        <v>1880</v>
      </c>
      <c r="L859" t="s">
        <v>1817</v>
      </c>
      <c r="M859">
        <v>374</v>
      </c>
      <c r="N859" t="b">
        <v>1</v>
      </c>
      <c r="O859">
        <v>284</v>
      </c>
      <c r="P859" t="s">
        <v>1819</v>
      </c>
      <c r="Q859" t="s">
        <v>1753</v>
      </c>
      <c r="R859" t="s">
        <v>1759</v>
      </c>
    </row>
    <row r="860" spans="1:18" x14ac:dyDescent="0.25">
      <c r="A860" t="s">
        <v>3068</v>
      </c>
      <c r="B860" t="s">
        <v>3069</v>
      </c>
      <c r="C860" t="s">
        <v>4</v>
      </c>
      <c r="D860" t="s">
        <v>3067</v>
      </c>
      <c r="E860" s="2">
        <v>42062</v>
      </c>
      <c r="F860">
        <v>3549</v>
      </c>
      <c r="G860" t="s">
        <v>1746</v>
      </c>
      <c r="H860" t="s">
        <v>1805</v>
      </c>
      <c r="I860" t="b">
        <v>1</v>
      </c>
      <c r="J860" t="s">
        <v>1748</v>
      </c>
      <c r="K860" t="s">
        <v>1863</v>
      </c>
      <c r="L860" t="s">
        <v>1750</v>
      </c>
      <c r="M860">
        <v>374</v>
      </c>
      <c r="N860" t="b">
        <v>0</v>
      </c>
      <c r="O860">
        <v>502</v>
      </c>
      <c r="P860" t="s">
        <v>1752</v>
      </c>
      <c r="Q860" t="s">
        <v>1753</v>
      </c>
    </row>
    <row r="861" spans="1:18" x14ac:dyDescent="0.25">
      <c r="A861" t="s">
        <v>3070</v>
      </c>
      <c r="B861" t="s">
        <v>1945</v>
      </c>
      <c r="C861" t="s">
        <v>6</v>
      </c>
      <c r="D861" t="s">
        <v>874</v>
      </c>
      <c r="E861" s="2">
        <v>39819</v>
      </c>
      <c r="F861">
        <v>5792</v>
      </c>
      <c r="G861" t="s">
        <v>1746</v>
      </c>
      <c r="H861" t="s">
        <v>1798</v>
      </c>
      <c r="I861" t="b">
        <v>1</v>
      </c>
      <c r="J861" t="s">
        <v>1748</v>
      </c>
      <c r="K861" t="s">
        <v>1825</v>
      </c>
      <c r="L861" t="s">
        <v>1750</v>
      </c>
      <c r="M861">
        <v>373</v>
      </c>
      <c r="N861" t="b">
        <v>0</v>
      </c>
      <c r="O861">
        <v>191</v>
      </c>
      <c r="P861" t="s">
        <v>1819</v>
      </c>
      <c r="Q861" t="s">
        <v>1753</v>
      </c>
      <c r="R861" t="s">
        <v>1828</v>
      </c>
    </row>
    <row r="862" spans="1:18" x14ac:dyDescent="0.25">
      <c r="A862" t="s">
        <v>3071</v>
      </c>
      <c r="B862" t="s">
        <v>2180</v>
      </c>
      <c r="C862" t="s">
        <v>4</v>
      </c>
      <c r="D862" t="s">
        <v>729</v>
      </c>
      <c r="E862" s="2">
        <v>45174</v>
      </c>
      <c r="F862">
        <v>437</v>
      </c>
      <c r="G862" t="s">
        <v>1746</v>
      </c>
      <c r="H862" t="s">
        <v>1798</v>
      </c>
      <c r="I862" t="b">
        <v>0</v>
      </c>
      <c r="J862" t="s">
        <v>1748</v>
      </c>
      <c r="K862" t="s">
        <v>1774</v>
      </c>
      <c r="L862" t="s">
        <v>1817</v>
      </c>
      <c r="M862">
        <v>373</v>
      </c>
      <c r="N862" t="b">
        <v>1</v>
      </c>
      <c r="O862">
        <v>385</v>
      </c>
      <c r="P862" t="s">
        <v>1819</v>
      </c>
      <c r="Q862" t="s">
        <v>1753</v>
      </c>
      <c r="R862" t="s">
        <v>1759</v>
      </c>
    </row>
    <row r="863" spans="1:18" x14ac:dyDescent="0.25">
      <c r="A863" t="s">
        <v>3073</v>
      </c>
      <c r="B863" t="s">
        <v>2150</v>
      </c>
      <c r="C863" t="s">
        <v>4</v>
      </c>
      <c r="D863" t="s">
        <v>3072</v>
      </c>
      <c r="E863" s="2">
        <v>43901</v>
      </c>
      <c r="F863">
        <v>1710</v>
      </c>
      <c r="G863" t="s">
        <v>1746</v>
      </c>
      <c r="H863" t="s">
        <v>1805</v>
      </c>
      <c r="I863" t="b">
        <v>1</v>
      </c>
      <c r="J863" t="s">
        <v>1761</v>
      </c>
      <c r="K863" t="s">
        <v>1822</v>
      </c>
      <c r="L863" t="s">
        <v>1817</v>
      </c>
      <c r="M863">
        <v>372</v>
      </c>
      <c r="N863" t="b">
        <v>0</v>
      </c>
      <c r="O863">
        <v>597</v>
      </c>
      <c r="P863" t="s">
        <v>1819</v>
      </c>
      <c r="Q863" t="s">
        <v>1753</v>
      </c>
      <c r="R863" t="s">
        <v>1759</v>
      </c>
    </row>
    <row r="864" spans="1:18" x14ac:dyDescent="0.25">
      <c r="A864" t="s">
        <v>3074</v>
      </c>
      <c r="B864" t="s">
        <v>1847</v>
      </c>
      <c r="C864" t="s">
        <v>11</v>
      </c>
      <c r="D864" t="s">
        <v>846</v>
      </c>
      <c r="E864" s="2">
        <v>36985</v>
      </c>
      <c r="F864">
        <v>8626</v>
      </c>
      <c r="G864" t="s">
        <v>1746</v>
      </c>
      <c r="H864" t="s">
        <v>1798</v>
      </c>
      <c r="I864" t="b">
        <v>0</v>
      </c>
      <c r="J864" t="s">
        <v>1761</v>
      </c>
      <c r="K864" t="s">
        <v>1868</v>
      </c>
      <c r="L864" t="s">
        <v>1766</v>
      </c>
      <c r="M864">
        <v>372</v>
      </c>
      <c r="N864" t="b">
        <v>0</v>
      </c>
      <c r="P864" t="s">
        <v>1752</v>
      </c>
      <c r="Q864" t="s">
        <v>1753</v>
      </c>
    </row>
    <row r="865" spans="1:18" x14ac:dyDescent="0.25">
      <c r="A865" t="s">
        <v>3076</v>
      </c>
      <c r="B865" t="s">
        <v>1840</v>
      </c>
      <c r="C865" t="s">
        <v>4</v>
      </c>
      <c r="D865" t="s">
        <v>3075</v>
      </c>
      <c r="E865" s="2">
        <v>43360</v>
      </c>
      <c r="F865">
        <v>2251</v>
      </c>
      <c r="G865" t="s">
        <v>1746</v>
      </c>
      <c r="H865" t="s">
        <v>1747</v>
      </c>
      <c r="I865" t="b">
        <v>1</v>
      </c>
      <c r="J865" t="s">
        <v>1748</v>
      </c>
      <c r="K865" t="s">
        <v>1824</v>
      </c>
      <c r="L865" t="s">
        <v>1750</v>
      </c>
      <c r="M865">
        <v>372</v>
      </c>
      <c r="N865" t="b">
        <v>0</v>
      </c>
      <c r="O865">
        <v>22</v>
      </c>
      <c r="P865" t="s">
        <v>1752</v>
      </c>
      <c r="Q865" t="s">
        <v>1753</v>
      </c>
    </row>
    <row r="866" spans="1:18" x14ac:dyDescent="0.25">
      <c r="A866" t="s">
        <v>3078</v>
      </c>
      <c r="B866" t="s">
        <v>2173</v>
      </c>
      <c r="C866" t="s">
        <v>6</v>
      </c>
      <c r="D866" t="s">
        <v>3077</v>
      </c>
      <c r="E866" s="2">
        <v>42858</v>
      </c>
      <c r="F866">
        <v>2753</v>
      </c>
      <c r="G866" t="s">
        <v>1746</v>
      </c>
      <c r="H866" t="s">
        <v>1798</v>
      </c>
      <c r="I866" t="b">
        <v>0</v>
      </c>
      <c r="J866" t="s">
        <v>1748</v>
      </c>
      <c r="K866" t="s">
        <v>1757</v>
      </c>
      <c r="L866" t="s">
        <v>2102</v>
      </c>
      <c r="M866">
        <v>372</v>
      </c>
      <c r="N866" t="b">
        <v>0</v>
      </c>
      <c r="P866" t="s">
        <v>1752</v>
      </c>
      <c r="Q866" t="s">
        <v>1753</v>
      </c>
    </row>
    <row r="867" spans="1:18" x14ac:dyDescent="0.25">
      <c r="A867" t="s">
        <v>3079</v>
      </c>
      <c r="B867" t="s">
        <v>2138</v>
      </c>
      <c r="C867" t="s">
        <v>6</v>
      </c>
      <c r="D867" t="s">
        <v>45</v>
      </c>
      <c r="E867" s="2">
        <v>42759</v>
      </c>
      <c r="F867">
        <v>2852</v>
      </c>
      <c r="G867" t="s">
        <v>1746</v>
      </c>
      <c r="H867" t="s">
        <v>1798</v>
      </c>
      <c r="I867" t="b">
        <v>1</v>
      </c>
      <c r="J867" t="s">
        <v>1748</v>
      </c>
      <c r="K867" t="s">
        <v>1755</v>
      </c>
      <c r="L867" t="s">
        <v>1817</v>
      </c>
      <c r="M867">
        <v>371</v>
      </c>
      <c r="N867" t="b">
        <v>0</v>
      </c>
      <c r="O867">
        <v>1084</v>
      </c>
      <c r="P867" t="s">
        <v>1819</v>
      </c>
      <c r="Q867" t="s">
        <v>1753</v>
      </c>
      <c r="R867" t="s">
        <v>1759</v>
      </c>
    </row>
    <row r="868" spans="1:18" x14ac:dyDescent="0.25">
      <c r="A868" t="s">
        <v>3081</v>
      </c>
      <c r="B868" t="s">
        <v>1902</v>
      </c>
      <c r="C868" t="s">
        <v>4</v>
      </c>
      <c r="D868" t="s">
        <v>3080</v>
      </c>
      <c r="E868" s="2">
        <v>38660</v>
      </c>
      <c r="F868">
        <v>6951</v>
      </c>
      <c r="G868" t="s">
        <v>1746</v>
      </c>
      <c r="H868" t="s">
        <v>1798</v>
      </c>
      <c r="I868" t="b">
        <v>1</v>
      </c>
      <c r="J868" t="s">
        <v>1761</v>
      </c>
      <c r="K868" t="s">
        <v>2021</v>
      </c>
      <c r="L868" t="s">
        <v>1750</v>
      </c>
      <c r="M868">
        <v>371</v>
      </c>
      <c r="N868" t="b">
        <v>0</v>
      </c>
      <c r="O868">
        <v>41</v>
      </c>
      <c r="P868" t="s">
        <v>1752</v>
      </c>
      <c r="Q868" t="s">
        <v>1753</v>
      </c>
      <c r="R868" t="s">
        <v>1828</v>
      </c>
    </row>
    <row r="869" spans="1:18" x14ac:dyDescent="0.25">
      <c r="A869" t="s">
        <v>3083</v>
      </c>
      <c r="B869" t="s">
        <v>2173</v>
      </c>
      <c r="C869" t="s">
        <v>4</v>
      </c>
      <c r="D869" t="s">
        <v>3082</v>
      </c>
      <c r="E869" s="2">
        <v>43088</v>
      </c>
      <c r="F869">
        <v>2523</v>
      </c>
      <c r="G869" t="s">
        <v>1746</v>
      </c>
      <c r="H869" t="s">
        <v>1798</v>
      </c>
      <c r="I869" t="b">
        <v>0</v>
      </c>
      <c r="J869" t="s">
        <v>1748</v>
      </c>
      <c r="K869" t="s">
        <v>1909</v>
      </c>
      <c r="L869" t="s">
        <v>1756</v>
      </c>
      <c r="M869">
        <v>369</v>
      </c>
      <c r="N869" t="b">
        <v>1</v>
      </c>
      <c r="O869">
        <v>1911</v>
      </c>
      <c r="P869" t="s">
        <v>1752</v>
      </c>
      <c r="Q869" t="s">
        <v>1753</v>
      </c>
      <c r="R869" t="s">
        <v>1759</v>
      </c>
    </row>
    <row r="870" spans="1:18" x14ac:dyDescent="0.25">
      <c r="A870" t="s">
        <v>3084</v>
      </c>
      <c r="B870" t="s">
        <v>2106</v>
      </c>
      <c r="C870" t="s">
        <v>186</v>
      </c>
      <c r="D870" t="s">
        <v>192</v>
      </c>
      <c r="E870" s="2">
        <v>41354</v>
      </c>
      <c r="F870">
        <v>4257</v>
      </c>
      <c r="G870" t="s">
        <v>1746</v>
      </c>
      <c r="H870" t="s">
        <v>1798</v>
      </c>
      <c r="I870" t="b">
        <v>0</v>
      </c>
      <c r="J870" t="s">
        <v>1748</v>
      </c>
      <c r="K870" t="s">
        <v>1776</v>
      </c>
      <c r="L870" t="s">
        <v>1775</v>
      </c>
      <c r="M870">
        <v>368</v>
      </c>
      <c r="N870" t="b">
        <v>0</v>
      </c>
      <c r="P870" t="s">
        <v>1778</v>
      </c>
      <c r="Q870" t="s">
        <v>1779</v>
      </c>
    </row>
    <row r="871" spans="1:18" x14ac:dyDescent="0.25">
      <c r="A871" t="s">
        <v>3086</v>
      </c>
      <c r="B871" t="s">
        <v>1785</v>
      </c>
      <c r="C871" t="s">
        <v>4</v>
      </c>
      <c r="D871" t="s">
        <v>3085</v>
      </c>
      <c r="E871" s="2">
        <v>43392</v>
      </c>
      <c r="F871">
        <v>2219</v>
      </c>
      <c r="G871" t="s">
        <v>1746</v>
      </c>
      <c r="H871" t="s">
        <v>1747</v>
      </c>
      <c r="I871" t="b">
        <v>0</v>
      </c>
      <c r="J871" t="s">
        <v>1761</v>
      </c>
      <c r="K871" t="s">
        <v>1824</v>
      </c>
      <c r="L871" t="s">
        <v>1756</v>
      </c>
      <c r="M871">
        <v>367</v>
      </c>
      <c r="N871" t="b">
        <v>1</v>
      </c>
      <c r="O871">
        <v>182</v>
      </c>
      <c r="P871" t="s">
        <v>1752</v>
      </c>
      <c r="Q871" t="s">
        <v>1753</v>
      </c>
    </row>
    <row r="872" spans="1:18" x14ac:dyDescent="0.25">
      <c r="A872" t="s">
        <v>3088</v>
      </c>
      <c r="B872" t="s">
        <v>2032</v>
      </c>
      <c r="C872" t="s">
        <v>4</v>
      </c>
      <c r="D872" t="s">
        <v>3087</v>
      </c>
      <c r="E872" s="2">
        <v>43951</v>
      </c>
      <c r="F872">
        <v>1660</v>
      </c>
      <c r="G872" t="s">
        <v>1746</v>
      </c>
      <c r="H872" t="s">
        <v>1747</v>
      </c>
      <c r="I872" t="b">
        <v>0</v>
      </c>
      <c r="J872" t="s">
        <v>1761</v>
      </c>
      <c r="K872" t="s">
        <v>1809</v>
      </c>
      <c r="L872" t="s">
        <v>1750</v>
      </c>
      <c r="M872">
        <v>367</v>
      </c>
      <c r="N872" t="b">
        <v>1</v>
      </c>
      <c r="O872">
        <v>197</v>
      </c>
      <c r="P872" t="s">
        <v>1752</v>
      </c>
      <c r="Q872" t="s">
        <v>1753</v>
      </c>
    </row>
    <row r="873" spans="1:18" x14ac:dyDescent="0.25">
      <c r="A873" t="s">
        <v>3089</v>
      </c>
      <c r="B873" t="s">
        <v>2180</v>
      </c>
      <c r="C873" t="s">
        <v>4</v>
      </c>
      <c r="D873" t="s">
        <v>637</v>
      </c>
      <c r="E873" s="2">
        <v>45175</v>
      </c>
      <c r="F873">
        <v>436</v>
      </c>
      <c r="G873" t="s">
        <v>1746</v>
      </c>
      <c r="H873" t="s">
        <v>1798</v>
      </c>
      <c r="I873" t="b">
        <v>0</v>
      </c>
      <c r="J873" t="s">
        <v>1748</v>
      </c>
      <c r="K873" t="s">
        <v>1774</v>
      </c>
      <c r="L873" t="s">
        <v>1817</v>
      </c>
      <c r="M873">
        <v>367</v>
      </c>
      <c r="N873" t="b">
        <v>1</v>
      </c>
      <c r="O873">
        <v>374</v>
      </c>
      <c r="P873" t="s">
        <v>1819</v>
      </c>
      <c r="Q873" t="s">
        <v>1753</v>
      </c>
      <c r="R873" t="s">
        <v>1759</v>
      </c>
    </row>
    <row r="874" spans="1:18" x14ac:dyDescent="0.25">
      <c r="A874" t="s">
        <v>3090</v>
      </c>
      <c r="B874" t="s">
        <v>1860</v>
      </c>
      <c r="C874" t="s">
        <v>6</v>
      </c>
      <c r="D874" t="s">
        <v>960</v>
      </c>
      <c r="E874" s="2">
        <v>43964</v>
      </c>
      <c r="F874">
        <v>1647</v>
      </c>
      <c r="G874" t="s">
        <v>1746</v>
      </c>
      <c r="H874" t="s">
        <v>1798</v>
      </c>
      <c r="I874" t="b">
        <v>0</v>
      </c>
      <c r="J874" t="s">
        <v>1748</v>
      </c>
      <c r="K874" t="s">
        <v>1825</v>
      </c>
      <c r="L874" t="s">
        <v>1750</v>
      </c>
      <c r="M874">
        <v>366</v>
      </c>
      <c r="N874" t="b">
        <v>1</v>
      </c>
      <c r="O874">
        <v>49</v>
      </c>
      <c r="P874" t="s">
        <v>1819</v>
      </c>
      <c r="Q874" t="s">
        <v>1753</v>
      </c>
      <c r="R874" t="s">
        <v>1828</v>
      </c>
    </row>
    <row r="875" spans="1:18" x14ac:dyDescent="0.25">
      <c r="A875" t="s">
        <v>3091</v>
      </c>
      <c r="B875" t="s">
        <v>1810</v>
      </c>
      <c r="C875" t="s">
        <v>4</v>
      </c>
      <c r="D875" t="s">
        <v>1002</v>
      </c>
      <c r="E875" s="2">
        <v>43126</v>
      </c>
      <c r="F875">
        <v>2485</v>
      </c>
      <c r="G875" t="s">
        <v>1746</v>
      </c>
      <c r="H875" t="s">
        <v>1747</v>
      </c>
      <c r="I875" t="b">
        <v>1</v>
      </c>
      <c r="J875" t="s">
        <v>1761</v>
      </c>
      <c r="K875" t="s">
        <v>1822</v>
      </c>
      <c r="L875" t="s">
        <v>1817</v>
      </c>
      <c r="M875">
        <v>365</v>
      </c>
      <c r="N875" t="b">
        <v>0</v>
      </c>
      <c r="O875">
        <v>10057</v>
      </c>
      <c r="P875" t="s">
        <v>1819</v>
      </c>
      <c r="Q875" t="s">
        <v>1753</v>
      </c>
      <c r="R875" t="s">
        <v>1759</v>
      </c>
    </row>
    <row r="876" spans="1:18" x14ac:dyDescent="0.25">
      <c r="A876" t="s">
        <v>3092</v>
      </c>
      <c r="B876" t="s">
        <v>3093</v>
      </c>
      <c r="C876" t="s">
        <v>4</v>
      </c>
      <c r="D876" t="s">
        <v>716</v>
      </c>
      <c r="E876" s="2">
        <v>43893</v>
      </c>
      <c r="F876">
        <v>1718</v>
      </c>
      <c r="G876" t="s">
        <v>1746</v>
      </c>
      <c r="H876" t="s">
        <v>1747</v>
      </c>
      <c r="I876" t="b">
        <v>0</v>
      </c>
      <c r="J876" t="s">
        <v>1748</v>
      </c>
      <c r="K876" t="s">
        <v>2021</v>
      </c>
      <c r="L876" t="s">
        <v>1756</v>
      </c>
      <c r="M876">
        <v>365</v>
      </c>
      <c r="N876" t="b">
        <v>1</v>
      </c>
      <c r="O876">
        <v>153</v>
      </c>
      <c r="P876" t="s">
        <v>1752</v>
      </c>
      <c r="Q876" t="s">
        <v>1753</v>
      </c>
      <c r="R876" t="s">
        <v>1759</v>
      </c>
    </row>
    <row r="877" spans="1:18" x14ac:dyDescent="0.25">
      <c r="A877" t="s">
        <v>3094</v>
      </c>
      <c r="B877" t="s">
        <v>2060</v>
      </c>
      <c r="C877" t="s">
        <v>6</v>
      </c>
      <c r="D877" t="s">
        <v>1543</v>
      </c>
      <c r="E877" s="2">
        <v>39365</v>
      </c>
      <c r="F877">
        <v>6246</v>
      </c>
      <c r="G877" t="s">
        <v>1746</v>
      </c>
      <c r="H877" t="s">
        <v>1747</v>
      </c>
      <c r="I877" t="b">
        <v>0</v>
      </c>
      <c r="J877" t="s">
        <v>1748</v>
      </c>
      <c r="K877" t="s">
        <v>1822</v>
      </c>
      <c r="L877" t="s">
        <v>1766</v>
      </c>
      <c r="M877">
        <v>365</v>
      </c>
      <c r="N877" t="b">
        <v>0</v>
      </c>
      <c r="P877" t="s">
        <v>1827</v>
      </c>
      <c r="Q877" t="s">
        <v>1753</v>
      </c>
    </row>
    <row r="878" spans="1:18" x14ac:dyDescent="0.25">
      <c r="A878" t="s">
        <v>3096</v>
      </c>
      <c r="B878" t="s">
        <v>1785</v>
      </c>
      <c r="C878" t="s">
        <v>4</v>
      </c>
      <c r="D878" t="s">
        <v>3095</v>
      </c>
      <c r="E878" s="2">
        <v>43392</v>
      </c>
      <c r="F878">
        <v>2219</v>
      </c>
      <c r="G878" t="s">
        <v>1746</v>
      </c>
      <c r="H878" t="s">
        <v>1798</v>
      </c>
      <c r="I878" t="b">
        <v>0</v>
      </c>
      <c r="J878" t="s">
        <v>1761</v>
      </c>
      <c r="K878" t="s">
        <v>1774</v>
      </c>
      <c r="L878" t="s">
        <v>1756</v>
      </c>
      <c r="M878">
        <v>365</v>
      </c>
      <c r="N878" t="b">
        <v>1</v>
      </c>
      <c r="O878">
        <v>208</v>
      </c>
      <c r="P878" t="s">
        <v>1752</v>
      </c>
      <c r="Q878" t="s">
        <v>1753</v>
      </c>
      <c r="R878" t="s">
        <v>1828</v>
      </c>
    </row>
    <row r="879" spans="1:18" x14ac:dyDescent="0.25">
      <c r="A879" t="s">
        <v>3098</v>
      </c>
      <c r="B879" t="s">
        <v>1978</v>
      </c>
      <c r="C879" t="s">
        <v>4</v>
      </c>
      <c r="D879" t="s">
        <v>3097</v>
      </c>
      <c r="E879" s="2">
        <v>45594</v>
      </c>
      <c r="F879">
        <v>17</v>
      </c>
      <c r="G879" t="s">
        <v>1833</v>
      </c>
      <c r="H879" t="s">
        <v>1747</v>
      </c>
      <c r="I879" t="b">
        <v>0</v>
      </c>
      <c r="J879" t="s">
        <v>1761</v>
      </c>
      <c r="K879" t="s">
        <v>1880</v>
      </c>
      <c r="L879" t="s">
        <v>1750</v>
      </c>
      <c r="M879">
        <v>363</v>
      </c>
      <c r="N879" t="b">
        <v>0</v>
      </c>
      <c r="P879" t="s">
        <v>1752</v>
      </c>
      <c r="Q879" t="s">
        <v>1753</v>
      </c>
    </row>
    <row r="880" spans="1:18" x14ac:dyDescent="0.25">
      <c r="A880" t="s">
        <v>3100</v>
      </c>
      <c r="B880" t="s">
        <v>1876</v>
      </c>
      <c r="C880" t="s">
        <v>4</v>
      </c>
      <c r="D880" t="s">
        <v>3099</v>
      </c>
      <c r="E880" s="2">
        <v>42676</v>
      </c>
      <c r="F880">
        <v>2935</v>
      </c>
      <c r="G880" t="s">
        <v>1746</v>
      </c>
      <c r="H880" t="s">
        <v>1747</v>
      </c>
      <c r="I880" t="b">
        <v>0</v>
      </c>
      <c r="J880" t="s">
        <v>1761</v>
      </c>
      <c r="K880" t="s">
        <v>1800</v>
      </c>
      <c r="L880" t="s">
        <v>1756</v>
      </c>
      <c r="M880">
        <v>362</v>
      </c>
      <c r="N880" t="b">
        <v>1</v>
      </c>
      <c r="O880">
        <v>585</v>
      </c>
      <c r="P880" t="s">
        <v>1752</v>
      </c>
      <c r="Q880" t="s">
        <v>1753</v>
      </c>
      <c r="R880" t="s">
        <v>1759</v>
      </c>
    </row>
    <row r="881" spans="1:18" x14ac:dyDescent="0.25">
      <c r="A881" t="s">
        <v>3101</v>
      </c>
      <c r="B881" t="s">
        <v>1810</v>
      </c>
      <c r="C881" t="s">
        <v>6</v>
      </c>
      <c r="D881" t="s">
        <v>1609</v>
      </c>
      <c r="E881" s="2">
        <v>39833</v>
      </c>
      <c r="F881">
        <v>5778</v>
      </c>
      <c r="G881" t="s">
        <v>1746</v>
      </c>
      <c r="H881" t="s">
        <v>1747</v>
      </c>
      <c r="I881" t="b">
        <v>1</v>
      </c>
      <c r="J881" t="s">
        <v>1748</v>
      </c>
      <c r="K881" t="s">
        <v>1776</v>
      </c>
      <c r="L881" t="s">
        <v>1750</v>
      </c>
      <c r="M881">
        <v>362</v>
      </c>
      <c r="N881" t="b">
        <v>1</v>
      </c>
      <c r="O881">
        <v>95</v>
      </c>
      <c r="P881" t="s">
        <v>1752</v>
      </c>
      <c r="Q881" t="s">
        <v>1753</v>
      </c>
      <c r="R881" t="s">
        <v>2028</v>
      </c>
    </row>
    <row r="882" spans="1:18" x14ac:dyDescent="0.25">
      <c r="A882" t="s">
        <v>3103</v>
      </c>
      <c r="B882" t="s">
        <v>1803</v>
      </c>
      <c r="C882" t="s">
        <v>572</v>
      </c>
      <c r="D882" t="s">
        <v>3102</v>
      </c>
      <c r="E882" s="2">
        <v>39972</v>
      </c>
      <c r="F882">
        <v>5639</v>
      </c>
      <c r="G882" t="s">
        <v>1746</v>
      </c>
      <c r="H882" t="s">
        <v>1747</v>
      </c>
      <c r="I882" t="b">
        <v>0</v>
      </c>
      <c r="J882" t="s">
        <v>1761</v>
      </c>
      <c r="K882" t="s">
        <v>1853</v>
      </c>
      <c r="L882" t="s">
        <v>1750</v>
      </c>
      <c r="M882">
        <v>362</v>
      </c>
      <c r="N882" t="b">
        <v>0</v>
      </c>
      <c r="O882">
        <v>587</v>
      </c>
      <c r="P882" t="s">
        <v>1752</v>
      </c>
      <c r="Q882" t="s">
        <v>1753</v>
      </c>
    </row>
    <row r="883" spans="1:18" x14ac:dyDescent="0.25">
      <c r="A883" t="s">
        <v>512</v>
      </c>
      <c r="B883" t="s">
        <v>1810</v>
      </c>
      <c r="C883" t="s">
        <v>4</v>
      </c>
      <c r="D883" t="s">
        <v>513</v>
      </c>
      <c r="E883" s="2">
        <v>43476</v>
      </c>
      <c r="F883">
        <v>2135</v>
      </c>
      <c r="G883" t="s">
        <v>1746</v>
      </c>
      <c r="H883" t="s">
        <v>1747</v>
      </c>
      <c r="I883" t="b">
        <v>1</v>
      </c>
      <c r="J883" t="s">
        <v>1761</v>
      </c>
      <c r="K883" t="s">
        <v>1985</v>
      </c>
      <c r="L883" t="s">
        <v>1817</v>
      </c>
      <c r="M883">
        <v>361</v>
      </c>
      <c r="N883" t="b">
        <v>0</v>
      </c>
      <c r="O883">
        <v>289</v>
      </c>
      <c r="P883" t="s">
        <v>1819</v>
      </c>
      <c r="Q883" t="s">
        <v>1753</v>
      </c>
    </row>
    <row r="884" spans="1:18" x14ac:dyDescent="0.25">
      <c r="A884" t="s">
        <v>3105</v>
      </c>
      <c r="B884" t="s">
        <v>2144</v>
      </c>
      <c r="C884" t="s">
        <v>186</v>
      </c>
      <c r="D884" t="s">
        <v>3104</v>
      </c>
      <c r="E884" s="2">
        <v>44643</v>
      </c>
      <c r="F884">
        <v>968</v>
      </c>
      <c r="G884" t="s">
        <v>1746</v>
      </c>
      <c r="H884" t="s">
        <v>1747</v>
      </c>
      <c r="I884" t="b">
        <v>0</v>
      </c>
      <c r="J884" t="s">
        <v>1748</v>
      </c>
      <c r="K884" t="s">
        <v>1799</v>
      </c>
      <c r="L884" t="s">
        <v>1775</v>
      </c>
      <c r="M884">
        <v>359</v>
      </c>
      <c r="N884" t="b">
        <v>0</v>
      </c>
      <c r="P884" t="s">
        <v>2283</v>
      </c>
      <c r="Q884" t="s">
        <v>1705</v>
      </c>
    </row>
    <row r="885" spans="1:18" x14ac:dyDescent="0.25">
      <c r="A885" t="s">
        <v>3106</v>
      </c>
      <c r="B885" t="s">
        <v>1945</v>
      </c>
      <c r="C885" t="s">
        <v>6</v>
      </c>
      <c r="D885" t="s">
        <v>168</v>
      </c>
      <c r="E885" s="2">
        <v>42412</v>
      </c>
      <c r="F885">
        <v>3199</v>
      </c>
      <c r="G885" t="s">
        <v>1746</v>
      </c>
      <c r="H885" t="s">
        <v>1798</v>
      </c>
      <c r="I885" t="b">
        <v>0</v>
      </c>
      <c r="J885" t="s">
        <v>1748</v>
      </c>
      <c r="K885" t="s">
        <v>1824</v>
      </c>
      <c r="L885" t="s">
        <v>1750</v>
      </c>
      <c r="M885">
        <v>359</v>
      </c>
      <c r="N885" t="b">
        <v>1</v>
      </c>
      <c r="O885">
        <v>173</v>
      </c>
      <c r="P885" t="s">
        <v>1752</v>
      </c>
      <c r="Q885" t="s">
        <v>1753</v>
      </c>
      <c r="R885" t="s">
        <v>1828</v>
      </c>
    </row>
    <row r="886" spans="1:18" x14ac:dyDescent="0.25">
      <c r="A886" t="s">
        <v>3107</v>
      </c>
      <c r="B886" t="s">
        <v>2269</v>
      </c>
      <c r="C886" t="s">
        <v>572</v>
      </c>
      <c r="D886" t="s">
        <v>720</v>
      </c>
      <c r="E886" s="2">
        <v>38475</v>
      </c>
      <c r="F886">
        <v>7136</v>
      </c>
      <c r="G886" t="s">
        <v>1746</v>
      </c>
      <c r="H886" t="s">
        <v>1798</v>
      </c>
      <c r="I886" t="b">
        <v>0</v>
      </c>
      <c r="J886" t="s">
        <v>1761</v>
      </c>
      <c r="K886" t="s">
        <v>1879</v>
      </c>
      <c r="L886" t="s">
        <v>1750</v>
      </c>
      <c r="M886">
        <v>358</v>
      </c>
      <c r="N886" t="b">
        <v>0</v>
      </c>
      <c r="O886">
        <v>30</v>
      </c>
      <c r="P886" t="s">
        <v>1752</v>
      </c>
      <c r="Q886" t="s">
        <v>1753</v>
      </c>
      <c r="R886" t="s">
        <v>1828</v>
      </c>
    </row>
    <row r="887" spans="1:18" x14ac:dyDescent="0.25">
      <c r="A887" t="s">
        <v>3108</v>
      </c>
      <c r="B887" t="s">
        <v>2532</v>
      </c>
      <c r="C887" t="s">
        <v>6</v>
      </c>
      <c r="D887" t="s">
        <v>938</v>
      </c>
      <c r="E887" s="2">
        <v>42185</v>
      </c>
      <c r="F887">
        <v>3426</v>
      </c>
      <c r="G887" t="s">
        <v>1833</v>
      </c>
      <c r="H887" t="s">
        <v>1747</v>
      </c>
      <c r="I887" t="b">
        <v>0</v>
      </c>
      <c r="J887" t="s">
        <v>1748</v>
      </c>
      <c r="K887" t="s">
        <v>1822</v>
      </c>
      <c r="L887" t="s">
        <v>1766</v>
      </c>
      <c r="M887">
        <v>357</v>
      </c>
      <c r="N887" t="b">
        <v>0</v>
      </c>
      <c r="P887" t="s">
        <v>1827</v>
      </c>
      <c r="Q887" t="s">
        <v>1753</v>
      </c>
      <c r="R887" t="s">
        <v>1759</v>
      </c>
    </row>
    <row r="888" spans="1:18" x14ac:dyDescent="0.25">
      <c r="A888" t="s">
        <v>3109</v>
      </c>
      <c r="B888" t="s">
        <v>2353</v>
      </c>
      <c r="C888" t="s">
        <v>4</v>
      </c>
      <c r="D888" t="s">
        <v>1327</v>
      </c>
      <c r="E888" s="2">
        <v>44074</v>
      </c>
      <c r="F888">
        <v>1537</v>
      </c>
      <c r="G888" t="s">
        <v>1746</v>
      </c>
      <c r="H888" t="s">
        <v>1798</v>
      </c>
      <c r="I888" t="b">
        <v>0</v>
      </c>
      <c r="J888" t="s">
        <v>1748</v>
      </c>
      <c r="K888" t="s">
        <v>1934</v>
      </c>
      <c r="L888" t="s">
        <v>1817</v>
      </c>
      <c r="M888">
        <v>357</v>
      </c>
      <c r="N888" t="b">
        <v>0</v>
      </c>
      <c r="O888">
        <v>7086</v>
      </c>
      <c r="P888" t="s">
        <v>1819</v>
      </c>
      <c r="Q888" t="s">
        <v>1753</v>
      </c>
      <c r="R888" t="s">
        <v>1759</v>
      </c>
    </row>
    <row r="889" spans="1:18" x14ac:dyDescent="0.25">
      <c r="A889" t="s">
        <v>3111</v>
      </c>
      <c r="B889" t="s">
        <v>2177</v>
      </c>
      <c r="C889" t="s">
        <v>186</v>
      </c>
      <c r="D889" t="s">
        <v>3110</v>
      </c>
      <c r="E889" s="2">
        <v>40344</v>
      </c>
      <c r="F889">
        <v>5267</v>
      </c>
      <c r="G889" t="s">
        <v>1746</v>
      </c>
      <c r="H889" t="s">
        <v>1747</v>
      </c>
      <c r="I889" t="b">
        <v>0</v>
      </c>
      <c r="J889" t="s">
        <v>1748</v>
      </c>
      <c r="K889" t="s">
        <v>1776</v>
      </c>
      <c r="L889" t="s">
        <v>1775</v>
      </c>
      <c r="M889">
        <v>356</v>
      </c>
      <c r="N889" t="b">
        <v>0</v>
      </c>
      <c r="P889" t="s">
        <v>1778</v>
      </c>
      <c r="Q889" t="s">
        <v>1779</v>
      </c>
    </row>
    <row r="890" spans="1:18" x14ac:dyDescent="0.25">
      <c r="A890" t="s">
        <v>3113</v>
      </c>
      <c r="B890" t="s">
        <v>2698</v>
      </c>
      <c r="C890" t="s">
        <v>4</v>
      </c>
      <c r="D890" t="s">
        <v>3112</v>
      </c>
      <c r="E890" s="2">
        <v>43705</v>
      </c>
      <c r="F890">
        <v>1906</v>
      </c>
      <c r="G890" t="s">
        <v>1746</v>
      </c>
      <c r="H890" t="s">
        <v>1747</v>
      </c>
      <c r="I890" t="b">
        <v>0</v>
      </c>
      <c r="J890" t="s">
        <v>1761</v>
      </c>
      <c r="K890" t="s">
        <v>1749</v>
      </c>
      <c r="L890" t="s">
        <v>1817</v>
      </c>
      <c r="M890">
        <v>356</v>
      </c>
      <c r="N890" t="b">
        <v>0</v>
      </c>
      <c r="O890">
        <v>282</v>
      </c>
      <c r="P890" t="s">
        <v>1819</v>
      </c>
      <c r="Q890" t="s">
        <v>1753</v>
      </c>
    </row>
    <row r="891" spans="1:18" x14ac:dyDescent="0.25">
      <c r="A891" t="s">
        <v>3114</v>
      </c>
      <c r="B891" t="s">
        <v>1874</v>
      </c>
      <c r="C891" t="s">
        <v>4</v>
      </c>
      <c r="D891" t="s">
        <v>264</v>
      </c>
      <c r="E891" s="2">
        <v>45110</v>
      </c>
      <c r="F891">
        <v>501</v>
      </c>
      <c r="G891" t="s">
        <v>1746</v>
      </c>
      <c r="H891" t="s">
        <v>1747</v>
      </c>
      <c r="I891" t="b">
        <v>1</v>
      </c>
      <c r="J891" t="s">
        <v>1748</v>
      </c>
      <c r="K891" t="s">
        <v>1830</v>
      </c>
      <c r="L891" t="s">
        <v>1750</v>
      </c>
      <c r="M891">
        <v>356</v>
      </c>
      <c r="N891" t="b">
        <v>0</v>
      </c>
      <c r="O891">
        <v>61</v>
      </c>
      <c r="P891" t="s">
        <v>1752</v>
      </c>
      <c r="Q891" t="s">
        <v>1753</v>
      </c>
      <c r="R891" t="s">
        <v>1759</v>
      </c>
    </row>
    <row r="892" spans="1:18" x14ac:dyDescent="0.25">
      <c r="A892" t="s">
        <v>3116</v>
      </c>
      <c r="B892" t="s">
        <v>3117</v>
      </c>
      <c r="C892" t="s">
        <v>4</v>
      </c>
      <c r="D892" t="s">
        <v>3115</v>
      </c>
      <c r="E892" s="2">
        <v>44280</v>
      </c>
      <c r="F892">
        <v>1331</v>
      </c>
      <c r="G892" t="s">
        <v>1746</v>
      </c>
      <c r="H892" t="s">
        <v>1747</v>
      </c>
      <c r="I892" t="b">
        <v>1</v>
      </c>
      <c r="J892" t="s">
        <v>1748</v>
      </c>
      <c r="K892" t="s">
        <v>1853</v>
      </c>
      <c r="L892" t="s">
        <v>1817</v>
      </c>
      <c r="M892">
        <v>355</v>
      </c>
      <c r="N892" t="b">
        <v>1</v>
      </c>
      <c r="O892">
        <v>429</v>
      </c>
      <c r="P892" t="s">
        <v>1819</v>
      </c>
      <c r="Q892" t="s">
        <v>1753</v>
      </c>
      <c r="R892" t="s">
        <v>1772</v>
      </c>
    </row>
    <row r="893" spans="1:18" x14ac:dyDescent="0.25">
      <c r="A893" t="s">
        <v>3119</v>
      </c>
      <c r="B893" t="s">
        <v>2177</v>
      </c>
      <c r="C893" t="s">
        <v>4</v>
      </c>
      <c r="D893" t="s">
        <v>3118</v>
      </c>
      <c r="E893" s="2">
        <v>43089</v>
      </c>
      <c r="F893">
        <v>2522</v>
      </c>
      <c r="G893" t="s">
        <v>1746</v>
      </c>
      <c r="H893" t="s">
        <v>1747</v>
      </c>
      <c r="I893" t="b">
        <v>0</v>
      </c>
      <c r="J893" t="s">
        <v>1748</v>
      </c>
      <c r="K893" t="s">
        <v>1846</v>
      </c>
      <c r="L893" t="s">
        <v>1750</v>
      </c>
      <c r="M893">
        <v>355</v>
      </c>
      <c r="N893" t="b">
        <v>1</v>
      </c>
      <c r="O893">
        <v>609</v>
      </c>
      <c r="P893" t="s">
        <v>1752</v>
      </c>
      <c r="Q893" t="s">
        <v>1753</v>
      </c>
      <c r="R893" t="s">
        <v>1759</v>
      </c>
    </row>
    <row r="894" spans="1:18" x14ac:dyDescent="0.25">
      <c r="A894" t="s">
        <v>3121</v>
      </c>
      <c r="B894" t="s">
        <v>1785</v>
      </c>
      <c r="C894" t="s">
        <v>4</v>
      </c>
      <c r="D894" t="s">
        <v>3120</v>
      </c>
      <c r="E894" s="2">
        <v>40676</v>
      </c>
      <c r="F894">
        <v>4935</v>
      </c>
      <c r="G894" t="s">
        <v>1746</v>
      </c>
      <c r="H894" t="s">
        <v>1747</v>
      </c>
      <c r="I894" t="b">
        <v>1</v>
      </c>
      <c r="J894" t="s">
        <v>1748</v>
      </c>
      <c r="K894" t="s">
        <v>1913</v>
      </c>
      <c r="L894" t="s">
        <v>1756</v>
      </c>
      <c r="M894">
        <v>354</v>
      </c>
      <c r="N894" t="b">
        <v>0</v>
      </c>
      <c r="O894">
        <v>2076</v>
      </c>
      <c r="P894" t="s">
        <v>1752</v>
      </c>
      <c r="Q894" t="s">
        <v>1753</v>
      </c>
      <c r="R894" t="s">
        <v>1772</v>
      </c>
    </row>
    <row r="895" spans="1:18" x14ac:dyDescent="0.25">
      <c r="A895" t="s">
        <v>3123</v>
      </c>
      <c r="B895" t="s">
        <v>2150</v>
      </c>
      <c r="C895" t="s">
        <v>6</v>
      </c>
      <c r="D895" t="s">
        <v>3122</v>
      </c>
      <c r="E895" s="2">
        <v>44389</v>
      </c>
      <c r="F895">
        <v>1222</v>
      </c>
      <c r="G895" t="s">
        <v>1746</v>
      </c>
      <c r="H895" t="s">
        <v>1805</v>
      </c>
      <c r="I895" t="b">
        <v>1</v>
      </c>
      <c r="J895" t="s">
        <v>1761</v>
      </c>
      <c r="K895" t="s">
        <v>1824</v>
      </c>
      <c r="L895" t="s">
        <v>1817</v>
      </c>
      <c r="M895">
        <v>353</v>
      </c>
      <c r="N895" t="b">
        <v>0</v>
      </c>
      <c r="O895">
        <v>1084</v>
      </c>
      <c r="P895" t="s">
        <v>1819</v>
      </c>
      <c r="Q895" t="s">
        <v>1753</v>
      </c>
      <c r="R895" t="s">
        <v>1759</v>
      </c>
    </row>
    <row r="896" spans="1:18" x14ac:dyDescent="0.25">
      <c r="A896" t="s">
        <v>3125</v>
      </c>
      <c r="B896" t="s">
        <v>2014</v>
      </c>
      <c r="C896" t="s">
        <v>6</v>
      </c>
      <c r="D896" t="s">
        <v>3124</v>
      </c>
      <c r="E896" s="2">
        <v>40361</v>
      </c>
      <c r="F896">
        <v>5250</v>
      </c>
      <c r="G896" t="s">
        <v>1746</v>
      </c>
      <c r="H896" t="s">
        <v>1747</v>
      </c>
      <c r="I896" t="b">
        <v>0</v>
      </c>
      <c r="J896" t="s">
        <v>1748</v>
      </c>
      <c r="K896" t="s">
        <v>1891</v>
      </c>
      <c r="L896" t="s">
        <v>1766</v>
      </c>
      <c r="M896">
        <v>353</v>
      </c>
      <c r="N896" t="b">
        <v>0</v>
      </c>
      <c r="P896" t="s">
        <v>1752</v>
      </c>
      <c r="Q896" t="s">
        <v>1753</v>
      </c>
    </row>
    <row r="897" spans="1:18" x14ac:dyDescent="0.25">
      <c r="A897" t="s">
        <v>3126</v>
      </c>
      <c r="B897" t="s">
        <v>1810</v>
      </c>
      <c r="C897" t="s">
        <v>4</v>
      </c>
      <c r="D897" t="s">
        <v>747</v>
      </c>
      <c r="E897" s="2">
        <v>43440</v>
      </c>
      <c r="F897">
        <v>2171</v>
      </c>
      <c r="G897" t="s">
        <v>1833</v>
      </c>
      <c r="H897" t="s">
        <v>1798</v>
      </c>
      <c r="I897" t="b">
        <v>0</v>
      </c>
      <c r="J897" t="s">
        <v>1748</v>
      </c>
      <c r="K897" t="s">
        <v>1961</v>
      </c>
      <c r="L897" t="s">
        <v>1817</v>
      </c>
      <c r="M897">
        <v>353</v>
      </c>
      <c r="N897" t="b">
        <v>1</v>
      </c>
      <c r="O897">
        <v>445</v>
      </c>
      <c r="P897" t="s">
        <v>1819</v>
      </c>
      <c r="Q897" t="s">
        <v>1753</v>
      </c>
      <c r="R897" t="s">
        <v>1759</v>
      </c>
    </row>
    <row r="898" spans="1:18" x14ac:dyDescent="0.25">
      <c r="A898" t="s">
        <v>3128</v>
      </c>
      <c r="B898" t="s">
        <v>2150</v>
      </c>
      <c r="C898" t="s">
        <v>6</v>
      </c>
      <c r="D898" t="s">
        <v>3127</v>
      </c>
      <c r="E898" s="2">
        <v>44867</v>
      </c>
      <c r="F898">
        <v>744</v>
      </c>
      <c r="G898" t="s">
        <v>1746</v>
      </c>
      <c r="H898" t="s">
        <v>1805</v>
      </c>
      <c r="I898" t="b">
        <v>0</v>
      </c>
      <c r="J898" t="s">
        <v>1761</v>
      </c>
      <c r="K898" t="s">
        <v>1985</v>
      </c>
      <c r="L898" t="s">
        <v>1750</v>
      </c>
      <c r="M898">
        <v>353</v>
      </c>
      <c r="N898" t="b">
        <v>0</v>
      </c>
      <c r="O898">
        <v>86</v>
      </c>
      <c r="P898" t="s">
        <v>1819</v>
      </c>
      <c r="Q898" t="s">
        <v>1753</v>
      </c>
    </row>
    <row r="899" spans="1:18" x14ac:dyDescent="0.25">
      <c r="A899" t="s">
        <v>3130</v>
      </c>
      <c r="B899" t="s">
        <v>1907</v>
      </c>
      <c r="C899" t="s">
        <v>6</v>
      </c>
      <c r="D899" t="s">
        <v>3129</v>
      </c>
      <c r="E899" s="2">
        <v>44258</v>
      </c>
      <c r="F899">
        <v>1353</v>
      </c>
      <c r="G899" t="s">
        <v>1746</v>
      </c>
      <c r="H899" t="s">
        <v>1798</v>
      </c>
      <c r="I899" t="b">
        <v>0</v>
      </c>
      <c r="J899" t="s">
        <v>1761</v>
      </c>
      <c r="K899" t="s">
        <v>1770</v>
      </c>
      <c r="L899" t="s">
        <v>1750</v>
      </c>
      <c r="M899">
        <v>352</v>
      </c>
      <c r="N899" t="b">
        <v>1</v>
      </c>
      <c r="O899">
        <v>5208</v>
      </c>
      <c r="P899" t="s">
        <v>1819</v>
      </c>
      <c r="Q899" t="s">
        <v>1753</v>
      </c>
      <c r="R899" t="s">
        <v>1759</v>
      </c>
    </row>
    <row r="900" spans="1:18" x14ac:dyDescent="0.25">
      <c r="A900" t="s">
        <v>3131</v>
      </c>
      <c r="B900" t="s">
        <v>1810</v>
      </c>
      <c r="C900" t="s">
        <v>4</v>
      </c>
      <c r="D900" t="s">
        <v>1622</v>
      </c>
      <c r="E900" s="2">
        <v>42445</v>
      </c>
      <c r="F900">
        <v>3166</v>
      </c>
      <c r="G900" t="s">
        <v>1746</v>
      </c>
      <c r="H900" t="s">
        <v>1747</v>
      </c>
      <c r="I900" t="b">
        <v>1</v>
      </c>
      <c r="J900" t="s">
        <v>1748</v>
      </c>
      <c r="K900" t="s">
        <v>1776</v>
      </c>
      <c r="L900" t="s">
        <v>1750</v>
      </c>
      <c r="M900">
        <v>351</v>
      </c>
      <c r="N900" t="b">
        <v>0</v>
      </c>
      <c r="O900">
        <v>73</v>
      </c>
      <c r="P900" t="s">
        <v>1752</v>
      </c>
      <c r="Q900" t="s">
        <v>1753</v>
      </c>
      <c r="R900" t="s">
        <v>1759</v>
      </c>
    </row>
    <row r="901" spans="1:18" x14ac:dyDescent="0.25">
      <c r="A901" t="s">
        <v>3132</v>
      </c>
      <c r="B901" t="s">
        <v>1810</v>
      </c>
      <c r="C901" t="s">
        <v>4</v>
      </c>
      <c r="D901" t="s">
        <v>652</v>
      </c>
      <c r="E901" s="2">
        <v>40200</v>
      </c>
      <c r="F901">
        <v>5411</v>
      </c>
      <c r="G901" t="s">
        <v>1746</v>
      </c>
      <c r="H901" t="s">
        <v>1747</v>
      </c>
      <c r="I901" t="b">
        <v>1</v>
      </c>
      <c r="J901" t="s">
        <v>1748</v>
      </c>
      <c r="K901" t="s">
        <v>1868</v>
      </c>
      <c r="L901" t="s">
        <v>1750</v>
      </c>
      <c r="M901">
        <v>351</v>
      </c>
      <c r="N901" t="b">
        <v>0</v>
      </c>
      <c r="O901">
        <v>57</v>
      </c>
      <c r="P901" t="s">
        <v>1752</v>
      </c>
      <c r="Q901" t="s">
        <v>1753</v>
      </c>
    </row>
    <row r="902" spans="1:18" x14ac:dyDescent="0.25">
      <c r="A902" t="s">
        <v>3133</v>
      </c>
      <c r="B902" t="s">
        <v>1810</v>
      </c>
      <c r="C902" t="s">
        <v>6</v>
      </c>
      <c r="D902" t="s">
        <v>1531</v>
      </c>
      <c r="E902" s="2">
        <v>41500</v>
      </c>
      <c r="F902">
        <v>4111</v>
      </c>
      <c r="G902" t="s">
        <v>1746</v>
      </c>
      <c r="H902" t="s">
        <v>1798</v>
      </c>
      <c r="I902" t="b">
        <v>1</v>
      </c>
      <c r="J902" t="s">
        <v>1748</v>
      </c>
      <c r="K902" t="s">
        <v>1755</v>
      </c>
      <c r="L902" t="s">
        <v>1817</v>
      </c>
      <c r="M902">
        <v>351</v>
      </c>
      <c r="N902" t="b">
        <v>0</v>
      </c>
      <c r="O902">
        <v>1147</v>
      </c>
      <c r="P902" t="s">
        <v>1819</v>
      </c>
      <c r="Q902" t="s">
        <v>1753</v>
      </c>
      <c r="R902" t="s">
        <v>1759</v>
      </c>
    </row>
    <row r="903" spans="1:18" x14ac:dyDescent="0.25">
      <c r="A903" t="s">
        <v>3134</v>
      </c>
      <c r="B903" t="s">
        <v>1860</v>
      </c>
      <c r="C903" t="s">
        <v>4</v>
      </c>
      <c r="D903" t="s">
        <v>793</v>
      </c>
      <c r="E903" s="2">
        <v>44686</v>
      </c>
      <c r="F903">
        <v>925</v>
      </c>
      <c r="G903" t="s">
        <v>1746</v>
      </c>
      <c r="H903" t="s">
        <v>1798</v>
      </c>
      <c r="I903" t="b">
        <v>0</v>
      </c>
      <c r="J903" t="s">
        <v>1748</v>
      </c>
      <c r="K903" t="s">
        <v>1846</v>
      </c>
      <c r="L903" t="s">
        <v>1756</v>
      </c>
      <c r="M903">
        <v>351</v>
      </c>
      <c r="N903" t="b">
        <v>1</v>
      </c>
      <c r="O903">
        <v>257</v>
      </c>
      <c r="P903" t="s">
        <v>1819</v>
      </c>
      <c r="Q903" t="s">
        <v>1753</v>
      </c>
      <c r="R903" t="s">
        <v>1772</v>
      </c>
    </row>
    <row r="904" spans="1:18" x14ac:dyDescent="0.25">
      <c r="A904" t="s">
        <v>3136</v>
      </c>
      <c r="B904" t="s">
        <v>3117</v>
      </c>
      <c r="C904" t="s">
        <v>4</v>
      </c>
      <c r="D904" t="s">
        <v>3135</v>
      </c>
      <c r="E904" s="2">
        <v>45266</v>
      </c>
      <c r="F904">
        <v>345</v>
      </c>
      <c r="G904" t="s">
        <v>1746</v>
      </c>
      <c r="H904" t="s">
        <v>1747</v>
      </c>
      <c r="I904" t="b">
        <v>0</v>
      </c>
      <c r="J904" t="s">
        <v>1761</v>
      </c>
      <c r="K904" t="s">
        <v>1776</v>
      </c>
      <c r="L904" t="s">
        <v>1817</v>
      </c>
      <c r="M904">
        <v>350</v>
      </c>
      <c r="N904" t="b">
        <v>1</v>
      </c>
      <c r="O904">
        <v>1040</v>
      </c>
      <c r="P904" t="s">
        <v>1819</v>
      </c>
      <c r="Q904" t="s">
        <v>1753</v>
      </c>
      <c r="R904" t="s">
        <v>1759</v>
      </c>
    </row>
    <row r="905" spans="1:18" x14ac:dyDescent="0.25">
      <c r="A905" t="s">
        <v>3137</v>
      </c>
      <c r="B905" t="s">
        <v>1810</v>
      </c>
      <c r="C905" t="s">
        <v>4</v>
      </c>
      <c r="D905" t="s">
        <v>988</v>
      </c>
      <c r="E905" s="2">
        <v>42417</v>
      </c>
      <c r="F905">
        <v>3194</v>
      </c>
      <c r="G905" t="s">
        <v>1746</v>
      </c>
      <c r="H905" t="s">
        <v>1747</v>
      </c>
      <c r="I905" t="b">
        <v>1</v>
      </c>
      <c r="J905" t="s">
        <v>1761</v>
      </c>
      <c r="K905" t="s">
        <v>1774</v>
      </c>
      <c r="L905" t="s">
        <v>1817</v>
      </c>
      <c r="M905">
        <v>350</v>
      </c>
      <c r="N905" t="b">
        <v>0</v>
      </c>
      <c r="O905">
        <v>2720</v>
      </c>
      <c r="P905" t="s">
        <v>1819</v>
      </c>
      <c r="Q905" t="s">
        <v>1753</v>
      </c>
      <c r="R905" t="s">
        <v>1759</v>
      </c>
    </row>
    <row r="906" spans="1:18" x14ac:dyDescent="0.25">
      <c r="A906" t="s">
        <v>3139</v>
      </c>
      <c r="B906" t="s">
        <v>2177</v>
      </c>
      <c r="C906" t="s">
        <v>4</v>
      </c>
      <c r="D906" t="s">
        <v>3138</v>
      </c>
      <c r="E906" s="2">
        <v>43088</v>
      </c>
      <c r="F906">
        <v>2523</v>
      </c>
      <c r="G906" t="s">
        <v>1746</v>
      </c>
      <c r="H906" t="s">
        <v>1747</v>
      </c>
      <c r="I906" t="b">
        <v>0</v>
      </c>
      <c r="J906" t="s">
        <v>1748</v>
      </c>
      <c r="K906" t="s">
        <v>1755</v>
      </c>
      <c r="L906" t="s">
        <v>1750</v>
      </c>
      <c r="M906">
        <v>349</v>
      </c>
      <c r="N906" t="b">
        <v>1</v>
      </c>
      <c r="O906">
        <v>114</v>
      </c>
      <c r="P906" t="s">
        <v>1752</v>
      </c>
      <c r="Q906" t="s">
        <v>1753</v>
      </c>
      <c r="R906" t="s">
        <v>1759</v>
      </c>
    </row>
    <row r="907" spans="1:18" x14ac:dyDescent="0.25">
      <c r="A907" t="s">
        <v>3140</v>
      </c>
      <c r="B907" t="s">
        <v>1876</v>
      </c>
      <c r="C907" t="s">
        <v>4</v>
      </c>
      <c r="D907" t="s">
        <v>823</v>
      </c>
      <c r="E907" s="2">
        <v>43794</v>
      </c>
      <c r="F907">
        <v>1817</v>
      </c>
      <c r="G907" t="s">
        <v>1746</v>
      </c>
      <c r="H907" t="s">
        <v>1747</v>
      </c>
      <c r="I907" t="b">
        <v>0</v>
      </c>
      <c r="J907" t="s">
        <v>1748</v>
      </c>
      <c r="K907" t="s">
        <v>1774</v>
      </c>
      <c r="L907" t="s">
        <v>1750</v>
      </c>
      <c r="M907">
        <v>348</v>
      </c>
      <c r="N907" t="b">
        <v>1</v>
      </c>
      <c r="O907">
        <v>430</v>
      </c>
      <c r="P907" t="s">
        <v>1752</v>
      </c>
      <c r="Q907" t="s">
        <v>1753</v>
      </c>
    </row>
    <row r="908" spans="1:18" x14ac:dyDescent="0.25">
      <c r="A908" t="s">
        <v>3141</v>
      </c>
      <c r="B908" t="s">
        <v>1814</v>
      </c>
      <c r="C908" t="s">
        <v>4</v>
      </c>
      <c r="D908" t="s">
        <v>1009</v>
      </c>
      <c r="E908" s="2">
        <v>40697</v>
      </c>
      <c r="F908">
        <v>4914</v>
      </c>
      <c r="G908" t="s">
        <v>1746</v>
      </c>
      <c r="H908" t="s">
        <v>1747</v>
      </c>
      <c r="I908" t="b">
        <v>1</v>
      </c>
      <c r="J908" t="s">
        <v>1761</v>
      </c>
      <c r="K908" t="s">
        <v>1824</v>
      </c>
      <c r="L908" t="s">
        <v>1817</v>
      </c>
      <c r="M908">
        <v>347</v>
      </c>
      <c r="N908" t="b">
        <v>0</v>
      </c>
      <c r="O908">
        <v>248</v>
      </c>
      <c r="P908" t="s">
        <v>1819</v>
      </c>
      <c r="Q908" t="s">
        <v>1753</v>
      </c>
    </row>
    <row r="909" spans="1:18" x14ac:dyDescent="0.25">
      <c r="A909" t="s">
        <v>3143</v>
      </c>
      <c r="B909" t="s">
        <v>1803</v>
      </c>
      <c r="C909" t="s">
        <v>572</v>
      </c>
      <c r="D909" t="s">
        <v>3142</v>
      </c>
      <c r="E909" s="2">
        <v>37445</v>
      </c>
      <c r="F909">
        <v>8166</v>
      </c>
      <c r="G909" t="s">
        <v>1746</v>
      </c>
      <c r="H909" t="s">
        <v>1798</v>
      </c>
      <c r="I909" t="b">
        <v>0</v>
      </c>
      <c r="J909" t="s">
        <v>1761</v>
      </c>
      <c r="K909" t="s">
        <v>1912</v>
      </c>
      <c r="L909" t="s">
        <v>1750</v>
      </c>
      <c r="M909">
        <v>347</v>
      </c>
      <c r="N909" t="b">
        <v>0</v>
      </c>
      <c r="O909">
        <v>18</v>
      </c>
      <c r="P909" t="s">
        <v>1752</v>
      </c>
      <c r="Q909" t="s">
        <v>1753</v>
      </c>
      <c r="R909" t="s">
        <v>1828</v>
      </c>
    </row>
    <row r="910" spans="1:18" x14ac:dyDescent="0.25">
      <c r="A910" t="s">
        <v>3145</v>
      </c>
      <c r="B910" t="s">
        <v>1803</v>
      </c>
      <c r="C910" t="s">
        <v>572</v>
      </c>
      <c r="D910" t="s">
        <v>3144</v>
      </c>
      <c r="E910" s="2">
        <v>39888</v>
      </c>
      <c r="F910">
        <v>5723</v>
      </c>
      <c r="G910" t="s">
        <v>1746</v>
      </c>
      <c r="H910" t="s">
        <v>1798</v>
      </c>
      <c r="I910" t="b">
        <v>0</v>
      </c>
      <c r="J910" t="s">
        <v>1761</v>
      </c>
      <c r="K910" t="s">
        <v>1824</v>
      </c>
      <c r="L910" t="s">
        <v>1750</v>
      </c>
      <c r="M910">
        <v>347</v>
      </c>
      <c r="N910" t="b">
        <v>0</v>
      </c>
      <c r="O910">
        <v>15</v>
      </c>
      <c r="P910" t="s">
        <v>1819</v>
      </c>
      <c r="Q910" t="s">
        <v>1753</v>
      </c>
    </row>
    <row r="911" spans="1:18" x14ac:dyDescent="0.25">
      <c r="A911" t="s">
        <v>3147</v>
      </c>
      <c r="B911" t="s">
        <v>1907</v>
      </c>
      <c r="C911" t="s">
        <v>6</v>
      </c>
      <c r="D911" t="s">
        <v>3146</v>
      </c>
      <c r="E911" s="2">
        <v>44483</v>
      </c>
      <c r="F911">
        <v>1128</v>
      </c>
      <c r="G911" t="s">
        <v>1746</v>
      </c>
      <c r="H911" t="s">
        <v>1798</v>
      </c>
      <c r="I911" t="b">
        <v>0</v>
      </c>
      <c r="J911" t="s">
        <v>1748</v>
      </c>
      <c r="K911" t="s">
        <v>1826</v>
      </c>
      <c r="L911" t="s">
        <v>1756</v>
      </c>
      <c r="M911">
        <v>347</v>
      </c>
      <c r="N911" t="b">
        <v>1</v>
      </c>
      <c r="O911">
        <v>2642</v>
      </c>
      <c r="P911" t="s">
        <v>1819</v>
      </c>
      <c r="Q911" t="s">
        <v>1753</v>
      </c>
      <c r="R911" t="s">
        <v>1759</v>
      </c>
    </row>
    <row r="912" spans="1:18" x14ac:dyDescent="0.25">
      <c r="A912" t="s">
        <v>3149</v>
      </c>
      <c r="B912" t="s">
        <v>1978</v>
      </c>
      <c r="C912" t="s">
        <v>4</v>
      </c>
      <c r="D912" t="s">
        <v>3148</v>
      </c>
      <c r="E912" s="2">
        <v>44368</v>
      </c>
      <c r="F912">
        <v>1243</v>
      </c>
      <c r="G912" t="s">
        <v>1746</v>
      </c>
      <c r="H912" t="s">
        <v>1747</v>
      </c>
      <c r="I912" t="b">
        <v>0</v>
      </c>
      <c r="J912" t="s">
        <v>1761</v>
      </c>
      <c r="K912" t="s">
        <v>1755</v>
      </c>
      <c r="L912" t="s">
        <v>1766</v>
      </c>
      <c r="M912">
        <v>347</v>
      </c>
      <c r="N912" t="b">
        <v>0</v>
      </c>
      <c r="P912" t="s">
        <v>1752</v>
      </c>
      <c r="Q912" t="s">
        <v>1753</v>
      </c>
    </row>
    <row r="913" spans="1:18" x14ac:dyDescent="0.25">
      <c r="A913" t="s">
        <v>3151</v>
      </c>
      <c r="B913" t="s">
        <v>1907</v>
      </c>
      <c r="C913" t="s">
        <v>6</v>
      </c>
      <c r="D913" t="s">
        <v>3150</v>
      </c>
      <c r="E913" s="2">
        <v>44112</v>
      </c>
      <c r="F913">
        <v>1499</v>
      </c>
      <c r="G913" t="s">
        <v>1746</v>
      </c>
      <c r="H913" t="s">
        <v>1798</v>
      </c>
      <c r="I913" t="b">
        <v>1</v>
      </c>
      <c r="J913" t="s">
        <v>1748</v>
      </c>
      <c r="K913" t="s">
        <v>1765</v>
      </c>
      <c r="L913" t="s">
        <v>1750</v>
      </c>
      <c r="M913">
        <v>344</v>
      </c>
      <c r="N913" t="b">
        <v>0</v>
      </c>
      <c r="O913">
        <v>107</v>
      </c>
      <c r="P913" t="s">
        <v>1819</v>
      </c>
      <c r="Q913" t="s">
        <v>1753</v>
      </c>
      <c r="R913" t="s">
        <v>1828</v>
      </c>
    </row>
    <row r="914" spans="1:18" x14ac:dyDescent="0.25">
      <c r="A914" t="s">
        <v>3152</v>
      </c>
      <c r="B914" t="s">
        <v>1810</v>
      </c>
      <c r="C914" t="s">
        <v>6</v>
      </c>
      <c r="D914" t="s">
        <v>1496</v>
      </c>
      <c r="E914" s="2">
        <v>41647</v>
      </c>
      <c r="F914">
        <v>3964</v>
      </c>
      <c r="G914" t="s">
        <v>1746</v>
      </c>
      <c r="H914" t="s">
        <v>1747</v>
      </c>
      <c r="I914" t="b">
        <v>0</v>
      </c>
      <c r="J914" t="s">
        <v>1761</v>
      </c>
      <c r="K914" t="s">
        <v>1757</v>
      </c>
      <c r="L914" t="s">
        <v>1750</v>
      </c>
      <c r="M914">
        <v>344</v>
      </c>
      <c r="N914" t="b">
        <v>0</v>
      </c>
      <c r="O914">
        <v>286</v>
      </c>
      <c r="P914" t="s">
        <v>1752</v>
      </c>
      <c r="Q914" t="s">
        <v>1753</v>
      </c>
    </row>
    <row r="915" spans="1:18" x14ac:dyDescent="0.25">
      <c r="A915" t="s">
        <v>3154</v>
      </c>
      <c r="B915" t="s">
        <v>1840</v>
      </c>
      <c r="C915" t="s">
        <v>4</v>
      </c>
      <c r="D915" t="s">
        <v>3153</v>
      </c>
      <c r="E915" s="2">
        <v>42845</v>
      </c>
      <c r="F915">
        <v>2766</v>
      </c>
      <c r="G915" t="s">
        <v>1746</v>
      </c>
      <c r="H915" t="s">
        <v>1747</v>
      </c>
      <c r="I915" t="b">
        <v>1</v>
      </c>
      <c r="J915" t="s">
        <v>1761</v>
      </c>
      <c r="K915" t="s">
        <v>1822</v>
      </c>
      <c r="L915" t="s">
        <v>1817</v>
      </c>
      <c r="M915">
        <v>344</v>
      </c>
      <c r="N915" t="b">
        <v>0</v>
      </c>
      <c r="O915">
        <v>28</v>
      </c>
      <c r="P915" t="s">
        <v>1819</v>
      </c>
      <c r="Q915" t="s">
        <v>1753</v>
      </c>
    </row>
    <row r="916" spans="1:18" x14ac:dyDescent="0.25">
      <c r="A916" t="s">
        <v>3155</v>
      </c>
      <c r="B916" t="s">
        <v>1754</v>
      </c>
      <c r="C916" t="s">
        <v>4</v>
      </c>
      <c r="D916" t="s">
        <v>561</v>
      </c>
      <c r="E916" s="2">
        <v>39010</v>
      </c>
      <c r="F916">
        <v>6601</v>
      </c>
      <c r="G916" t="s">
        <v>1746</v>
      </c>
      <c r="H916" t="s">
        <v>1747</v>
      </c>
      <c r="I916" t="b">
        <v>1</v>
      </c>
      <c r="J916" t="s">
        <v>1761</v>
      </c>
      <c r="K916" t="s">
        <v>1883</v>
      </c>
      <c r="L916" t="s">
        <v>1750</v>
      </c>
      <c r="M916">
        <v>343</v>
      </c>
      <c r="N916" t="b">
        <v>0</v>
      </c>
      <c r="O916">
        <v>130</v>
      </c>
      <c r="P916" t="s">
        <v>2266</v>
      </c>
      <c r="Q916" t="s">
        <v>1753</v>
      </c>
      <c r="R916" t="s">
        <v>2028</v>
      </c>
    </row>
    <row r="917" spans="1:18" x14ac:dyDescent="0.25">
      <c r="A917" t="s">
        <v>3156</v>
      </c>
      <c r="B917" t="s">
        <v>1810</v>
      </c>
      <c r="C917" t="s">
        <v>4</v>
      </c>
      <c r="D917" t="s">
        <v>524</v>
      </c>
      <c r="E917" s="2">
        <v>42926</v>
      </c>
      <c r="F917">
        <v>2685</v>
      </c>
      <c r="G917" t="s">
        <v>1746</v>
      </c>
      <c r="H917" t="s">
        <v>1747</v>
      </c>
      <c r="I917" t="b">
        <v>1</v>
      </c>
      <c r="J917" t="s">
        <v>1761</v>
      </c>
      <c r="K917" t="s">
        <v>1822</v>
      </c>
      <c r="L917" t="s">
        <v>1817</v>
      </c>
      <c r="M917">
        <v>343</v>
      </c>
      <c r="N917" t="b">
        <v>0</v>
      </c>
      <c r="O917">
        <v>375</v>
      </c>
      <c r="P917" t="s">
        <v>1819</v>
      </c>
      <c r="Q917" t="s">
        <v>1753</v>
      </c>
    </row>
    <row r="918" spans="1:18" x14ac:dyDescent="0.25">
      <c r="A918" t="s">
        <v>3158</v>
      </c>
      <c r="B918" t="s">
        <v>1907</v>
      </c>
      <c r="C918" t="s">
        <v>4</v>
      </c>
      <c r="D918" t="s">
        <v>3157</v>
      </c>
      <c r="E918" s="2">
        <v>43906</v>
      </c>
      <c r="F918">
        <v>1705</v>
      </c>
      <c r="G918" t="s">
        <v>1746</v>
      </c>
      <c r="H918" t="s">
        <v>1798</v>
      </c>
      <c r="I918" t="b">
        <v>0</v>
      </c>
      <c r="J918" t="s">
        <v>1761</v>
      </c>
      <c r="K918" t="s">
        <v>1863</v>
      </c>
      <c r="L918" t="s">
        <v>1817</v>
      </c>
      <c r="M918">
        <v>342</v>
      </c>
      <c r="N918" t="b">
        <v>1</v>
      </c>
      <c r="O918">
        <v>460</v>
      </c>
      <c r="P918" t="s">
        <v>1819</v>
      </c>
      <c r="Q918" t="s">
        <v>1753</v>
      </c>
      <c r="R918" t="s">
        <v>1759</v>
      </c>
    </row>
    <row r="919" spans="1:18" x14ac:dyDescent="0.25">
      <c r="A919" t="s">
        <v>693</v>
      </c>
      <c r="B919" t="s">
        <v>2269</v>
      </c>
      <c r="C919" t="s">
        <v>4</v>
      </c>
      <c r="D919" t="s">
        <v>694</v>
      </c>
      <c r="E919" s="2">
        <v>43291</v>
      </c>
      <c r="F919">
        <v>2320</v>
      </c>
      <c r="G919" t="s">
        <v>1746</v>
      </c>
      <c r="H919" t="s">
        <v>1798</v>
      </c>
      <c r="I919" t="b">
        <v>0</v>
      </c>
      <c r="J919" t="s">
        <v>1761</v>
      </c>
      <c r="K919" t="s">
        <v>1891</v>
      </c>
      <c r="L919" t="s">
        <v>1750</v>
      </c>
      <c r="M919">
        <v>342</v>
      </c>
      <c r="N919" t="b">
        <v>1</v>
      </c>
      <c r="O919">
        <v>175</v>
      </c>
      <c r="P919" t="s">
        <v>1752</v>
      </c>
      <c r="Q919" t="s">
        <v>1753</v>
      </c>
    </row>
    <row r="920" spans="1:18" x14ac:dyDescent="0.25">
      <c r="A920" t="s">
        <v>3160</v>
      </c>
      <c r="B920" t="s">
        <v>2177</v>
      </c>
      <c r="C920" t="s">
        <v>6</v>
      </c>
      <c r="D920" t="s">
        <v>3159</v>
      </c>
      <c r="E920" s="2">
        <v>42843</v>
      </c>
      <c r="F920">
        <v>2768</v>
      </c>
      <c r="G920" t="s">
        <v>1746</v>
      </c>
      <c r="H920" t="s">
        <v>1747</v>
      </c>
      <c r="I920" t="b">
        <v>1</v>
      </c>
      <c r="J920" t="s">
        <v>1748</v>
      </c>
      <c r="K920" t="s">
        <v>1776</v>
      </c>
      <c r="L920" t="s">
        <v>1817</v>
      </c>
      <c r="M920">
        <v>342</v>
      </c>
      <c r="N920" t="b">
        <v>0</v>
      </c>
      <c r="O920">
        <v>1147</v>
      </c>
      <c r="P920" t="s">
        <v>1819</v>
      </c>
      <c r="Q920" t="s">
        <v>1753</v>
      </c>
      <c r="R920" t="s">
        <v>1759</v>
      </c>
    </row>
    <row r="921" spans="1:18" x14ac:dyDescent="0.25">
      <c r="A921" t="s">
        <v>3161</v>
      </c>
      <c r="B921" t="s">
        <v>1945</v>
      </c>
      <c r="C921" t="s">
        <v>6</v>
      </c>
      <c r="D921" t="s">
        <v>101</v>
      </c>
      <c r="E921" s="2">
        <v>42811</v>
      </c>
      <c r="F921">
        <v>2800</v>
      </c>
      <c r="G921" t="s">
        <v>1746</v>
      </c>
      <c r="H921" t="s">
        <v>1798</v>
      </c>
      <c r="I921" t="b">
        <v>0</v>
      </c>
      <c r="J921" t="s">
        <v>1748</v>
      </c>
      <c r="K921" t="s">
        <v>1846</v>
      </c>
      <c r="L921" t="s">
        <v>1766</v>
      </c>
      <c r="M921">
        <v>340</v>
      </c>
      <c r="N921" t="b">
        <v>0</v>
      </c>
      <c r="P921" t="s">
        <v>1752</v>
      </c>
      <c r="Q921" t="s">
        <v>1753</v>
      </c>
    </row>
    <row r="922" spans="1:18" x14ac:dyDescent="0.25">
      <c r="A922" t="s">
        <v>3162</v>
      </c>
      <c r="B922" t="s">
        <v>1998</v>
      </c>
      <c r="C922" t="s">
        <v>4</v>
      </c>
      <c r="D922" t="s">
        <v>429</v>
      </c>
      <c r="E922" s="2">
        <v>40163</v>
      </c>
      <c r="F922">
        <v>5448</v>
      </c>
      <c r="G922" t="s">
        <v>1746</v>
      </c>
      <c r="H922" t="s">
        <v>1747</v>
      </c>
      <c r="I922" t="b">
        <v>0</v>
      </c>
      <c r="J922" t="s">
        <v>1748</v>
      </c>
      <c r="K922" t="s">
        <v>1934</v>
      </c>
      <c r="L922" t="s">
        <v>1766</v>
      </c>
      <c r="M922">
        <v>340</v>
      </c>
      <c r="N922" t="b">
        <v>0</v>
      </c>
      <c r="P922" t="s">
        <v>1752</v>
      </c>
      <c r="Q922" t="s">
        <v>1753</v>
      </c>
    </row>
    <row r="923" spans="1:18" x14ac:dyDescent="0.25">
      <c r="A923" t="s">
        <v>3164</v>
      </c>
      <c r="B923" t="s">
        <v>1803</v>
      </c>
      <c r="C923" t="s">
        <v>572</v>
      </c>
      <c r="D923" t="s">
        <v>3163</v>
      </c>
      <c r="E923" s="2">
        <v>37656</v>
      </c>
      <c r="F923">
        <v>7955</v>
      </c>
      <c r="G923" t="s">
        <v>1746</v>
      </c>
      <c r="H923" t="s">
        <v>1798</v>
      </c>
      <c r="I923" t="b">
        <v>0</v>
      </c>
      <c r="J923" t="s">
        <v>1761</v>
      </c>
      <c r="K923" t="s">
        <v>1826</v>
      </c>
      <c r="L923" t="s">
        <v>1817</v>
      </c>
      <c r="M923">
        <v>339</v>
      </c>
      <c r="N923" t="b">
        <v>0</v>
      </c>
      <c r="O923">
        <v>25</v>
      </c>
      <c r="P923" t="s">
        <v>1819</v>
      </c>
      <c r="Q923" t="s">
        <v>1753</v>
      </c>
    </row>
    <row r="924" spans="1:18" x14ac:dyDescent="0.25">
      <c r="A924" t="s">
        <v>3166</v>
      </c>
      <c r="B924" t="s">
        <v>3167</v>
      </c>
      <c r="C924" t="s">
        <v>4</v>
      </c>
      <c r="D924" t="s">
        <v>3165</v>
      </c>
      <c r="E924" s="2">
        <v>43424</v>
      </c>
      <c r="F924">
        <v>2187</v>
      </c>
      <c r="G924" t="s">
        <v>1746</v>
      </c>
      <c r="H924" t="s">
        <v>1747</v>
      </c>
      <c r="I924" t="b">
        <v>0</v>
      </c>
      <c r="J924" t="s">
        <v>1748</v>
      </c>
      <c r="K924" t="s">
        <v>1848</v>
      </c>
      <c r="L924" t="s">
        <v>1750</v>
      </c>
      <c r="M924">
        <v>338</v>
      </c>
      <c r="N924" t="b">
        <v>0</v>
      </c>
      <c r="O924">
        <v>32</v>
      </c>
      <c r="P924" t="s">
        <v>1752</v>
      </c>
      <c r="Q924" t="s">
        <v>1753</v>
      </c>
    </row>
    <row r="925" spans="1:18" x14ac:dyDescent="0.25">
      <c r="A925" t="s">
        <v>3169</v>
      </c>
      <c r="B925" t="s">
        <v>1876</v>
      </c>
      <c r="C925" t="s">
        <v>4</v>
      </c>
      <c r="D925" t="s">
        <v>3168</v>
      </c>
      <c r="E925" s="2">
        <v>45357</v>
      </c>
      <c r="F925">
        <v>254</v>
      </c>
      <c r="G925" t="s">
        <v>1746</v>
      </c>
      <c r="H925" t="s">
        <v>1747</v>
      </c>
      <c r="I925" t="b">
        <v>0</v>
      </c>
      <c r="J925" t="s">
        <v>1748</v>
      </c>
      <c r="K925" t="s">
        <v>1824</v>
      </c>
      <c r="L925" t="s">
        <v>1750</v>
      </c>
      <c r="M925">
        <v>338</v>
      </c>
      <c r="N925" t="b">
        <v>0</v>
      </c>
      <c r="O925">
        <v>805</v>
      </c>
      <c r="P925" t="s">
        <v>1752</v>
      </c>
      <c r="Q925" t="s">
        <v>1753</v>
      </c>
      <c r="R925" t="s">
        <v>1759</v>
      </c>
    </row>
    <row r="926" spans="1:18" x14ac:dyDescent="0.25">
      <c r="A926" t="s">
        <v>3171</v>
      </c>
      <c r="B926" t="s">
        <v>1803</v>
      </c>
      <c r="C926" t="s">
        <v>4</v>
      </c>
      <c r="D926" t="s">
        <v>3170</v>
      </c>
      <c r="E926" s="2">
        <v>41037</v>
      </c>
      <c r="F926">
        <v>4574</v>
      </c>
      <c r="G926" t="s">
        <v>1746</v>
      </c>
      <c r="H926" t="s">
        <v>1798</v>
      </c>
      <c r="I926" t="b">
        <v>1</v>
      </c>
      <c r="J926" t="s">
        <v>1761</v>
      </c>
      <c r="K926" t="s">
        <v>1755</v>
      </c>
      <c r="L926" t="s">
        <v>1817</v>
      </c>
      <c r="M926">
        <v>335</v>
      </c>
      <c r="N926" t="b">
        <v>0</v>
      </c>
      <c r="O926">
        <v>52</v>
      </c>
      <c r="P926" t="s">
        <v>1819</v>
      </c>
      <c r="Q926" t="s">
        <v>1753</v>
      </c>
    </row>
    <row r="927" spans="1:18" x14ac:dyDescent="0.25">
      <c r="A927" t="s">
        <v>3173</v>
      </c>
      <c r="B927" t="s">
        <v>2857</v>
      </c>
      <c r="C927" t="s">
        <v>4</v>
      </c>
      <c r="D927" t="s">
        <v>3172</v>
      </c>
      <c r="E927" s="2">
        <v>43032</v>
      </c>
      <c r="F927">
        <v>2579</v>
      </c>
      <c r="G927" t="s">
        <v>1746</v>
      </c>
      <c r="H927" t="s">
        <v>2231</v>
      </c>
      <c r="I927" t="b">
        <v>1</v>
      </c>
      <c r="J927" t="s">
        <v>1761</v>
      </c>
      <c r="K927" t="s">
        <v>1822</v>
      </c>
      <c r="L927" t="s">
        <v>1817</v>
      </c>
      <c r="M927">
        <v>335</v>
      </c>
      <c r="N927" t="b">
        <v>0</v>
      </c>
      <c r="O927">
        <v>41</v>
      </c>
      <c r="P927" t="s">
        <v>1819</v>
      </c>
      <c r="Q927" t="s">
        <v>1753</v>
      </c>
    </row>
    <row r="928" spans="1:18" x14ac:dyDescent="0.25">
      <c r="A928" t="s">
        <v>3174</v>
      </c>
      <c r="B928" t="s">
        <v>1810</v>
      </c>
      <c r="C928" t="s">
        <v>4</v>
      </c>
      <c r="D928" t="s">
        <v>1326</v>
      </c>
      <c r="E928" s="2">
        <v>43242</v>
      </c>
      <c r="F928">
        <v>2369</v>
      </c>
      <c r="G928" t="s">
        <v>1746</v>
      </c>
      <c r="H928" t="s">
        <v>1747</v>
      </c>
      <c r="I928" t="b">
        <v>0</v>
      </c>
      <c r="J928" t="s">
        <v>1761</v>
      </c>
      <c r="K928" t="s">
        <v>1863</v>
      </c>
      <c r="L928" t="s">
        <v>1817</v>
      </c>
      <c r="M928">
        <v>334</v>
      </c>
      <c r="N928" t="b">
        <v>0</v>
      </c>
      <c r="O928">
        <v>1528</v>
      </c>
      <c r="P928" t="s">
        <v>1819</v>
      </c>
      <c r="Q928" t="s">
        <v>1753</v>
      </c>
      <c r="R928" t="s">
        <v>1759</v>
      </c>
    </row>
    <row r="929" spans="1:18" x14ac:dyDescent="0.25">
      <c r="A929" t="s">
        <v>3175</v>
      </c>
      <c r="B929" t="s">
        <v>1860</v>
      </c>
      <c r="C929" t="s">
        <v>4</v>
      </c>
      <c r="D929" t="s">
        <v>1018</v>
      </c>
      <c r="E929" s="2">
        <v>43738</v>
      </c>
      <c r="F929">
        <v>1873</v>
      </c>
      <c r="G929" t="s">
        <v>1746</v>
      </c>
      <c r="H929" t="s">
        <v>1798</v>
      </c>
      <c r="I929" t="b">
        <v>1</v>
      </c>
      <c r="J929" t="s">
        <v>1748</v>
      </c>
      <c r="K929" t="s">
        <v>1825</v>
      </c>
      <c r="L929" t="s">
        <v>1756</v>
      </c>
      <c r="M929">
        <v>334</v>
      </c>
      <c r="N929" t="b">
        <v>0</v>
      </c>
      <c r="O929">
        <v>2312</v>
      </c>
      <c r="P929" t="s">
        <v>1752</v>
      </c>
      <c r="Q929" t="s">
        <v>1753</v>
      </c>
      <c r="R929" t="s">
        <v>1759</v>
      </c>
    </row>
    <row r="930" spans="1:18" x14ac:dyDescent="0.25">
      <c r="A930" t="s">
        <v>3176</v>
      </c>
      <c r="B930" t="s">
        <v>2269</v>
      </c>
      <c r="C930" t="s">
        <v>6</v>
      </c>
      <c r="D930" t="s">
        <v>1507</v>
      </c>
      <c r="E930" s="2">
        <v>41704</v>
      </c>
      <c r="F930">
        <v>3907</v>
      </c>
      <c r="G930" t="s">
        <v>1746</v>
      </c>
      <c r="H930" t="s">
        <v>1798</v>
      </c>
      <c r="I930" t="b">
        <v>0</v>
      </c>
      <c r="J930" t="s">
        <v>1748</v>
      </c>
      <c r="K930" t="s">
        <v>1822</v>
      </c>
      <c r="L930" t="s">
        <v>1817</v>
      </c>
      <c r="M930">
        <v>334</v>
      </c>
      <c r="N930" t="b">
        <v>1</v>
      </c>
      <c r="O930">
        <v>3956</v>
      </c>
      <c r="P930" t="s">
        <v>1819</v>
      </c>
      <c r="Q930" t="s">
        <v>1753</v>
      </c>
      <c r="R930" t="s">
        <v>1759</v>
      </c>
    </row>
    <row r="931" spans="1:18" x14ac:dyDescent="0.25">
      <c r="A931" t="s">
        <v>3178</v>
      </c>
      <c r="B931" t="s">
        <v>2133</v>
      </c>
      <c r="C931" t="s">
        <v>4</v>
      </c>
      <c r="D931" t="s">
        <v>3177</v>
      </c>
      <c r="E931" s="2">
        <v>43516</v>
      </c>
      <c r="F931">
        <v>2095</v>
      </c>
      <c r="G931" t="s">
        <v>1746</v>
      </c>
      <c r="H931" t="s">
        <v>1747</v>
      </c>
      <c r="I931" t="b">
        <v>1</v>
      </c>
      <c r="J931" t="s">
        <v>1761</v>
      </c>
      <c r="K931" t="s">
        <v>1749</v>
      </c>
      <c r="L931" t="s">
        <v>1817</v>
      </c>
      <c r="M931">
        <v>333</v>
      </c>
      <c r="N931" t="b">
        <v>0</v>
      </c>
      <c r="O931">
        <v>81</v>
      </c>
      <c r="P931" t="s">
        <v>1819</v>
      </c>
      <c r="Q931" t="s">
        <v>1753</v>
      </c>
    </row>
    <row r="932" spans="1:18" x14ac:dyDescent="0.25">
      <c r="A932" t="s">
        <v>3180</v>
      </c>
      <c r="B932" t="s">
        <v>3181</v>
      </c>
      <c r="C932" t="s">
        <v>4</v>
      </c>
      <c r="D932" t="s">
        <v>3179</v>
      </c>
      <c r="E932" s="2">
        <v>43965</v>
      </c>
      <c r="F932">
        <v>1646</v>
      </c>
      <c r="G932" t="s">
        <v>1746</v>
      </c>
      <c r="H932" t="s">
        <v>1747</v>
      </c>
      <c r="I932" t="b">
        <v>0</v>
      </c>
      <c r="J932" t="s">
        <v>1748</v>
      </c>
      <c r="K932" t="s">
        <v>1880</v>
      </c>
      <c r="L932" t="s">
        <v>1750</v>
      </c>
      <c r="M932">
        <v>332</v>
      </c>
      <c r="N932" t="b">
        <v>0</v>
      </c>
      <c r="O932">
        <v>103</v>
      </c>
      <c r="P932" t="s">
        <v>1819</v>
      </c>
      <c r="Q932" t="s">
        <v>1753</v>
      </c>
    </row>
    <row r="933" spans="1:18" x14ac:dyDescent="0.25">
      <c r="A933" t="s">
        <v>3182</v>
      </c>
      <c r="B933" t="s">
        <v>1874</v>
      </c>
      <c r="C933" t="s">
        <v>4</v>
      </c>
      <c r="D933" t="s">
        <v>326</v>
      </c>
      <c r="E933" s="2">
        <v>44174</v>
      </c>
      <c r="F933">
        <v>1437</v>
      </c>
      <c r="G933" t="s">
        <v>1746</v>
      </c>
      <c r="H933" t="s">
        <v>3183</v>
      </c>
      <c r="I933" t="b">
        <v>1</v>
      </c>
      <c r="J933" t="s">
        <v>1748</v>
      </c>
      <c r="K933" t="s">
        <v>1868</v>
      </c>
      <c r="L933" t="s">
        <v>1750</v>
      </c>
      <c r="M933">
        <v>332</v>
      </c>
      <c r="N933" t="b">
        <v>0</v>
      </c>
      <c r="O933">
        <v>30</v>
      </c>
      <c r="P933" t="s">
        <v>1752</v>
      </c>
      <c r="Q933" t="s">
        <v>1753</v>
      </c>
    </row>
    <row r="934" spans="1:18" x14ac:dyDescent="0.25">
      <c r="A934" t="s">
        <v>1596</v>
      </c>
      <c r="B934" t="s">
        <v>2060</v>
      </c>
      <c r="C934" t="s">
        <v>4</v>
      </c>
      <c r="D934" t="s">
        <v>1597</v>
      </c>
      <c r="E934" s="2">
        <v>42094</v>
      </c>
      <c r="F934">
        <v>3517</v>
      </c>
      <c r="G934" t="s">
        <v>1746</v>
      </c>
      <c r="H934" t="s">
        <v>2001</v>
      </c>
      <c r="I934" t="b">
        <v>1</v>
      </c>
      <c r="J934" t="s">
        <v>1761</v>
      </c>
      <c r="K934" t="s">
        <v>1824</v>
      </c>
      <c r="L934" t="s">
        <v>1750</v>
      </c>
      <c r="M934">
        <v>332</v>
      </c>
      <c r="N934" t="b">
        <v>1</v>
      </c>
      <c r="O934">
        <v>182</v>
      </c>
      <c r="P934" t="s">
        <v>1752</v>
      </c>
      <c r="Q934" t="s">
        <v>1753</v>
      </c>
    </row>
    <row r="935" spans="1:18" x14ac:dyDescent="0.25">
      <c r="A935" t="s">
        <v>3185</v>
      </c>
      <c r="B935" t="s">
        <v>1785</v>
      </c>
      <c r="C935" t="s">
        <v>4</v>
      </c>
      <c r="D935" t="s">
        <v>3184</v>
      </c>
      <c r="E935" s="2">
        <v>41687</v>
      </c>
      <c r="F935">
        <v>3924</v>
      </c>
      <c r="G935" t="s">
        <v>1746</v>
      </c>
      <c r="H935" t="s">
        <v>1805</v>
      </c>
      <c r="I935" t="b">
        <v>1</v>
      </c>
      <c r="J935" t="s">
        <v>1761</v>
      </c>
      <c r="K935" t="s">
        <v>1755</v>
      </c>
      <c r="L935" t="s">
        <v>1817</v>
      </c>
      <c r="M935">
        <v>332</v>
      </c>
      <c r="N935" t="b">
        <v>0</v>
      </c>
      <c r="O935">
        <v>451</v>
      </c>
      <c r="P935" t="s">
        <v>1819</v>
      </c>
      <c r="Q935" t="s">
        <v>1753</v>
      </c>
    </row>
    <row r="936" spans="1:18" x14ac:dyDescent="0.25">
      <c r="A936" t="s">
        <v>807</v>
      </c>
      <c r="B936" t="s">
        <v>1876</v>
      </c>
      <c r="C936" t="s">
        <v>4</v>
      </c>
      <c r="D936" t="s">
        <v>808</v>
      </c>
      <c r="E936" s="2">
        <v>44228</v>
      </c>
      <c r="F936">
        <v>1383</v>
      </c>
      <c r="G936" t="s">
        <v>1746</v>
      </c>
      <c r="H936" t="s">
        <v>1747</v>
      </c>
      <c r="I936" t="b">
        <v>0</v>
      </c>
      <c r="J936" t="s">
        <v>1748</v>
      </c>
      <c r="K936" t="s">
        <v>1830</v>
      </c>
      <c r="L936" t="s">
        <v>1750</v>
      </c>
      <c r="M936">
        <v>330</v>
      </c>
      <c r="N936" t="b">
        <v>1</v>
      </c>
      <c r="O936">
        <v>26</v>
      </c>
      <c r="P936" t="s">
        <v>1752</v>
      </c>
      <c r="Q936" t="s">
        <v>1753</v>
      </c>
      <c r="R936" t="s">
        <v>1759</v>
      </c>
    </row>
    <row r="937" spans="1:18" x14ac:dyDescent="0.25">
      <c r="A937" t="s">
        <v>3187</v>
      </c>
      <c r="B937" t="s">
        <v>2133</v>
      </c>
      <c r="C937" t="s">
        <v>6</v>
      </c>
      <c r="D937" t="s">
        <v>3186</v>
      </c>
      <c r="E937" s="2">
        <v>44995</v>
      </c>
      <c r="F937">
        <v>616</v>
      </c>
      <c r="G937" t="s">
        <v>1746</v>
      </c>
      <c r="H937" t="s">
        <v>1747</v>
      </c>
      <c r="I937" t="b">
        <v>0</v>
      </c>
      <c r="J937" t="s">
        <v>1761</v>
      </c>
      <c r="K937" t="s">
        <v>1776</v>
      </c>
      <c r="L937" t="s">
        <v>1766</v>
      </c>
      <c r="M937">
        <v>329</v>
      </c>
      <c r="N937" t="b">
        <v>0</v>
      </c>
      <c r="P937" t="s">
        <v>1752</v>
      </c>
      <c r="Q937" t="s">
        <v>1753</v>
      </c>
    </row>
    <row r="938" spans="1:18" x14ac:dyDescent="0.25">
      <c r="A938" t="s">
        <v>3189</v>
      </c>
      <c r="B938" t="s">
        <v>1840</v>
      </c>
      <c r="C938" t="s">
        <v>4</v>
      </c>
      <c r="D938" t="s">
        <v>3188</v>
      </c>
      <c r="E938" s="2">
        <v>39878</v>
      </c>
      <c r="F938">
        <v>5733</v>
      </c>
      <c r="G938" t="s">
        <v>1746</v>
      </c>
      <c r="H938" t="s">
        <v>1747</v>
      </c>
      <c r="I938" t="b">
        <v>1</v>
      </c>
      <c r="J938" t="s">
        <v>1761</v>
      </c>
      <c r="K938" t="s">
        <v>1835</v>
      </c>
      <c r="L938" t="s">
        <v>1756</v>
      </c>
      <c r="M938">
        <v>328</v>
      </c>
      <c r="N938" t="b">
        <v>0</v>
      </c>
      <c r="O938">
        <v>2073</v>
      </c>
      <c r="P938" t="s">
        <v>1752</v>
      </c>
      <c r="Q938" t="s">
        <v>1753</v>
      </c>
      <c r="R938" t="s">
        <v>1772</v>
      </c>
    </row>
    <row r="939" spans="1:18" x14ac:dyDescent="0.25">
      <c r="A939" t="s">
        <v>1361</v>
      </c>
      <c r="B939" t="s">
        <v>1874</v>
      </c>
      <c r="C939" t="s">
        <v>4</v>
      </c>
      <c r="D939" t="s">
        <v>1362</v>
      </c>
      <c r="E939" s="2">
        <v>43711</v>
      </c>
      <c r="F939">
        <v>1900</v>
      </c>
      <c r="G939" t="s">
        <v>1746</v>
      </c>
      <c r="H939" t="s">
        <v>1747</v>
      </c>
      <c r="I939" t="b">
        <v>0</v>
      </c>
      <c r="J939" t="s">
        <v>1748</v>
      </c>
      <c r="K939" t="s">
        <v>2021</v>
      </c>
      <c r="L939" t="s">
        <v>1750</v>
      </c>
      <c r="M939">
        <v>328</v>
      </c>
      <c r="N939" t="b">
        <v>1</v>
      </c>
      <c r="O939">
        <v>65</v>
      </c>
      <c r="P939" t="s">
        <v>1752</v>
      </c>
      <c r="Q939" t="s">
        <v>1753</v>
      </c>
    </row>
    <row r="940" spans="1:18" x14ac:dyDescent="0.25">
      <c r="A940" t="s">
        <v>3191</v>
      </c>
      <c r="B940" t="s">
        <v>1866</v>
      </c>
      <c r="C940" t="s">
        <v>4</v>
      </c>
      <c r="D940" t="s">
        <v>3190</v>
      </c>
      <c r="E940" s="2">
        <v>42024</v>
      </c>
      <c r="F940">
        <v>3587</v>
      </c>
      <c r="G940" t="s">
        <v>1746</v>
      </c>
      <c r="H940" t="s">
        <v>1798</v>
      </c>
      <c r="I940" t="b">
        <v>1</v>
      </c>
      <c r="J940" t="s">
        <v>1761</v>
      </c>
      <c r="K940" t="s">
        <v>1824</v>
      </c>
      <c r="L940" t="s">
        <v>1817</v>
      </c>
      <c r="M940">
        <v>328</v>
      </c>
      <c r="N940" t="b">
        <v>0</v>
      </c>
      <c r="O940">
        <v>66</v>
      </c>
      <c r="P940" t="s">
        <v>1819</v>
      </c>
      <c r="Q940" t="s">
        <v>1753</v>
      </c>
      <c r="R940" t="s">
        <v>1828</v>
      </c>
    </row>
    <row r="941" spans="1:18" x14ac:dyDescent="0.25">
      <c r="A941" t="s">
        <v>3193</v>
      </c>
      <c r="B941" t="s">
        <v>1803</v>
      </c>
      <c r="C941" t="s">
        <v>572</v>
      </c>
      <c r="D941" t="s">
        <v>3192</v>
      </c>
      <c r="E941" s="2">
        <v>42262</v>
      </c>
      <c r="F941">
        <v>3349</v>
      </c>
      <c r="G941" t="s">
        <v>1746</v>
      </c>
      <c r="H941" t="s">
        <v>1798</v>
      </c>
      <c r="I941" t="b">
        <v>0</v>
      </c>
      <c r="J941" t="s">
        <v>1761</v>
      </c>
      <c r="K941" t="s">
        <v>1853</v>
      </c>
      <c r="L941" t="s">
        <v>1750</v>
      </c>
      <c r="M941">
        <v>327</v>
      </c>
      <c r="N941" t="b">
        <v>0</v>
      </c>
      <c r="O941">
        <v>50</v>
      </c>
      <c r="P941" t="s">
        <v>1752</v>
      </c>
      <c r="Q941" t="s">
        <v>1753</v>
      </c>
      <c r="R941" t="s">
        <v>1828</v>
      </c>
    </row>
    <row r="942" spans="1:18" x14ac:dyDescent="0.25">
      <c r="A942" t="s">
        <v>3195</v>
      </c>
      <c r="B942" t="s">
        <v>1840</v>
      </c>
      <c r="C942" t="s">
        <v>4</v>
      </c>
      <c r="D942" t="s">
        <v>3194</v>
      </c>
      <c r="E942" s="2">
        <v>42990</v>
      </c>
      <c r="F942">
        <v>2621</v>
      </c>
      <c r="G942" t="s">
        <v>1746</v>
      </c>
      <c r="H942" t="s">
        <v>1747</v>
      </c>
      <c r="I942" t="b">
        <v>1</v>
      </c>
      <c r="J942" t="s">
        <v>1761</v>
      </c>
      <c r="K942" t="s">
        <v>1774</v>
      </c>
      <c r="L942" t="s">
        <v>1750</v>
      </c>
      <c r="M942">
        <v>327</v>
      </c>
      <c r="N942" t="b">
        <v>0</v>
      </c>
      <c r="O942">
        <v>40</v>
      </c>
      <c r="P942" t="s">
        <v>1752</v>
      </c>
      <c r="Q942" t="s">
        <v>1753</v>
      </c>
    </row>
    <row r="943" spans="1:18" x14ac:dyDescent="0.25">
      <c r="A943" t="s">
        <v>3196</v>
      </c>
      <c r="B943" t="s">
        <v>2384</v>
      </c>
      <c r="C943" t="s">
        <v>4</v>
      </c>
      <c r="D943" t="s">
        <v>1285</v>
      </c>
      <c r="E943" s="2">
        <v>44278</v>
      </c>
      <c r="F943">
        <v>1333</v>
      </c>
      <c r="G943" t="s">
        <v>1746</v>
      </c>
      <c r="H943" t="s">
        <v>1747</v>
      </c>
      <c r="I943" t="b">
        <v>1</v>
      </c>
      <c r="J943" t="s">
        <v>1761</v>
      </c>
      <c r="K943" t="s">
        <v>1988</v>
      </c>
      <c r="L943" t="s">
        <v>1756</v>
      </c>
      <c r="M943">
        <v>325</v>
      </c>
      <c r="N943" t="b">
        <v>1</v>
      </c>
      <c r="O943">
        <v>5815</v>
      </c>
      <c r="P943" t="s">
        <v>1752</v>
      </c>
      <c r="Q943" t="s">
        <v>1753</v>
      </c>
      <c r="R943" t="s">
        <v>1759</v>
      </c>
    </row>
    <row r="944" spans="1:18" x14ac:dyDescent="0.25">
      <c r="A944" t="s">
        <v>3198</v>
      </c>
      <c r="B944" t="s">
        <v>2085</v>
      </c>
      <c r="C944" t="s">
        <v>4</v>
      </c>
      <c r="D944" t="s">
        <v>3197</v>
      </c>
      <c r="E944" s="2">
        <v>43230</v>
      </c>
      <c r="F944">
        <v>2381</v>
      </c>
      <c r="G944" t="s">
        <v>1746</v>
      </c>
      <c r="H944" t="s">
        <v>1747</v>
      </c>
      <c r="I944" t="b">
        <v>1</v>
      </c>
      <c r="J944" t="s">
        <v>1748</v>
      </c>
      <c r="K944" t="s">
        <v>1883</v>
      </c>
      <c r="L944" t="s">
        <v>1750</v>
      </c>
      <c r="M944">
        <v>325</v>
      </c>
      <c r="N944" t="b">
        <v>0</v>
      </c>
      <c r="O944">
        <v>339</v>
      </c>
      <c r="P944" t="s">
        <v>2266</v>
      </c>
      <c r="Q944" t="s">
        <v>1753</v>
      </c>
      <c r="R944" t="s">
        <v>1759</v>
      </c>
    </row>
    <row r="945" spans="1:18" x14ac:dyDescent="0.25">
      <c r="A945" t="s">
        <v>3199</v>
      </c>
      <c r="B945" t="s">
        <v>1754</v>
      </c>
      <c r="C945" t="s">
        <v>4</v>
      </c>
      <c r="D945" t="s">
        <v>660</v>
      </c>
      <c r="E945" s="2">
        <v>39370</v>
      </c>
      <c r="F945">
        <v>6241</v>
      </c>
      <c r="G945" t="s">
        <v>1746</v>
      </c>
      <c r="H945" t="s">
        <v>1747</v>
      </c>
      <c r="I945" t="b">
        <v>1</v>
      </c>
      <c r="J945" t="s">
        <v>1761</v>
      </c>
      <c r="K945" t="s">
        <v>1755</v>
      </c>
      <c r="L945" t="s">
        <v>1756</v>
      </c>
      <c r="M945">
        <v>324</v>
      </c>
      <c r="N945" t="b">
        <v>0</v>
      </c>
      <c r="O945">
        <v>95</v>
      </c>
      <c r="P945" t="s">
        <v>1752</v>
      </c>
      <c r="Q945" t="s">
        <v>1753</v>
      </c>
      <c r="R945" t="s">
        <v>3200</v>
      </c>
    </row>
    <row r="946" spans="1:18" x14ac:dyDescent="0.25">
      <c r="A946" t="s">
        <v>3202</v>
      </c>
      <c r="B946" t="s">
        <v>1803</v>
      </c>
      <c r="C946" t="s">
        <v>572</v>
      </c>
      <c r="D946" t="s">
        <v>3201</v>
      </c>
      <c r="E946" s="2">
        <v>41740</v>
      </c>
      <c r="F946">
        <v>3871</v>
      </c>
      <c r="G946" t="s">
        <v>1746</v>
      </c>
      <c r="H946" t="s">
        <v>1798</v>
      </c>
      <c r="I946" t="b">
        <v>0</v>
      </c>
      <c r="J946" t="s">
        <v>1748</v>
      </c>
      <c r="K946" t="s">
        <v>1853</v>
      </c>
      <c r="L946" t="s">
        <v>1750</v>
      </c>
      <c r="M946">
        <v>324</v>
      </c>
      <c r="N946" t="b">
        <v>0</v>
      </c>
      <c r="O946">
        <v>50</v>
      </c>
      <c r="P946" t="s">
        <v>1752</v>
      </c>
      <c r="Q946" t="s">
        <v>1753</v>
      </c>
    </row>
    <row r="947" spans="1:18" x14ac:dyDescent="0.25">
      <c r="A947" t="s">
        <v>3204</v>
      </c>
      <c r="B947" t="s">
        <v>1803</v>
      </c>
      <c r="C947" t="s">
        <v>572</v>
      </c>
      <c r="D947" t="s">
        <v>3203</v>
      </c>
      <c r="E947" s="2">
        <v>40226</v>
      </c>
      <c r="F947">
        <v>5385</v>
      </c>
      <c r="G947" t="s">
        <v>1746</v>
      </c>
      <c r="H947" t="s">
        <v>1798</v>
      </c>
      <c r="I947" t="b">
        <v>0</v>
      </c>
      <c r="J947" t="s">
        <v>1761</v>
      </c>
      <c r="K947" t="s">
        <v>1755</v>
      </c>
      <c r="L947" t="s">
        <v>1750</v>
      </c>
      <c r="M947">
        <v>324</v>
      </c>
      <c r="N947" t="b">
        <v>0</v>
      </c>
      <c r="O947">
        <v>75</v>
      </c>
      <c r="P947" t="s">
        <v>1819</v>
      </c>
      <c r="Q947" t="s">
        <v>1753</v>
      </c>
      <c r="R947" t="s">
        <v>1759</v>
      </c>
    </row>
    <row r="948" spans="1:18" x14ac:dyDescent="0.25">
      <c r="A948" t="s">
        <v>3206</v>
      </c>
      <c r="B948" t="s">
        <v>2144</v>
      </c>
      <c r="C948" t="s">
        <v>4</v>
      </c>
      <c r="D948" t="s">
        <v>3205</v>
      </c>
      <c r="E948" s="2">
        <v>45091</v>
      </c>
      <c r="F948">
        <v>520</v>
      </c>
      <c r="G948" t="s">
        <v>1746</v>
      </c>
      <c r="H948" t="s">
        <v>1747</v>
      </c>
      <c r="I948" t="b">
        <v>0</v>
      </c>
      <c r="J948" t="s">
        <v>1748</v>
      </c>
      <c r="K948" t="s">
        <v>1868</v>
      </c>
      <c r="L948" t="s">
        <v>1756</v>
      </c>
      <c r="M948">
        <v>324</v>
      </c>
      <c r="N948" t="b">
        <v>1</v>
      </c>
      <c r="O948">
        <v>3620</v>
      </c>
      <c r="P948" t="s">
        <v>1752</v>
      </c>
      <c r="Q948" t="s">
        <v>1753</v>
      </c>
      <c r="R948" t="s">
        <v>1759</v>
      </c>
    </row>
    <row r="949" spans="1:18" x14ac:dyDescent="0.25">
      <c r="A949" t="s">
        <v>3208</v>
      </c>
      <c r="B949" t="s">
        <v>1820</v>
      </c>
      <c r="C949" t="s">
        <v>11</v>
      </c>
      <c r="D949" t="s">
        <v>3207</v>
      </c>
      <c r="E949" s="2">
        <v>39063</v>
      </c>
      <c r="F949">
        <v>6548</v>
      </c>
      <c r="G949" t="s">
        <v>1746</v>
      </c>
      <c r="H949" t="s">
        <v>1747</v>
      </c>
      <c r="I949" t="b">
        <v>0</v>
      </c>
      <c r="J949" t="s">
        <v>1748</v>
      </c>
      <c r="K949" t="s">
        <v>2219</v>
      </c>
      <c r="L949" t="s">
        <v>1766</v>
      </c>
      <c r="M949">
        <v>323</v>
      </c>
      <c r="N949" t="b">
        <v>0</v>
      </c>
      <c r="P949" t="s">
        <v>1752</v>
      </c>
      <c r="Q949" t="s">
        <v>1753</v>
      </c>
    </row>
    <row r="950" spans="1:18" x14ac:dyDescent="0.25">
      <c r="A950" t="s">
        <v>3210</v>
      </c>
      <c r="B950" t="s">
        <v>2854</v>
      </c>
      <c r="C950" t="s">
        <v>6</v>
      </c>
      <c r="D950" t="s">
        <v>3209</v>
      </c>
      <c r="E950" s="2">
        <v>42065</v>
      </c>
      <c r="F950">
        <v>3546</v>
      </c>
      <c r="G950" t="s">
        <v>1746</v>
      </c>
      <c r="H950" t="s">
        <v>1798</v>
      </c>
      <c r="I950" t="b">
        <v>1</v>
      </c>
      <c r="J950" t="s">
        <v>1748</v>
      </c>
      <c r="K950" t="s">
        <v>1749</v>
      </c>
      <c r="L950" t="s">
        <v>1750</v>
      </c>
      <c r="M950">
        <v>323</v>
      </c>
      <c r="N950" t="b">
        <v>0</v>
      </c>
      <c r="O950">
        <v>48</v>
      </c>
      <c r="P950" t="s">
        <v>1819</v>
      </c>
      <c r="Q950" t="s">
        <v>1753</v>
      </c>
      <c r="R950" t="s">
        <v>1828</v>
      </c>
    </row>
    <row r="951" spans="1:18" x14ac:dyDescent="0.25">
      <c r="A951" t="s">
        <v>3212</v>
      </c>
      <c r="B951" t="s">
        <v>1803</v>
      </c>
      <c r="C951" t="s">
        <v>4</v>
      </c>
      <c r="D951" t="s">
        <v>3211</v>
      </c>
      <c r="E951" s="2">
        <v>43164</v>
      </c>
      <c r="F951">
        <v>2447</v>
      </c>
      <c r="G951" t="s">
        <v>1746</v>
      </c>
      <c r="H951" t="s">
        <v>1798</v>
      </c>
      <c r="I951" t="b">
        <v>1</v>
      </c>
      <c r="J951" t="s">
        <v>1748</v>
      </c>
      <c r="K951" t="s">
        <v>1774</v>
      </c>
      <c r="L951" t="s">
        <v>1817</v>
      </c>
      <c r="M951">
        <v>322</v>
      </c>
      <c r="N951" t="b">
        <v>0</v>
      </c>
      <c r="O951">
        <v>48</v>
      </c>
      <c r="P951" t="s">
        <v>1819</v>
      </c>
      <c r="Q951" t="s">
        <v>1753</v>
      </c>
    </row>
    <row r="952" spans="1:18" x14ac:dyDescent="0.25">
      <c r="A952" t="s">
        <v>3213</v>
      </c>
      <c r="B952" t="s">
        <v>1860</v>
      </c>
      <c r="C952" t="s">
        <v>4</v>
      </c>
      <c r="D952" t="s">
        <v>1223</v>
      </c>
      <c r="E952" s="2">
        <v>44264</v>
      </c>
      <c r="F952">
        <v>1347</v>
      </c>
      <c r="G952" t="s">
        <v>1746</v>
      </c>
      <c r="H952" t="s">
        <v>1747</v>
      </c>
      <c r="I952" t="b">
        <v>0</v>
      </c>
      <c r="J952" t="s">
        <v>1748</v>
      </c>
      <c r="K952" t="s">
        <v>1863</v>
      </c>
      <c r="L952" t="s">
        <v>1750</v>
      </c>
      <c r="M952">
        <v>322</v>
      </c>
      <c r="N952" t="b">
        <v>1</v>
      </c>
      <c r="O952">
        <v>254</v>
      </c>
      <c r="P952" t="s">
        <v>1752</v>
      </c>
      <c r="Q952" t="s">
        <v>1753</v>
      </c>
    </row>
    <row r="953" spans="1:18" x14ac:dyDescent="0.25">
      <c r="A953" t="s">
        <v>3214</v>
      </c>
      <c r="B953" t="s">
        <v>2106</v>
      </c>
      <c r="C953" t="s">
        <v>6</v>
      </c>
      <c r="D953" t="s">
        <v>147</v>
      </c>
      <c r="E953" s="2">
        <v>44245</v>
      </c>
      <c r="F953">
        <v>1366</v>
      </c>
      <c r="G953" t="s">
        <v>1746</v>
      </c>
      <c r="H953" t="s">
        <v>1798</v>
      </c>
      <c r="I953" t="b">
        <v>0</v>
      </c>
      <c r="J953" t="s">
        <v>1748</v>
      </c>
      <c r="K953" t="s">
        <v>1776</v>
      </c>
      <c r="L953" t="s">
        <v>1750</v>
      </c>
      <c r="M953">
        <v>321</v>
      </c>
      <c r="N953" t="b">
        <v>1</v>
      </c>
      <c r="O953">
        <v>314</v>
      </c>
      <c r="P953" t="s">
        <v>1819</v>
      </c>
      <c r="Q953" t="s">
        <v>1753</v>
      </c>
      <c r="R953" t="s">
        <v>1759</v>
      </c>
    </row>
    <row r="954" spans="1:18" x14ac:dyDescent="0.25">
      <c r="A954" t="s">
        <v>3216</v>
      </c>
      <c r="B954" t="s">
        <v>1803</v>
      </c>
      <c r="C954" t="s">
        <v>572</v>
      </c>
      <c r="D954" t="s">
        <v>3215</v>
      </c>
      <c r="E954" s="2">
        <v>37153</v>
      </c>
      <c r="F954">
        <v>8458</v>
      </c>
      <c r="G954" t="s">
        <v>1746</v>
      </c>
      <c r="H954" t="s">
        <v>1747</v>
      </c>
      <c r="I954" t="b">
        <v>0</v>
      </c>
      <c r="J954" t="s">
        <v>1761</v>
      </c>
      <c r="K954" t="s">
        <v>1788</v>
      </c>
      <c r="L954" t="s">
        <v>1750</v>
      </c>
      <c r="M954">
        <v>321</v>
      </c>
      <c r="N954" t="b">
        <v>0</v>
      </c>
      <c r="O954">
        <v>30</v>
      </c>
      <c r="P954" t="s">
        <v>1752</v>
      </c>
      <c r="Q954" t="s">
        <v>1753</v>
      </c>
    </row>
    <row r="955" spans="1:18" x14ac:dyDescent="0.25">
      <c r="A955" t="s">
        <v>3217</v>
      </c>
      <c r="B955" t="s">
        <v>2997</v>
      </c>
      <c r="C955" t="s">
        <v>6</v>
      </c>
      <c r="D955" t="s">
        <v>933</v>
      </c>
      <c r="E955" s="2">
        <v>41505</v>
      </c>
      <c r="F955">
        <v>4106</v>
      </c>
      <c r="G955" t="s">
        <v>1746</v>
      </c>
      <c r="H955" t="s">
        <v>1798</v>
      </c>
      <c r="I955" t="b">
        <v>0</v>
      </c>
      <c r="J955" t="s">
        <v>1748</v>
      </c>
      <c r="K955" t="s">
        <v>1749</v>
      </c>
      <c r="L955" t="s">
        <v>1766</v>
      </c>
      <c r="M955">
        <v>321</v>
      </c>
      <c r="N955" t="b">
        <v>0</v>
      </c>
      <c r="P955" t="s">
        <v>1752</v>
      </c>
      <c r="Q955" t="s">
        <v>1753</v>
      </c>
    </row>
    <row r="956" spans="1:18" x14ac:dyDescent="0.25">
      <c r="A956" t="s">
        <v>3219</v>
      </c>
      <c r="B956" t="s">
        <v>2032</v>
      </c>
      <c r="C956" t="s">
        <v>186</v>
      </c>
      <c r="D956" t="s">
        <v>3218</v>
      </c>
      <c r="E956" s="2">
        <v>44523</v>
      </c>
      <c r="F956">
        <v>1088</v>
      </c>
      <c r="G956" t="s">
        <v>1746</v>
      </c>
      <c r="H956" t="s">
        <v>1747</v>
      </c>
      <c r="I956" t="b">
        <v>0</v>
      </c>
      <c r="J956" t="s">
        <v>1748</v>
      </c>
      <c r="K956" t="s">
        <v>1917</v>
      </c>
      <c r="L956" t="s">
        <v>1775</v>
      </c>
      <c r="M956">
        <v>321</v>
      </c>
      <c r="N956" t="b">
        <v>0</v>
      </c>
      <c r="P956" t="s">
        <v>2283</v>
      </c>
      <c r="Q956" t="s">
        <v>1705</v>
      </c>
    </row>
    <row r="957" spans="1:18" x14ac:dyDescent="0.25">
      <c r="A957" t="s">
        <v>3221</v>
      </c>
      <c r="B957" t="s">
        <v>1907</v>
      </c>
      <c r="C957" t="s">
        <v>4</v>
      </c>
      <c r="D957" t="s">
        <v>3220</v>
      </c>
      <c r="E957" s="2">
        <v>44593</v>
      </c>
      <c r="F957">
        <v>1018</v>
      </c>
      <c r="G957" t="s">
        <v>1746</v>
      </c>
      <c r="H957" t="s">
        <v>1798</v>
      </c>
      <c r="I957" t="b">
        <v>1</v>
      </c>
      <c r="J957" t="s">
        <v>1761</v>
      </c>
      <c r="K957" t="s">
        <v>1822</v>
      </c>
      <c r="L957" t="s">
        <v>1817</v>
      </c>
      <c r="M957">
        <v>321</v>
      </c>
      <c r="N957" t="b">
        <v>0</v>
      </c>
      <c r="O957">
        <v>289</v>
      </c>
      <c r="P957" t="s">
        <v>1819</v>
      </c>
      <c r="Q957" t="s">
        <v>1753</v>
      </c>
    </row>
    <row r="958" spans="1:18" x14ac:dyDescent="0.25">
      <c r="A958" t="s">
        <v>1247</v>
      </c>
      <c r="B958" t="s">
        <v>2380</v>
      </c>
      <c r="C958" t="s">
        <v>1249</v>
      </c>
      <c r="D958" t="s">
        <v>1248</v>
      </c>
      <c r="E958" s="2">
        <v>40647</v>
      </c>
      <c r="F958">
        <v>4964</v>
      </c>
      <c r="G958" t="s">
        <v>1746</v>
      </c>
      <c r="H958" t="s">
        <v>1798</v>
      </c>
      <c r="I958" t="b">
        <v>0</v>
      </c>
      <c r="J958" t="s">
        <v>1761</v>
      </c>
      <c r="K958" t="s">
        <v>1776</v>
      </c>
      <c r="L958" t="s">
        <v>1750</v>
      </c>
      <c r="M958">
        <v>320</v>
      </c>
      <c r="N958" t="b">
        <v>0</v>
      </c>
      <c r="O958">
        <v>100</v>
      </c>
      <c r="P958" t="s">
        <v>2266</v>
      </c>
      <c r="Q958" t="s">
        <v>1753</v>
      </c>
      <c r="R958" t="s">
        <v>1759</v>
      </c>
    </row>
    <row r="959" spans="1:18" x14ac:dyDescent="0.25">
      <c r="A959" t="s">
        <v>3223</v>
      </c>
      <c r="B959" t="s">
        <v>1803</v>
      </c>
      <c r="C959" t="s">
        <v>4</v>
      </c>
      <c r="D959" t="s">
        <v>3222</v>
      </c>
      <c r="E959" s="2">
        <v>43581</v>
      </c>
      <c r="F959">
        <v>2030</v>
      </c>
      <c r="G959" t="s">
        <v>1746</v>
      </c>
      <c r="H959" t="s">
        <v>1798</v>
      </c>
      <c r="I959" t="b">
        <v>1</v>
      </c>
      <c r="J959" t="s">
        <v>1761</v>
      </c>
      <c r="K959" t="s">
        <v>1913</v>
      </c>
      <c r="L959" t="s">
        <v>1817</v>
      </c>
      <c r="M959">
        <v>319</v>
      </c>
      <c r="N959" t="b">
        <v>0</v>
      </c>
      <c r="O959">
        <v>1853</v>
      </c>
      <c r="P959" t="s">
        <v>1819</v>
      </c>
      <c r="Q959" t="s">
        <v>1753</v>
      </c>
      <c r="R959" t="s">
        <v>1759</v>
      </c>
    </row>
    <row r="960" spans="1:18" x14ac:dyDescent="0.25">
      <c r="A960" t="s">
        <v>3224</v>
      </c>
      <c r="B960" t="s">
        <v>1810</v>
      </c>
      <c r="C960" t="s">
        <v>4</v>
      </c>
      <c r="D960" t="s">
        <v>221</v>
      </c>
      <c r="E960" s="2">
        <v>42821</v>
      </c>
      <c r="F960">
        <v>2790</v>
      </c>
      <c r="G960" t="s">
        <v>1746</v>
      </c>
      <c r="H960" t="s">
        <v>1747</v>
      </c>
      <c r="I960" t="b">
        <v>0</v>
      </c>
      <c r="J960" t="s">
        <v>1748</v>
      </c>
      <c r="K960" t="s">
        <v>1776</v>
      </c>
      <c r="L960" t="s">
        <v>1750</v>
      </c>
      <c r="M960">
        <v>318</v>
      </c>
      <c r="N960" t="b">
        <v>0</v>
      </c>
      <c r="O960">
        <v>99</v>
      </c>
      <c r="P960" t="s">
        <v>1752</v>
      </c>
      <c r="Q960" t="s">
        <v>1753</v>
      </c>
    </row>
    <row r="961" spans="1:18" x14ac:dyDescent="0.25">
      <c r="A961" t="s">
        <v>3225</v>
      </c>
      <c r="B961" t="s">
        <v>1768</v>
      </c>
      <c r="C961" t="s">
        <v>4</v>
      </c>
      <c r="D961" t="s">
        <v>457</v>
      </c>
      <c r="E961" s="2">
        <v>41949</v>
      </c>
      <c r="F961">
        <v>3662</v>
      </c>
      <c r="G961" t="s">
        <v>1746</v>
      </c>
      <c r="H961" t="s">
        <v>1747</v>
      </c>
      <c r="I961" t="b">
        <v>0</v>
      </c>
      <c r="J961" t="s">
        <v>1748</v>
      </c>
      <c r="K961" t="s">
        <v>2021</v>
      </c>
      <c r="L961" t="s">
        <v>1766</v>
      </c>
      <c r="M961">
        <v>318</v>
      </c>
      <c r="N961" t="b">
        <v>0</v>
      </c>
      <c r="P961" t="s">
        <v>1752</v>
      </c>
      <c r="Q961" t="s">
        <v>1753</v>
      </c>
    </row>
    <row r="962" spans="1:18" x14ac:dyDescent="0.25">
      <c r="A962" t="s">
        <v>3227</v>
      </c>
      <c r="B962" t="s">
        <v>2393</v>
      </c>
      <c r="C962" t="s">
        <v>4</v>
      </c>
      <c r="D962" t="s">
        <v>3226</v>
      </c>
      <c r="E962" s="2">
        <v>44376</v>
      </c>
      <c r="F962">
        <v>1235</v>
      </c>
      <c r="G962" t="s">
        <v>1746</v>
      </c>
      <c r="H962" t="s">
        <v>1747</v>
      </c>
      <c r="I962" t="b">
        <v>0</v>
      </c>
      <c r="J962" t="s">
        <v>1748</v>
      </c>
      <c r="K962" t="s">
        <v>1755</v>
      </c>
      <c r="L962" t="s">
        <v>1750</v>
      </c>
      <c r="M962">
        <v>318</v>
      </c>
      <c r="N962" t="b">
        <v>1</v>
      </c>
      <c r="O962">
        <v>140</v>
      </c>
      <c r="P962" t="s">
        <v>1752</v>
      </c>
      <c r="Q962" t="s">
        <v>1753</v>
      </c>
    </row>
    <row r="963" spans="1:18" x14ac:dyDescent="0.25">
      <c r="A963" t="s">
        <v>3229</v>
      </c>
      <c r="B963" t="s">
        <v>2177</v>
      </c>
      <c r="C963" t="s">
        <v>4</v>
      </c>
      <c r="D963" t="s">
        <v>3228</v>
      </c>
      <c r="E963" s="2">
        <v>43089</v>
      </c>
      <c r="F963">
        <v>2522</v>
      </c>
      <c r="G963" t="s">
        <v>1746</v>
      </c>
      <c r="H963" t="s">
        <v>1805</v>
      </c>
      <c r="I963" t="b">
        <v>0</v>
      </c>
      <c r="J963" t="s">
        <v>1761</v>
      </c>
      <c r="K963" t="s">
        <v>1846</v>
      </c>
      <c r="L963" t="s">
        <v>1750</v>
      </c>
      <c r="M963">
        <v>317</v>
      </c>
      <c r="N963" t="b">
        <v>1</v>
      </c>
      <c r="O963">
        <v>609</v>
      </c>
      <c r="P963" t="s">
        <v>1752</v>
      </c>
      <c r="Q963" t="s">
        <v>1753</v>
      </c>
      <c r="R963" t="s">
        <v>1759</v>
      </c>
    </row>
    <row r="964" spans="1:18" x14ac:dyDescent="0.25">
      <c r="A964" t="s">
        <v>3230</v>
      </c>
      <c r="B964" t="s">
        <v>3011</v>
      </c>
      <c r="C964" t="s">
        <v>6</v>
      </c>
      <c r="D964" t="s">
        <v>876</v>
      </c>
      <c r="E964" s="2">
        <v>39174</v>
      </c>
      <c r="F964">
        <v>6437</v>
      </c>
      <c r="G964" t="s">
        <v>1746</v>
      </c>
      <c r="H964" t="s">
        <v>1805</v>
      </c>
      <c r="I964" t="b">
        <v>0</v>
      </c>
      <c r="J964" t="s">
        <v>1748</v>
      </c>
      <c r="K964" t="s">
        <v>1934</v>
      </c>
      <c r="L964" t="s">
        <v>1766</v>
      </c>
      <c r="M964">
        <v>316</v>
      </c>
      <c r="N964" t="b">
        <v>0</v>
      </c>
      <c r="P964" t="s">
        <v>1752</v>
      </c>
      <c r="Q964" t="s">
        <v>1753</v>
      </c>
    </row>
    <row r="965" spans="1:18" x14ac:dyDescent="0.25">
      <c r="A965" t="s">
        <v>3231</v>
      </c>
      <c r="B965" t="s">
        <v>1814</v>
      </c>
      <c r="C965" t="s">
        <v>6</v>
      </c>
      <c r="D965" t="s">
        <v>898</v>
      </c>
      <c r="E965" s="2">
        <v>38554</v>
      </c>
      <c r="F965">
        <v>7057</v>
      </c>
      <c r="G965" t="s">
        <v>1746</v>
      </c>
      <c r="H965" t="s">
        <v>1798</v>
      </c>
      <c r="I965" t="b">
        <v>0</v>
      </c>
      <c r="J965" t="s">
        <v>1748</v>
      </c>
      <c r="K965" t="s">
        <v>1757</v>
      </c>
      <c r="L965" t="s">
        <v>1750</v>
      </c>
      <c r="M965">
        <v>316</v>
      </c>
      <c r="N965" t="b">
        <v>1</v>
      </c>
      <c r="O965">
        <v>181</v>
      </c>
      <c r="P965" t="s">
        <v>1752</v>
      </c>
      <c r="Q965" t="s">
        <v>1753</v>
      </c>
    </row>
    <row r="966" spans="1:18" x14ac:dyDescent="0.25">
      <c r="A966" t="s">
        <v>3232</v>
      </c>
      <c r="B966" t="s">
        <v>2106</v>
      </c>
      <c r="C966" t="s">
        <v>4</v>
      </c>
      <c r="D966" t="s">
        <v>108</v>
      </c>
      <c r="E966" s="2">
        <v>44824</v>
      </c>
      <c r="F966">
        <v>787</v>
      </c>
      <c r="G966" t="s">
        <v>1746</v>
      </c>
      <c r="H966" t="s">
        <v>1798</v>
      </c>
      <c r="I966" t="b">
        <v>1</v>
      </c>
      <c r="J966" t="s">
        <v>1748</v>
      </c>
      <c r="K966" t="s">
        <v>1770</v>
      </c>
      <c r="L966" t="s">
        <v>1750</v>
      </c>
      <c r="M966">
        <v>316</v>
      </c>
      <c r="N966" t="b">
        <v>1</v>
      </c>
      <c r="O966">
        <v>117</v>
      </c>
      <c r="P966" t="s">
        <v>1752</v>
      </c>
      <c r="Q966" t="s">
        <v>1753</v>
      </c>
      <c r="R966" t="s">
        <v>1759</v>
      </c>
    </row>
    <row r="967" spans="1:18" x14ac:dyDescent="0.25">
      <c r="A967" t="s">
        <v>3234</v>
      </c>
      <c r="B967" t="s">
        <v>1785</v>
      </c>
      <c r="C967" t="s">
        <v>4</v>
      </c>
      <c r="D967" t="s">
        <v>3233</v>
      </c>
      <c r="E967" s="2">
        <v>43440</v>
      </c>
      <c r="F967">
        <v>2171</v>
      </c>
      <c r="G967" t="s">
        <v>1746</v>
      </c>
      <c r="H967" t="s">
        <v>1747</v>
      </c>
      <c r="I967" t="b">
        <v>1</v>
      </c>
      <c r="J967" t="s">
        <v>1748</v>
      </c>
      <c r="K967" t="s">
        <v>2021</v>
      </c>
      <c r="L967" t="s">
        <v>1750</v>
      </c>
      <c r="M967">
        <v>316</v>
      </c>
      <c r="N967" t="b">
        <v>0</v>
      </c>
      <c r="O967">
        <v>171</v>
      </c>
      <c r="P967" t="s">
        <v>1752</v>
      </c>
      <c r="Q967" t="s">
        <v>1753</v>
      </c>
      <c r="R967" t="s">
        <v>1772</v>
      </c>
    </row>
    <row r="968" spans="1:18" x14ac:dyDescent="0.25">
      <c r="A968" t="s">
        <v>3235</v>
      </c>
      <c r="B968" t="s">
        <v>2060</v>
      </c>
      <c r="C968" t="s">
        <v>4</v>
      </c>
      <c r="D968" t="s">
        <v>624</v>
      </c>
      <c r="E968" s="2">
        <v>42542</v>
      </c>
      <c r="F968">
        <v>3069</v>
      </c>
      <c r="G968" t="s">
        <v>1746</v>
      </c>
      <c r="H968" t="s">
        <v>1747</v>
      </c>
      <c r="I968" t="b">
        <v>1</v>
      </c>
      <c r="J968" t="s">
        <v>1761</v>
      </c>
      <c r="K968" t="s">
        <v>1868</v>
      </c>
      <c r="L968" t="s">
        <v>1817</v>
      </c>
      <c r="M968">
        <v>315</v>
      </c>
      <c r="N968" t="b">
        <v>0</v>
      </c>
      <c r="O968">
        <v>218</v>
      </c>
      <c r="P968" t="s">
        <v>1819</v>
      </c>
      <c r="Q968" t="s">
        <v>1753</v>
      </c>
      <c r="R968" t="s">
        <v>1759</v>
      </c>
    </row>
    <row r="969" spans="1:18" x14ac:dyDescent="0.25">
      <c r="A969" t="s">
        <v>3236</v>
      </c>
      <c r="B969" t="s">
        <v>1876</v>
      </c>
      <c r="C969" t="s">
        <v>4</v>
      </c>
      <c r="D969" t="s">
        <v>1111</v>
      </c>
      <c r="E969" s="2">
        <v>44245</v>
      </c>
      <c r="F969">
        <v>1366</v>
      </c>
      <c r="G969" t="s">
        <v>1746</v>
      </c>
      <c r="H969" t="s">
        <v>1747</v>
      </c>
      <c r="I969" t="b">
        <v>0</v>
      </c>
      <c r="J969" t="s">
        <v>1748</v>
      </c>
      <c r="K969" t="s">
        <v>1824</v>
      </c>
      <c r="L969" t="s">
        <v>1750</v>
      </c>
      <c r="M969">
        <v>315</v>
      </c>
      <c r="N969" t="b">
        <v>1</v>
      </c>
      <c r="O969">
        <v>97</v>
      </c>
      <c r="P969" t="s">
        <v>1752</v>
      </c>
      <c r="Q969" t="s">
        <v>1753</v>
      </c>
    </row>
    <row r="970" spans="1:18" x14ac:dyDescent="0.25">
      <c r="A970" t="s">
        <v>3238</v>
      </c>
      <c r="B970" t="s">
        <v>2503</v>
      </c>
      <c r="C970" t="s">
        <v>4</v>
      </c>
      <c r="D970" t="s">
        <v>3237</v>
      </c>
      <c r="E970" s="2">
        <v>44308</v>
      </c>
      <c r="F970">
        <v>1303</v>
      </c>
      <c r="G970" t="s">
        <v>1746</v>
      </c>
      <c r="H970" t="s">
        <v>1747</v>
      </c>
      <c r="I970" t="b">
        <v>0</v>
      </c>
      <c r="J970" t="s">
        <v>1748</v>
      </c>
      <c r="K970" t="s">
        <v>1755</v>
      </c>
      <c r="L970" t="s">
        <v>1750</v>
      </c>
      <c r="M970">
        <v>315</v>
      </c>
      <c r="N970" t="b">
        <v>1</v>
      </c>
      <c r="O970">
        <v>590</v>
      </c>
      <c r="P970" t="s">
        <v>1752</v>
      </c>
      <c r="Q970" t="s">
        <v>1753</v>
      </c>
      <c r="R970" t="s">
        <v>1759</v>
      </c>
    </row>
    <row r="971" spans="1:18" x14ac:dyDescent="0.25">
      <c r="A971" t="s">
        <v>3240</v>
      </c>
      <c r="B971" t="s">
        <v>1785</v>
      </c>
      <c r="C971" t="s">
        <v>4</v>
      </c>
      <c r="D971" t="s">
        <v>3239</v>
      </c>
      <c r="E971" s="2">
        <v>41051</v>
      </c>
      <c r="F971">
        <v>4560</v>
      </c>
      <c r="G971" t="s">
        <v>1746</v>
      </c>
      <c r="H971" t="s">
        <v>1805</v>
      </c>
      <c r="I971" t="b">
        <v>0</v>
      </c>
      <c r="J971" t="s">
        <v>1761</v>
      </c>
      <c r="K971" t="s">
        <v>1749</v>
      </c>
      <c r="L971" t="s">
        <v>1817</v>
      </c>
      <c r="M971">
        <v>314</v>
      </c>
      <c r="N971" t="b">
        <v>0</v>
      </c>
      <c r="O971">
        <v>61</v>
      </c>
      <c r="P971" t="s">
        <v>1819</v>
      </c>
      <c r="Q971" t="s">
        <v>1753</v>
      </c>
    </row>
    <row r="972" spans="1:18" x14ac:dyDescent="0.25">
      <c r="A972" t="s">
        <v>3242</v>
      </c>
      <c r="B972" t="s">
        <v>2654</v>
      </c>
      <c r="C972" t="s">
        <v>4</v>
      </c>
      <c r="D972" t="s">
        <v>3241</v>
      </c>
      <c r="E972" s="2">
        <v>43941</v>
      </c>
      <c r="F972">
        <v>1670</v>
      </c>
      <c r="G972" t="s">
        <v>1746</v>
      </c>
      <c r="H972" t="s">
        <v>1747</v>
      </c>
      <c r="I972" t="b">
        <v>0</v>
      </c>
      <c r="J972" t="s">
        <v>1748</v>
      </c>
      <c r="K972" t="s">
        <v>1755</v>
      </c>
      <c r="L972" t="s">
        <v>1756</v>
      </c>
      <c r="M972">
        <v>314</v>
      </c>
      <c r="N972" t="b">
        <v>1</v>
      </c>
      <c r="O972">
        <v>146</v>
      </c>
      <c r="P972" t="s">
        <v>1752</v>
      </c>
      <c r="Q972" t="s">
        <v>1753</v>
      </c>
    </row>
    <row r="973" spans="1:18" x14ac:dyDescent="0.25">
      <c r="A973" t="s">
        <v>3243</v>
      </c>
      <c r="B973" t="s">
        <v>2353</v>
      </c>
      <c r="C973" t="s">
        <v>6</v>
      </c>
      <c r="D973" t="s">
        <v>19</v>
      </c>
      <c r="E973" s="2">
        <v>44270</v>
      </c>
      <c r="F973">
        <v>1341</v>
      </c>
      <c r="G973" t="s">
        <v>1746</v>
      </c>
      <c r="H973" t="s">
        <v>1798</v>
      </c>
      <c r="I973" t="b">
        <v>0</v>
      </c>
      <c r="J973" t="s">
        <v>1748</v>
      </c>
      <c r="K973" t="s">
        <v>1898</v>
      </c>
      <c r="L973" t="s">
        <v>1817</v>
      </c>
      <c r="M973">
        <v>313</v>
      </c>
      <c r="N973" t="b">
        <v>1</v>
      </c>
      <c r="O973">
        <v>268</v>
      </c>
      <c r="P973" t="s">
        <v>1819</v>
      </c>
      <c r="Q973" t="s">
        <v>1753</v>
      </c>
      <c r="R973" t="s">
        <v>1759</v>
      </c>
    </row>
    <row r="974" spans="1:18" x14ac:dyDescent="0.25">
      <c r="A974" t="s">
        <v>3244</v>
      </c>
      <c r="B974" t="s">
        <v>1810</v>
      </c>
      <c r="C974" t="s">
        <v>4</v>
      </c>
      <c r="D974" t="s">
        <v>711</v>
      </c>
      <c r="E974" s="2">
        <v>40203</v>
      </c>
      <c r="F974">
        <v>5408</v>
      </c>
      <c r="G974" t="s">
        <v>1746</v>
      </c>
      <c r="H974" t="s">
        <v>2001</v>
      </c>
      <c r="I974" t="b">
        <v>1</v>
      </c>
      <c r="J974" t="s">
        <v>1748</v>
      </c>
      <c r="K974" t="s">
        <v>1950</v>
      </c>
      <c r="L974" t="s">
        <v>1750</v>
      </c>
      <c r="M974">
        <v>312</v>
      </c>
      <c r="N974" t="b">
        <v>0</v>
      </c>
      <c r="O974">
        <v>225</v>
      </c>
      <c r="P974" t="s">
        <v>1752</v>
      </c>
      <c r="Q974" t="s">
        <v>1753</v>
      </c>
    </row>
    <row r="975" spans="1:18" x14ac:dyDescent="0.25">
      <c r="A975" t="s">
        <v>3246</v>
      </c>
      <c r="B975" t="s">
        <v>1803</v>
      </c>
      <c r="C975" t="s">
        <v>572</v>
      </c>
      <c r="D975" t="s">
        <v>3245</v>
      </c>
      <c r="E975" s="2">
        <v>37445</v>
      </c>
      <c r="F975">
        <v>8166</v>
      </c>
      <c r="G975" t="s">
        <v>1746</v>
      </c>
      <c r="H975" t="s">
        <v>1798</v>
      </c>
      <c r="I975" t="b">
        <v>0</v>
      </c>
      <c r="J975" t="s">
        <v>1761</v>
      </c>
      <c r="K975" t="s">
        <v>2053</v>
      </c>
      <c r="L975" t="s">
        <v>1750</v>
      </c>
      <c r="M975">
        <v>312</v>
      </c>
      <c r="N975" t="b">
        <v>0</v>
      </c>
      <c r="O975">
        <v>28</v>
      </c>
      <c r="P975" t="s">
        <v>1752</v>
      </c>
      <c r="Q975" t="s">
        <v>1753</v>
      </c>
      <c r="R975" t="s">
        <v>1828</v>
      </c>
    </row>
    <row r="976" spans="1:18" x14ac:dyDescent="0.25">
      <c r="A976" t="s">
        <v>3247</v>
      </c>
      <c r="B976" t="s">
        <v>1754</v>
      </c>
      <c r="C976" t="s">
        <v>4</v>
      </c>
      <c r="D976" t="s">
        <v>237</v>
      </c>
      <c r="E976" s="2">
        <v>43584</v>
      </c>
      <c r="F976">
        <v>2027</v>
      </c>
      <c r="G976" t="s">
        <v>1833</v>
      </c>
      <c r="H976" t="s">
        <v>1798</v>
      </c>
      <c r="I976" t="b">
        <v>0</v>
      </c>
      <c r="J976" t="s">
        <v>1748</v>
      </c>
      <c r="K976" t="s">
        <v>1770</v>
      </c>
      <c r="L976" t="s">
        <v>1750</v>
      </c>
      <c r="M976">
        <v>312</v>
      </c>
      <c r="N976" t="b">
        <v>1</v>
      </c>
      <c r="O976">
        <v>92</v>
      </c>
      <c r="P976" t="s">
        <v>1819</v>
      </c>
      <c r="Q976" t="s">
        <v>1753</v>
      </c>
      <c r="R976" t="s">
        <v>1828</v>
      </c>
    </row>
    <row r="977" spans="1:18" x14ac:dyDescent="0.25">
      <c r="A977" t="s">
        <v>3248</v>
      </c>
      <c r="B977" t="s">
        <v>2060</v>
      </c>
      <c r="C977" t="s">
        <v>6</v>
      </c>
      <c r="D977" t="s">
        <v>839</v>
      </c>
      <c r="E977" s="2">
        <v>42580</v>
      </c>
      <c r="F977">
        <v>3031</v>
      </c>
      <c r="G977" t="s">
        <v>1746</v>
      </c>
      <c r="H977" t="s">
        <v>1747</v>
      </c>
      <c r="I977" t="b">
        <v>0</v>
      </c>
      <c r="J977" t="s">
        <v>1761</v>
      </c>
      <c r="K977" t="s">
        <v>1863</v>
      </c>
      <c r="L977" t="s">
        <v>1750</v>
      </c>
      <c r="M977">
        <v>312</v>
      </c>
      <c r="N977" t="b">
        <v>0</v>
      </c>
      <c r="O977">
        <v>48</v>
      </c>
      <c r="P977" t="s">
        <v>1819</v>
      </c>
      <c r="Q977" t="s">
        <v>1753</v>
      </c>
    </row>
    <row r="978" spans="1:18" x14ac:dyDescent="0.25">
      <c r="A978" t="s">
        <v>3249</v>
      </c>
      <c r="B978" t="s">
        <v>1874</v>
      </c>
      <c r="C978" t="s">
        <v>6</v>
      </c>
      <c r="D978" t="s">
        <v>886</v>
      </c>
      <c r="E978" s="2">
        <v>42787</v>
      </c>
      <c r="F978">
        <v>2824</v>
      </c>
      <c r="G978" t="s">
        <v>1746</v>
      </c>
      <c r="H978" t="s">
        <v>1798</v>
      </c>
      <c r="I978" t="b">
        <v>0</v>
      </c>
      <c r="J978" t="s">
        <v>1748</v>
      </c>
      <c r="K978" t="s">
        <v>1776</v>
      </c>
      <c r="L978" t="s">
        <v>1817</v>
      </c>
      <c r="M978">
        <v>312</v>
      </c>
      <c r="N978" t="b">
        <v>1</v>
      </c>
      <c r="O978">
        <v>1004</v>
      </c>
      <c r="P978" t="s">
        <v>1819</v>
      </c>
      <c r="Q978" t="s">
        <v>1753</v>
      </c>
      <c r="R978" t="s">
        <v>1759</v>
      </c>
    </row>
    <row r="979" spans="1:18" x14ac:dyDescent="0.25">
      <c r="A979" t="s">
        <v>3250</v>
      </c>
      <c r="B979" t="s">
        <v>1860</v>
      </c>
      <c r="C979" t="s">
        <v>6</v>
      </c>
      <c r="D979" t="s">
        <v>1126</v>
      </c>
      <c r="E979" s="2">
        <v>43627</v>
      </c>
      <c r="F979">
        <v>1984</v>
      </c>
      <c r="G979" t="s">
        <v>1746</v>
      </c>
      <c r="H979" t="s">
        <v>1747</v>
      </c>
      <c r="I979" t="b">
        <v>0</v>
      </c>
      <c r="J979" t="s">
        <v>1748</v>
      </c>
      <c r="K979" t="s">
        <v>1988</v>
      </c>
      <c r="L979" t="s">
        <v>1756</v>
      </c>
      <c r="M979">
        <v>311</v>
      </c>
      <c r="N979" t="b">
        <v>1</v>
      </c>
      <c r="O979">
        <v>239</v>
      </c>
      <c r="P979" t="s">
        <v>1752</v>
      </c>
      <c r="Q979" t="s">
        <v>1753</v>
      </c>
      <c r="R979" t="s">
        <v>1772</v>
      </c>
    </row>
    <row r="980" spans="1:18" x14ac:dyDescent="0.25">
      <c r="A980" t="s">
        <v>3251</v>
      </c>
      <c r="B980" t="s">
        <v>2847</v>
      </c>
      <c r="C980" t="s">
        <v>11</v>
      </c>
      <c r="D980" t="s">
        <v>14</v>
      </c>
      <c r="E980" s="2">
        <v>40162</v>
      </c>
      <c r="F980">
        <v>5449</v>
      </c>
      <c r="G980" t="s">
        <v>1746</v>
      </c>
      <c r="H980" t="s">
        <v>1798</v>
      </c>
      <c r="I980" t="b">
        <v>0</v>
      </c>
      <c r="J980" t="s">
        <v>1748</v>
      </c>
      <c r="K980" t="s">
        <v>1853</v>
      </c>
      <c r="L980" t="s">
        <v>1750</v>
      </c>
      <c r="M980">
        <v>311</v>
      </c>
      <c r="N980" t="b">
        <v>1</v>
      </c>
      <c r="O980">
        <v>111</v>
      </c>
      <c r="P980" t="s">
        <v>1752</v>
      </c>
      <c r="Q980" t="s">
        <v>1753</v>
      </c>
      <c r="R980" t="s">
        <v>1828</v>
      </c>
    </row>
    <row r="981" spans="1:18" x14ac:dyDescent="0.25">
      <c r="A981" t="s">
        <v>3253</v>
      </c>
      <c r="B981" t="s">
        <v>1866</v>
      </c>
      <c r="C981" t="s">
        <v>4</v>
      </c>
      <c r="D981" t="s">
        <v>3252</v>
      </c>
      <c r="E981" s="2">
        <v>41401</v>
      </c>
      <c r="F981">
        <v>4210</v>
      </c>
      <c r="G981" t="s">
        <v>1746</v>
      </c>
      <c r="H981" t="s">
        <v>1798</v>
      </c>
      <c r="I981" t="b">
        <v>1</v>
      </c>
      <c r="J981" t="s">
        <v>1761</v>
      </c>
      <c r="K981" t="s">
        <v>1755</v>
      </c>
      <c r="L981" t="s">
        <v>1817</v>
      </c>
      <c r="M981">
        <v>310</v>
      </c>
      <c r="N981" t="b">
        <v>0</v>
      </c>
      <c r="O981">
        <v>1425</v>
      </c>
      <c r="P981" t="s">
        <v>1819</v>
      </c>
      <c r="Q981" t="s">
        <v>1753</v>
      </c>
      <c r="R981" t="s">
        <v>1828</v>
      </c>
    </row>
    <row r="982" spans="1:18" x14ac:dyDescent="0.25">
      <c r="A982" t="s">
        <v>3254</v>
      </c>
      <c r="B982" t="s">
        <v>1876</v>
      </c>
      <c r="C982" t="s">
        <v>4</v>
      </c>
      <c r="D982" t="s">
        <v>1090</v>
      </c>
      <c r="E982" s="2">
        <v>44684</v>
      </c>
      <c r="F982">
        <v>927</v>
      </c>
      <c r="G982" t="s">
        <v>1746</v>
      </c>
      <c r="H982" t="s">
        <v>1747</v>
      </c>
      <c r="I982" t="b">
        <v>1</v>
      </c>
      <c r="J982" t="s">
        <v>1748</v>
      </c>
      <c r="K982" t="s">
        <v>2219</v>
      </c>
      <c r="L982" t="s">
        <v>1750</v>
      </c>
      <c r="M982">
        <v>309</v>
      </c>
      <c r="N982" t="b">
        <v>0</v>
      </c>
      <c r="O982">
        <v>39</v>
      </c>
      <c r="P982" t="s">
        <v>1752</v>
      </c>
      <c r="Q982" t="s">
        <v>1753</v>
      </c>
      <c r="R982" t="s">
        <v>1759</v>
      </c>
    </row>
    <row r="983" spans="1:18" x14ac:dyDescent="0.25">
      <c r="A983" t="s">
        <v>3255</v>
      </c>
      <c r="B983" t="s">
        <v>1829</v>
      </c>
      <c r="C983" t="s">
        <v>4</v>
      </c>
      <c r="D983" t="s">
        <v>380</v>
      </c>
      <c r="E983" s="2">
        <v>43276</v>
      </c>
      <c r="F983">
        <v>2335</v>
      </c>
      <c r="G983" t="s">
        <v>1746</v>
      </c>
      <c r="H983" t="s">
        <v>1798</v>
      </c>
      <c r="I983" t="b">
        <v>1</v>
      </c>
      <c r="J983" t="s">
        <v>1761</v>
      </c>
      <c r="K983" t="s">
        <v>1917</v>
      </c>
      <c r="L983" t="s">
        <v>1750</v>
      </c>
      <c r="M983">
        <v>309</v>
      </c>
      <c r="N983" t="b">
        <v>0</v>
      </c>
      <c r="O983">
        <v>84</v>
      </c>
      <c r="P983" t="s">
        <v>1819</v>
      </c>
      <c r="Q983" t="s">
        <v>1753</v>
      </c>
      <c r="R983" t="s">
        <v>1759</v>
      </c>
    </row>
    <row r="984" spans="1:18" x14ac:dyDescent="0.25">
      <c r="A984" t="s">
        <v>3256</v>
      </c>
      <c r="B984" t="s">
        <v>1768</v>
      </c>
      <c r="C984" t="s">
        <v>6</v>
      </c>
      <c r="D984" t="s">
        <v>1171</v>
      </c>
      <c r="E984" s="2">
        <v>40091</v>
      </c>
      <c r="F984">
        <v>5520</v>
      </c>
      <c r="G984" t="s">
        <v>1746</v>
      </c>
      <c r="H984" t="s">
        <v>1798</v>
      </c>
      <c r="I984" t="b">
        <v>1</v>
      </c>
      <c r="J984" t="s">
        <v>1761</v>
      </c>
      <c r="K984" t="s">
        <v>1822</v>
      </c>
      <c r="L984" t="s">
        <v>1750</v>
      </c>
      <c r="M984">
        <v>309</v>
      </c>
      <c r="N984" t="b">
        <v>0</v>
      </c>
      <c r="O984">
        <v>415</v>
      </c>
      <c r="P984" t="s">
        <v>1752</v>
      </c>
      <c r="Q984" t="s">
        <v>1753</v>
      </c>
      <c r="R984" t="s">
        <v>1828</v>
      </c>
    </row>
    <row r="985" spans="1:18" x14ac:dyDescent="0.25">
      <c r="A985" t="s">
        <v>3258</v>
      </c>
      <c r="B985" t="s">
        <v>1866</v>
      </c>
      <c r="C985" t="s">
        <v>6</v>
      </c>
      <c r="D985" t="s">
        <v>3257</v>
      </c>
      <c r="E985" s="2">
        <v>39472</v>
      </c>
      <c r="F985">
        <v>6139</v>
      </c>
      <c r="G985" t="s">
        <v>1746</v>
      </c>
      <c r="H985" t="s">
        <v>2231</v>
      </c>
      <c r="I985" t="b">
        <v>1</v>
      </c>
      <c r="J985" t="s">
        <v>1761</v>
      </c>
      <c r="K985" t="s">
        <v>1776</v>
      </c>
      <c r="L985" t="s">
        <v>1750</v>
      </c>
      <c r="M985">
        <v>309</v>
      </c>
      <c r="N985" t="b">
        <v>0</v>
      </c>
      <c r="O985">
        <v>30</v>
      </c>
      <c r="P985" t="s">
        <v>1752</v>
      </c>
      <c r="Q985" t="s">
        <v>1753</v>
      </c>
    </row>
    <row r="986" spans="1:18" x14ac:dyDescent="0.25">
      <c r="A986" t="s">
        <v>3260</v>
      </c>
      <c r="B986" t="s">
        <v>1785</v>
      </c>
      <c r="C986" t="s">
        <v>6</v>
      </c>
      <c r="D986" t="s">
        <v>3259</v>
      </c>
      <c r="E986" s="2">
        <v>43088</v>
      </c>
      <c r="F986">
        <v>2523</v>
      </c>
      <c r="G986" t="s">
        <v>1746</v>
      </c>
      <c r="H986" t="s">
        <v>1798</v>
      </c>
      <c r="I986" t="b">
        <v>1</v>
      </c>
      <c r="J986" t="s">
        <v>1761</v>
      </c>
      <c r="K986" t="s">
        <v>1774</v>
      </c>
      <c r="L986" t="s">
        <v>1750</v>
      </c>
      <c r="M986">
        <v>309</v>
      </c>
      <c r="N986" t="b">
        <v>0</v>
      </c>
      <c r="O986">
        <v>417</v>
      </c>
      <c r="P986" t="s">
        <v>1752</v>
      </c>
      <c r="Q986" t="s">
        <v>1753</v>
      </c>
      <c r="R986" t="s">
        <v>1828</v>
      </c>
    </row>
    <row r="987" spans="1:18" x14ac:dyDescent="0.25">
      <c r="A987" t="s">
        <v>3262</v>
      </c>
      <c r="B987" t="s">
        <v>3263</v>
      </c>
      <c r="C987" t="s">
        <v>6</v>
      </c>
      <c r="D987" t="s">
        <v>3261</v>
      </c>
      <c r="E987" s="2">
        <v>42835</v>
      </c>
      <c r="F987">
        <v>2776</v>
      </c>
      <c r="G987" t="s">
        <v>1746</v>
      </c>
      <c r="H987" t="s">
        <v>1747</v>
      </c>
      <c r="I987" t="b">
        <v>0</v>
      </c>
      <c r="J987" t="s">
        <v>1748</v>
      </c>
      <c r="K987" t="s">
        <v>1770</v>
      </c>
      <c r="L987" t="s">
        <v>1766</v>
      </c>
      <c r="M987">
        <v>308</v>
      </c>
      <c r="N987" t="b">
        <v>0</v>
      </c>
      <c r="P987" t="s">
        <v>1752</v>
      </c>
      <c r="Q987" t="s">
        <v>1753</v>
      </c>
    </row>
    <row r="988" spans="1:18" x14ac:dyDescent="0.25">
      <c r="A988" t="s">
        <v>3265</v>
      </c>
      <c r="B988" t="s">
        <v>3266</v>
      </c>
      <c r="C988" t="s">
        <v>1249</v>
      </c>
      <c r="D988" t="s">
        <v>3264</v>
      </c>
      <c r="E988" s="2">
        <v>40161</v>
      </c>
      <c r="F988">
        <v>5450</v>
      </c>
      <c r="G988" t="s">
        <v>1746</v>
      </c>
      <c r="H988" t="s">
        <v>1798</v>
      </c>
      <c r="I988" t="b">
        <v>0</v>
      </c>
      <c r="J988" t="s">
        <v>1761</v>
      </c>
      <c r="K988" t="s">
        <v>1853</v>
      </c>
      <c r="L988" t="s">
        <v>1750</v>
      </c>
      <c r="M988">
        <v>307</v>
      </c>
      <c r="N988" t="b">
        <v>0</v>
      </c>
      <c r="O988">
        <v>25</v>
      </c>
      <c r="P988" t="s">
        <v>1752</v>
      </c>
      <c r="Q988" t="s">
        <v>1753</v>
      </c>
    </row>
    <row r="989" spans="1:18" x14ac:dyDescent="0.25">
      <c r="A989" t="s">
        <v>3268</v>
      </c>
      <c r="B989" t="s">
        <v>2284</v>
      </c>
      <c r="C989" t="s">
        <v>186</v>
      </c>
      <c r="D989" t="s">
        <v>3267</v>
      </c>
      <c r="E989" s="2">
        <v>44250</v>
      </c>
      <c r="F989">
        <v>1361</v>
      </c>
      <c r="G989" t="s">
        <v>1746</v>
      </c>
      <c r="H989" t="s">
        <v>1747</v>
      </c>
      <c r="I989" t="b">
        <v>0</v>
      </c>
      <c r="J989" t="s">
        <v>1748</v>
      </c>
      <c r="K989" t="s">
        <v>1799</v>
      </c>
      <c r="L989" t="s">
        <v>1775</v>
      </c>
      <c r="M989">
        <v>307</v>
      </c>
      <c r="N989" t="b">
        <v>0</v>
      </c>
      <c r="P989" t="s">
        <v>2283</v>
      </c>
      <c r="Q989" t="s">
        <v>1705</v>
      </c>
    </row>
    <row r="990" spans="1:18" x14ac:dyDescent="0.25">
      <c r="A990" t="s">
        <v>3269</v>
      </c>
      <c r="B990" t="s">
        <v>1810</v>
      </c>
      <c r="C990" t="s">
        <v>4</v>
      </c>
      <c r="D990" t="s">
        <v>727</v>
      </c>
      <c r="E990" s="2">
        <v>42020</v>
      </c>
      <c r="F990">
        <v>3591</v>
      </c>
      <c r="G990" t="s">
        <v>1746</v>
      </c>
      <c r="H990" t="s">
        <v>1798</v>
      </c>
      <c r="I990" t="b">
        <v>1</v>
      </c>
      <c r="J990" t="s">
        <v>1748</v>
      </c>
      <c r="K990" t="s">
        <v>1776</v>
      </c>
      <c r="L990" t="s">
        <v>1756</v>
      </c>
      <c r="M990">
        <v>306</v>
      </c>
      <c r="N990" t="b">
        <v>0</v>
      </c>
      <c r="O990">
        <v>126</v>
      </c>
      <c r="P990" t="s">
        <v>1752</v>
      </c>
      <c r="Q990" t="s">
        <v>1753</v>
      </c>
      <c r="R990" t="s">
        <v>1828</v>
      </c>
    </row>
    <row r="991" spans="1:18" x14ac:dyDescent="0.25">
      <c r="A991" t="s">
        <v>3271</v>
      </c>
      <c r="B991" t="s">
        <v>2133</v>
      </c>
      <c r="C991" t="s">
        <v>4</v>
      </c>
      <c r="D991" t="s">
        <v>3270</v>
      </c>
      <c r="E991" s="2">
        <v>44217</v>
      </c>
      <c r="F991">
        <v>1394</v>
      </c>
      <c r="G991" t="s">
        <v>1746</v>
      </c>
      <c r="H991" t="s">
        <v>1747</v>
      </c>
      <c r="I991" t="b">
        <v>1</v>
      </c>
      <c r="J991" t="s">
        <v>1761</v>
      </c>
      <c r="K991" t="s">
        <v>1774</v>
      </c>
      <c r="L991" t="s">
        <v>1750</v>
      </c>
      <c r="M991">
        <v>306</v>
      </c>
      <c r="N991" t="b">
        <v>0</v>
      </c>
      <c r="O991">
        <v>95</v>
      </c>
      <c r="P991" t="s">
        <v>1752</v>
      </c>
      <c r="Q991" t="s">
        <v>1753</v>
      </c>
    </row>
    <row r="992" spans="1:18" x14ac:dyDescent="0.25">
      <c r="A992" t="s">
        <v>3273</v>
      </c>
      <c r="B992" t="s">
        <v>1803</v>
      </c>
      <c r="C992" t="s">
        <v>572</v>
      </c>
      <c r="D992" t="s">
        <v>3272</v>
      </c>
      <c r="E992" s="2">
        <v>37783</v>
      </c>
      <c r="F992">
        <v>7828</v>
      </c>
      <c r="G992" t="s">
        <v>1746</v>
      </c>
      <c r="H992" t="s">
        <v>1798</v>
      </c>
      <c r="I992" t="b">
        <v>0</v>
      </c>
      <c r="J992" t="s">
        <v>1761</v>
      </c>
      <c r="K992" t="s">
        <v>1826</v>
      </c>
      <c r="L992" t="s">
        <v>1817</v>
      </c>
      <c r="M992">
        <v>305</v>
      </c>
      <c r="N992" t="b">
        <v>0</v>
      </c>
      <c r="O992">
        <v>15</v>
      </c>
      <c r="P992" t="s">
        <v>1819</v>
      </c>
      <c r="Q992" t="s">
        <v>1753</v>
      </c>
    </row>
    <row r="993" spans="1:18" x14ac:dyDescent="0.25">
      <c r="A993" t="s">
        <v>581</v>
      </c>
      <c r="B993" t="s">
        <v>2997</v>
      </c>
      <c r="C993" t="s">
        <v>4</v>
      </c>
      <c r="D993" t="s">
        <v>582</v>
      </c>
      <c r="E993" s="2">
        <v>42853</v>
      </c>
      <c r="F993">
        <v>2758</v>
      </c>
      <c r="G993" t="s">
        <v>1746</v>
      </c>
      <c r="H993" t="s">
        <v>1798</v>
      </c>
      <c r="I993" t="b">
        <v>1</v>
      </c>
      <c r="J993" t="s">
        <v>1761</v>
      </c>
      <c r="K993" t="s">
        <v>1774</v>
      </c>
      <c r="L993" t="s">
        <v>1750</v>
      </c>
      <c r="M993">
        <v>304</v>
      </c>
      <c r="N993" t="b">
        <v>0</v>
      </c>
      <c r="O993">
        <v>221</v>
      </c>
      <c r="P993" t="s">
        <v>1752</v>
      </c>
      <c r="Q993" t="s">
        <v>1753</v>
      </c>
      <c r="R993" t="s">
        <v>1828</v>
      </c>
    </row>
    <row r="994" spans="1:18" x14ac:dyDescent="0.25">
      <c r="A994" t="s">
        <v>3275</v>
      </c>
      <c r="B994" t="s">
        <v>2335</v>
      </c>
      <c r="C994" t="s">
        <v>6</v>
      </c>
      <c r="D994" t="s">
        <v>3274</v>
      </c>
      <c r="E994" s="2">
        <v>45366</v>
      </c>
      <c r="F994">
        <v>245</v>
      </c>
      <c r="G994" t="s">
        <v>1746</v>
      </c>
      <c r="H994" t="s">
        <v>1798</v>
      </c>
      <c r="I994" t="b">
        <v>0</v>
      </c>
      <c r="J994" t="s">
        <v>1761</v>
      </c>
      <c r="K994" t="s">
        <v>1800</v>
      </c>
      <c r="L994" t="s">
        <v>1766</v>
      </c>
      <c r="M994">
        <v>303</v>
      </c>
      <c r="N994" t="b">
        <v>0</v>
      </c>
      <c r="P994" t="s">
        <v>1752</v>
      </c>
      <c r="Q994" t="s">
        <v>1753</v>
      </c>
    </row>
    <row r="995" spans="1:18" x14ac:dyDescent="0.25">
      <c r="A995" t="s">
        <v>3277</v>
      </c>
      <c r="B995" t="s">
        <v>1785</v>
      </c>
      <c r="C995" t="s">
        <v>4</v>
      </c>
      <c r="D995" t="s">
        <v>3276</v>
      </c>
      <c r="E995" s="2">
        <v>43392</v>
      </c>
      <c r="F995">
        <v>2219</v>
      </c>
      <c r="G995" t="s">
        <v>1746</v>
      </c>
      <c r="H995" t="s">
        <v>1798</v>
      </c>
      <c r="I995" t="b">
        <v>0</v>
      </c>
      <c r="J995" t="s">
        <v>1761</v>
      </c>
      <c r="K995" t="s">
        <v>1774</v>
      </c>
      <c r="L995" t="s">
        <v>1756</v>
      </c>
      <c r="M995">
        <v>303</v>
      </c>
      <c r="N995" t="b">
        <v>1</v>
      </c>
      <c r="O995">
        <v>384</v>
      </c>
      <c r="P995" t="s">
        <v>1752</v>
      </c>
      <c r="Q995" t="s">
        <v>1753</v>
      </c>
      <c r="R995" t="s">
        <v>1828</v>
      </c>
    </row>
    <row r="996" spans="1:18" x14ac:dyDescent="0.25">
      <c r="A996" t="s">
        <v>1640</v>
      </c>
      <c r="B996" t="s">
        <v>1810</v>
      </c>
      <c r="C996" t="s">
        <v>4</v>
      </c>
      <c r="D996" t="s">
        <v>1641</v>
      </c>
      <c r="E996" s="2">
        <v>42445</v>
      </c>
      <c r="F996">
        <v>3166</v>
      </c>
      <c r="G996" t="s">
        <v>1746</v>
      </c>
      <c r="H996" t="s">
        <v>1747</v>
      </c>
      <c r="I996" t="b">
        <v>1</v>
      </c>
      <c r="J996" t="s">
        <v>1748</v>
      </c>
      <c r="K996" t="s">
        <v>1776</v>
      </c>
      <c r="L996" t="s">
        <v>1750</v>
      </c>
      <c r="M996">
        <v>303</v>
      </c>
      <c r="N996" t="b">
        <v>0</v>
      </c>
      <c r="O996">
        <v>101</v>
      </c>
      <c r="P996" t="s">
        <v>1752</v>
      </c>
      <c r="Q996" t="s">
        <v>1753</v>
      </c>
      <c r="R996" t="s">
        <v>1759</v>
      </c>
    </row>
    <row r="997" spans="1:18" x14ac:dyDescent="0.25">
      <c r="A997" t="s">
        <v>3278</v>
      </c>
      <c r="B997" t="s">
        <v>1754</v>
      </c>
      <c r="C997" t="s">
        <v>4</v>
      </c>
      <c r="D997" t="s">
        <v>1084</v>
      </c>
      <c r="E997" s="2">
        <v>42192</v>
      </c>
      <c r="F997">
        <v>3419</v>
      </c>
      <c r="G997" t="s">
        <v>1746</v>
      </c>
      <c r="H997" t="s">
        <v>1747</v>
      </c>
      <c r="I997" t="b">
        <v>1</v>
      </c>
      <c r="J997" t="s">
        <v>1748</v>
      </c>
      <c r="K997" t="s">
        <v>1824</v>
      </c>
      <c r="L997" t="s">
        <v>1750</v>
      </c>
      <c r="M997">
        <v>303</v>
      </c>
      <c r="N997" t="b">
        <v>0</v>
      </c>
      <c r="O997">
        <v>78</v>
      </c>
      <c r="P997" t="s">
        <v>1752</v>
      </c>
      <c r="Q997" t="s">
        <v>1753</v>
      </c>
    </row>
    <row r="998" spans="1:18" x14ac:dyDescent="0.25">
      <c r="A998" t="s">
        <v>3279</v>
      </c>
      <c r="B998" t="s">
        <v>1876</v>
      </c>
      <c r="C998" t="s">
        <v>4</v>
      </c>
      <c r="D998" t="s">
        <v>1694</v>
      </c>
      <c r="E998" s="2">
        <v>44077</v>
      </c>
      <c r="F998">
        <v>1534</v>
      </c>
      <c r="G998" t="s">
        <v>1746</v>
      </c>
      <c r="H998" t="s">
        <v>1747</v>
      </c>
      <c r="I998" t="b">
        <v>1</v>
      </c>
      <c r="J998" t="s">
        <v>1748</v>
      </c>
      <c r="K998" t="s">
        <v>1985</v>
      </c>
      <c r="L998" t="s">
        <v>1817</v>
      </c>
      <c r="M998">
        <v>302</v>
      </c>
      <c r="N998" t="b">
        <v>0</v>
      </c>
      <c r="O998">
        <v>71</v>
      </c>
      <c r="P998" t="s">
        <v>1819</v>
      </c>
      <c r="Q998" t="s">
        <v>1753</v>
      </c>
    </row>
    <row r="999" spans="1:18" x14ac:dyDescent="0.25">
      <c r="A999" t="s">
        <v>3280</v>
      </c>
      <c r="B999" t="s">
        <v>2035</v>
      </c>
      <c r="C999" t="s">
        <v>6</v>
      </c>
      <c r="D999" t="s">
        <v>55</v>
      </c>
      <c r="E999" s="2">
        <v>39870</v>
      </c>
      <c r="F999">
        <v>5741</v>
      </c>
      <c r="G999" t="s">
        <v>1746</v>
      </c>
      <c r="H999" t="s">
        <v>1798</v>
      </c>
      <c r="I999" t="b">
        <v>0</v>
      </c>
      <c r="J999" t="s">
        <v>1748</v>
      </c>
      <c r="K999" t="s">
        <v>1856</v>
      </c>
      <c r="L999" t="s">
        <v>1750</v>
      </c>
      <c r="M999">
        <v>302</v>
      </c>
      <c r="N999" t="b">
        <v>1</v>
      </c>
      <c r="O999">
        <v>26</v>
      </c>
      <c r="P999" t="s">
        <v>1752</v>
      </c>
      <c r="Q999" t="s">
        <v>1753</v>
      </c>
      <c r="R999" t="s">
        <v>2028</v>
      </c>
    </row>
    <row r="1000" spans="1:18" x14ac:dyDescent="0.25">
      <c r="A1000" t="s">
        <v>3282</v>
      </c>
      <c r="B1000" t="s">
        <v>1902</v>
      </c>
      <c r="C1000" t="s">
        <v>4</v>
      </c>
      <c r="D1000" t="s">
        <v>3281</v>
      </c>
      <c r="E1000" s="2">
        <v>40802</v>
      </c>
      <c r="F1000">
        <v>4809</v>
      </c>
      <c r="G1000" t="s">
        <v>1746</v>
      </c>
      <c r="H1000" t="s">
        <v>1747</v>
      </c>
      <c r="I1000" t="b">
        <v>1</v>
      </c>
      <c r="J1000" t="s">
        <v>1748</v>
      </c>
      <c r="K1000" t="s">
        <v>1913</v>
      </c>
      <c r="L1000" t="s">
        <v>1750</v>
      </c>
      <c r="M1000">
        <v>301</v>
      </c>
      <c r="N1000" t="b">
        <v>0</v>
      </c>
      <c r="O1000">
        <v>69</v>
      </c>
      <c r="P1000" t="s">
        <v>1752</v>
      </c>
      <c r="Q1000" t="s">
        <v>1753</v>
      </c>
      <c r="R1000" t="s">
        <v>1759</v>
      </c>
    </row>
    <row r="1001" spans="1:18" x14ac:dyDescent="0.25">
      <c r="A1001" t="s">
        <v>3283</v>
      </c>
      <c r="B1001" t="s">
        <v>1876</v>
      </c>
      <c r="C1001" t="s">
        <v>4</v>
      </c>
      <c r="D1001" t="s">
        <v>751</v>
      </c>
      <c r="E1001" s="2">
        <v>44677</v>
      </c>
      <c r="F1001">
        <v>934</v>
      </c>
      <c r="G1001" t="s">
        <v>1833</v>
      </c>
      <c r="H1001" t="s">
        <v>1798</v>
      </c>
      <c r="I1001" t="b">
        <v>0</v>
      </c>
      <c r="J1001" t="s">
        <v>1748</v>
      </c>
      <c r="K1001" t="s">
        <v>1776</v>
      </c>
      <c r="L1001" t="s">
        <v>1750</v>
      </c>
      <c r="M1001">
        <v>301</v>
      </c>
      <c r="N1001" t="b">
        <v>1</v>
      </c>
      <c r="O1001">
        <v>107</v>
      </c>
      <c r="P1001" t="s">
        <v>1752</v>
      </c>
      <c r="Q1001" t="s">
        <v>1753</v>
      </c>
      <c r="R1001" t="s">
        <v>1828</v>
      </c>
    </row>
    <row r="1002" spans="1:18" x14ac:dyDescent="0.25">
      <c r="A1002" t="s">
        <v>3284</v>
      </c>
      <c r="B1002" t="s">
        <v>2075</v>
      </c>
      <c r="C1002" t="s">
        <v>4</v>
      </c>
      <c r="D1002" t="s">
        <v>1088</v>
      </c>
      <c r="E1002" s="2">
        <v>43738</v>
      </c>
      <c r="F1002">
        <v>1873</v>
      </c>
      <c r="G1002" t="s">
        <v>1746</v>
      </c>
      <c r="H1002" t="s">
        <v>1798</v>
      </c>
      <c r="I1002" t="b">
        <v>0</v>
      </c>
      <c r="J1002" t="s">
        <v>1748</v>
      </c>
      <c r="K1002" t="s">
        <v>1774</v>
      </c>
      <c r="L1002" t="s">
        <v>1756</v>
      </c>
      <c r="M1002">
        <v>300</v>
      </c>
      <c r="N1002" t="b">
        <v>1</v>
      </c>
      <c r="O1002">
        <v>200</v>
      </c>
      <c r="P1002" t="s">
        <v>1752</v>
      </c>
      <c r="Q1002" t="s">
        <v>1753</v>
      </c>
      <c r="R1002" t="s">
        <v>1828</v>
      </c>
    </row>
    <row r="1003" spans="1:18" x14ac:dyDescent="0.25">
      <c r="A1003" t="s">
        <v>3286</v>
      </c>
      <c r="B1003" t="s">
        <v>2564</v>
      </c>
      <c r="C1003" t="s">
        <v>6</v>
      </c>
      <c r="D1003" t="s">
        <v>3285</v>
      </c>
      <c r="E1003" s="2">
        <v>43049</v>
      </c>
      <c r="F1003">
        <v>2562</v>
      </c>
      <c r="G1003" t="s">
        <v>1746</v>
      </c>
      <c r="H1003" t="s">
        <v>1798</v>
      </c>
      <c r="I1003" t="b">
        <v>0</v>
      </c>
      <c r="J1003" t="s">
        <v>1748</v>
      </c>
      <c r="K1003" t="s">
        <v>1825</v>
      </c>
      <c r="L1003" t="s">
        <v>1750</v>
      </c>
      <c r="M1003">
        <v>300</v>
      </c>
      <c r="N1003" t="b">
        <v>1</v>
      </c>
      <c r="O1003">
        <v>124</v>
      </c>
      <c r="P1003" t="s">
        <v>1752</v>
      </c>
      <c r="Q1003" t="s">
        <v>1753</v>
      </c>
      <c r="R1003" t="s">
        <v>1828</v>
      </c>
    </row>
    <row r="1004" spans="1:18" x14ac:dyDescent="0.25">
      <c r="A1004" t="s">
        <v>1606</v>
      </c>
      <c r="B1004" t="s">
        <v>1810</v>
      </c>
      <c r="C1004" t="s">
        <v>6</v>
      </c>
      <c r="D1004" t="s">
        <v>1607</v>
      </c>
      <c r="E1004" s="2">
        <v>40263</v>
      </c>
      <c r="F1004">
        <v>5348</v>
      </c>
      <c r="G1004" t="s">
        <v>1746</v>
      </c>
      <c r="H1004" t="s">
        <v>1747</v>
      </c>
      <c r="I1004" t="b">
        <v>1</v>
      </c>
      <c r="J1004" t="s">
        <v>1748</v>
      </c>
      <c r="K1004" t="s">
        <v>1757</v>
      </c>
      <c r="L1004" t="s">
        <v>1750</v>
      </c>
      <c r="M1004">
        <v>300</v>
      </c>
      <c r="N1004" t="b">
        <v>0</v>
      </c>
      <c r="O1004">
        <v>25</v>
      </c>
      <c r="P1004" t="s">
        <v>1752</v>
      </c>
      <c r="Q1004" t="s">
        <v>1753</v>
      </c>
    </row>
    <row r="1005" spans="1:18" x14ac:dyDescent="0.25">
      <c r="A1005" t="s">
        <v>3287</v>
      </c>
      <c r="B1005" t="s">
        <v>2106</v>
      </c>
      <c r="C1005" t="s">
        <v>4</v>
      </c>
      <c r="D1005" t="s">
        <v>107</v>
      </c>
      <c r="E1005" s="2">
        <v>44824</v>
      </c>
      <c r="F1005">
        <v>787</v>
      </c>
      <c r="G1005" t="s">
        <v>1746</v>
      </c>
      <c r="H1005" t="s">
        <v>1798</v>
      </c>
      <c r="I1005" t="b">
        <v>1</v>
      </c>
      <c r="J1005" t="s">
        <v>1748</v>
      </c>
      <c r="K1005" t="s">
        <v>1770</v>
      </c>
      <c r="L1005" t="s">
        <v>1750</v>
      </c>
      <c r="M1005">
        <v>299</v>
      </c>
      <c r="N1005" t="b">
        <v>1</v>
      </c>
      <c r="O1005">
        <v>35</v>
      </c>
      <c r="P1005" t="s">
        <v>1752</v>
      </c>
      <c r="Q1005" t="s">
        <v>1753</v>
      </c>
      <c r="R1005" t="s">
        <v>1759</v>
      </c>
    </row>
    <row r="1006" spans="1:18" x14ac:dyDescent="0.25">
      <c r="A1006" t="s">
        <v>3288</v>
      </c>
      <c r="B1006" t="s">
        <v>1829</v>
      </c>
      <c r="C1006" t="s">
        <v>4</v>
      </c>
      <c r="D1006" t="s">
        <v>1102</v>
      </c>
      <c r="E1006" s="2">
        <v>41547</v>
      </c>
      <c r="F1006">
        <v>4064</v>
      </c>
      <c r="G1006" t="s">
        <v>1746</v>
      </c>
      <c r="H1006" t="s">
        <v>1798</v>
      </c>
      <c r="I1006" t="b">
        <v>1</v>
      </c>
      <c r="J1006" t="s">
        <v>1748</v>
      </c>
      <c r="K1006" t="s">
        <v>1822</v>
      </c>
      <c r="L1006" t="s">
        <v>1750</v>
      </c>
      <c r="M1006">
        <v>298</v>
      </c>
      <c r="N1006" t="b">
        <v>0</v>
      </c>
      <c r="O1006">
        <v>595</v>
      </c>
      <c r="P1006" t="s">
        <v>1752</v>
      </c>
      <c r="Q1006" t="s">
        <v>1753</v>
      </c>
    </row>
    <row r="1007" spans="1:18" x14ac:dyDescent="0.25">
      <c r="A1007" t="s">
        <v>3289</v>
      </c>
      <c r="B1007" t="s">
        <v>1876</v>
      </c>
      <c r="C1007" t="s">
        <v>4</v>
      </c>
      <c r="D1007" t="s">
        <v>436</v>
      </c>
      <c r="E1007" s="2">
        <v>41409</v>
      </c>
      <c r="F1007">
        <v>4202</v>
      </c>
      <c r="G1007" t="s">
        <v>1746</v>
      </c>
      <c r="H1007" t="s">
        <v>1747</v>
      </c>
      <c r="I1007" t="b">
        <v>0</v>
      </c>
      <c r="J1007" t="s">
        <v>1761</v>
      </c>
      <c r="K1007" t="s">
        <v>1868</v>
      </c>
      <c r="L1007" t="s">
        <v>1766</v>
      </c>
      <c r="M1007">
        <v>298</v>
      </c>
      <c r="N1007" t="b">
        <v>0</v>
      </c>
      <c r="P1007" t="s">
        <v>1752</v>
      </c>
      <c r="Q1007" t="s">
        <v>1753</v>
      </c>
    </row>
    <row r="1008" spans="1:18" x14ac:dyDescent="0.25">
      <c r="A1008" t="s">
        <v>3291</v>
      </c>
      <c r="B1008" t="s">
        <v>1803</v>
      </c>
      <c r="C1008" t="s">
        <v>572</v>
      </c>
      <c r="D1008" t="s">
        <v>3290</v>
      </c>
      <c r="E1008" s="2">
        <v>38803</v>
      </c>
      <c r="F1008">
        <v>6808</v>
      </c>
      <c r="G1008" t="s">
        <v>1746</v>
      </c>
      <c r="H1008" t="s">
        <v>1798</v>
      </c>
      <c r="I1008" t="b">
        <v>0</v>
      </c>
      <c r="J1008" t="s">
        <v>1761</v>
      </c>
      <c r="K1008" t="s">
        <v>1922</v>
      </c>
      <c r="L1008" t="s">
        <v>1750</v>
      </c>
      <c r="M1008">
        <v>297</v>
      </c>
      <c r="N1008" t="b">
        <v>0</v>
      </c>
      <c r="O1008">
        <v>49</v>
      </c>
      <c r="P1008" t="s">
        <v>1752</v>
      </c>
      <c r="Q1008" t="s">
        <v>1753</v>
      </c>
      <c r="R1008" t="s">
        <v>2028</v>
      </c>
    </row>
    <row r="1009" spans="1:18" x14ac:dyDescent="0.25">
      <c r="A1009" t="s">
        <v>3293</v>
      </c>
      <c r="B1009" t="s">
        <v>3294</v>
      </c>
      <c r="C1009" t="s">
        <v>4</v>
      </c>
      <c r="D1009" t="s">
        <v>3292</v>
      </c>
      <c r="E1009" s="2">
        <v>45448</v>
      </c>
      <c r="F1009">
        <v>163</v>
      </c>
      <c r="G1009" t="s">
        <v>1746</v>
      </c>
      <c r="H1009" t="s">
        <v>1747</v>
      </c>
      <c r="I1009" t="b">
        <v>0</v>
      </c>
      <c r="J1009" t="s">
        <v>1748</v>
      </c>
      <c r="K1009" t="s">
        <v>1771</v>
      </c>
      <c r="L1009" t="s">
        <v>1750</v>
      </c>
      <c r="M1009">
        <v>297</v>
      </c>
      <c r="N1009" t="b">
        <v>1</v>
      </c>
      <c r="O1009">
        <v>106</v>
      </c>
      <c r="P1009" t="s">
        <v>1752</v>
      </c>
      <c r="Q1009" t="s">
        <v>1753</v>
      </c>
      <c r="R1009" t="s">
        <v>1759</v>
      </c>
    </row>
    <row r="1010" spans="1:18" x14ac:dyDescent="0.25">
      <c r="A1010" t="s">
        <v>3295</v>
      </c>
      <c r="B1010" t="s">
        <v>1860</v>
      </c>
      <c r="C1010" t="s">
        <v>4</v>
      </c>
      <c r="D1010" t="s">
        <v>459</v>
      </c>
      <c r="E1010" s="2">
        <v>44021</v>
      </c>
      <c r="F1010">
        <v>1590</v>
      </c>
      <c r="G1010" t="s">
        <v>1746</v>
      </c>
      <c r="H1010" t="s">
        <v>1798</v>
      </c>
      <c r="I1010" t="b">
        <v>0</v>
      </c>
      <c r="J1010" t="s">
        <v>1748</v>
      </c>
      <c r="K1010" t="s">
        <v>1808</v>
      </c>
      <c r="L1010" t="s">
        <v>1775</v>
      </c>
      <c r="M1010">
        <v>297</v>
      </c>
      <c r="N1010" t="b">
        <v>0</v>
      </c>
      <c r="P1010" t="s">
        <v>1778</v>
      </c>
      <c r="Q1010" t="s">
        <v>1779</v>
      </c>
    </row>
    <row r="1011" spans="1:18" x14ac:dyDescent="0.25">
      <c r="A1011" t="s">
        <v>3296</v>
      </c>
      <c r="B1011" t="s">
        <v>3297</v>
      </c>
      <c r="C1011" t="s">
        <v>6</v>
      </c>
      <c r="D1011" t="s">
        <v>41</v>
      </c>
      <c r="E1011" s="2">
        <v>42691</v>
      </c>
      <c r="F1011">
        <v>2920</v>
      </c>
      <c r="G1011" t="s">
        <v>1746</v>
      </c>
      <c r="H1011" t="s">
        <v>1798</v>
      </c>
      <c r="I1011" t="b">
        <v>1</v>
      </c>
      <c r="J1011" t="s">
        <v>1748</v>
      </c>
      <c r="K1011" t="s">
        <v>1988</v>
      </c>
      <c r="L1011" t="s">
        <v>1750</v>
      </c>
      <c r="M1011">
        <v>297</v>
      </c>
      <c r="N1011" t="b">
        <v>0</v>
      </c>
      <c r="O1011">
        <v>361</v>
      </c>
      <c r="P1011" t="s">
        <v>2266</v>
      </c>
      <c r="Q1011" t="s">
        <v>1753</v>
      </c>
      <c r="R1011" t="s">
        <v>1759</v>
      </c>
    </row>
    <row r="1012" spans="1:18" x14ac:dyDescent="0.25">
      <c r="A1012" t="s">
        <v>3299</v>
      </c>
      <c r="B1012" t="s">
        <v>2150</v>
      </c>
      <c r="C1012" t="s">
        <v>4</v>
      </c>
      <c r="D1012" t="s">
        <v>3298</v>
      </c>
      <c r="E1012" s="2">
        <v>42474</v>
      </c>
      <c r="F1012">
        <v>3137</v>
      </c>
      <c r="G1012" t="s">
        <v>1746</v>
      </c>
      <c r="H1012" t="s">
        <v>1747</v>
      </c>
      <c r="I1012" t="b">
        <v>0</v>
      </c>
      <c r="J1012" t="s">
        <v>1761</v>
      </c>
      <c r="K1012" t="s">
        <v>1913</v>
      </c>
      <c r="L1012" t="s">
        <v>1750</v>
      </c>
      <c r="M1012">
        <v>297</v>
      </c>
      <c r="N1012" t="b">
        <v>0</v>
      </c>
      <c r="O1012">
        <v>146</v>
      </c>
      <c r="P1012" t="s">
        <v>1752</v>
      </c>
      <c r="Q1012" t="s">
        <v>1753</v>
      </c>
    </row>
    <row r="1013" spans="1:18" x14ac:dyDescent="0.25">
      <c r="A1013" t="s">
        <v>3301</v>
      </c>
      <c r="B1013" t="s">
        <v>1785</v>
      </c>
      <c r="C1013" t="s">
        <v>4</v>
      </c>
      <c r="D1013" t="s">
        <v>3300</v>
      </c>
      <c r="E1013" s="2">
        <v>41046</v>
      </c>
      <c r="F1013">
        <v>4565</v>
      </c>
      <c r="G1013" t="s">
        <v>1746</v>
      </c>
      <c r="H1013" t="s">
        <v>1805</v>
      </c>
      <c r="I1013" t="b">
        <v>1</v>
      </c>
      <c r="J1013" t="s">
        <v>1761</v>
      </c>
      <c r="K1013" t="s">
        <v>1824</v>
      </c>
      <c r="L1013" t="s">
        <v>1750</v>
      </c>
      <c r="M1013">
        <v>296</v>
      </c>
      <c r="N1013" t="b">
        <v>0</v>
      </c>
      <c r="O1013">
        <v>14</v>
      </c>
      <c r="P1013" t="s">
        <v>1819</v>
      </c>
      <c r="Q1013" t="s">
        <v>1753</v>
      </c>
    </row>
    <row r="1014" spans="1:18" x14ac:dyDescent="0.25">
      <c r="A1014" t="s">
        <v>3302</v>
      </c>
      <c r="B1014" t="s">
        <v>2046</v>
      </c>
      <c r="C1014" t="s">
        <v>6</v>
      </c>
      <c r="D1014" t="s">
        <v>1161</v>
      </c>
      <c r="E1014" s="2">
        <v>42643</v>
      </c>
      <c r="F1014">
        <v>2968</v>
      </c>
      <c r="G1014" t="s">
        <v>1746</v>
      </c>
      <c r="H1014" t="s">
        <v>1798</v>
      </c>
      <c r="I1014" t="b">
        <v>0</v>
      </c>
      <c r="J1014" t="s">
        <v>1748</v>
      </c>
      <c r="K1014" t="s">
        <v>1986</v>
      </c>
      <c r="L1014" t="s">
        <v>1750</v>
      </c>
      <c r="M1014">
        <v>295</v>
      </c>
      <c r="N1014" t="b">
        <v>0</v>
      </c>
      <c r="O1014">
        <v>34</v>
      </c>
      <c r="P1014" t="s">
        <v>1819</v>
      </c>
      <c r="Q1014" t="s">
        <v>1753</v>
      </c>
    </row>
    <row r="1015" spans="1:18" x14ac:dyDescent="0.25">
      <c r="A1015" t="s">
        <v>3303</v>
      </c>
      <c r="B1015" t="s">
        <v>1829</v>
      </c>
      <c r="C1015" t="s">
        <v>6</v>
      </c>
      <c r="D1015" t="s">
        <v>1122</v>
      </c>
      <c r="E1015" s="2">
        <v>43159</v>
      </c>
      <c r="F1015">
        <v>2452</v>
      </c>
      <c r="G1015" t="s">
        <v>1746</v>
      </c>
      <c r="H1015" t="s">
        <v>1798</v>
      </c>
      <c r="I1015" t="b">
        <v>0</v>
      </c>
      <c r="J1015" t="s">
        <v>1748</v>
      </c>
      <c r="K1015" t="s">
        <v>1800</v>
      </c>
      <c r="L1015" t="s">
        <v>1817</v>
      </c>
      <c r="M1015">
        <v>295</v>
      </c>
      <c r="N1015" t="b">
        <v>0</v>
      </c>
      <c r="O1015">
        <v>647</v>
      </c>
      <c r="P1015" t="s">
        <v>1819</v>
      </c>
      <c r="Q1015" t="s">
        <v>1753</v>
      </c>
      <c r="R1015" t="s">
        <v>1772</v>
      </c>
    </row>
    <row r="1016" spans="1:18" x14ac:dyDescent="0.25">
      <c r="A1016" t="s">
        <v>3304</v>
      </c>
      <c r="B1016" t="s">
        <v>1829</v>
      </c>
      <c r="C1016" t="s">
        <v>4</v>
      </c>
      <c r="D1016" t="s">
        <v>969</v>
      </c>
      <c r="E1016" s="2">
        <v>41960</v>
      </c>
      <c r="F1016">
        <v>3651</v>
      </c>
      <c r="G1016" t="s">
        <v>1746</v>
      </c>
      <c r="H1016" t="s">
        <v>1798</v>
      </c>
      <c r="I1016" t="b">
        <v>0</v>
      </c>
      <c r="J1016" t="s">
        <v>1761</v>
      </c>
      <c r="K1016" t="s">
        <v>1830</v>
      </c>
      <c r="L1016" t="s">
        <v>1817</v>
      </c>
      <c r="M1016">
        <v>294</v>
      </c>
      <c r="N1016" t="b">
        <v>0</v>
      </c>
      <c r="O1016">
        <v>196</v>
      </c>
      <c r="P1016" t="s">
        <v>1819</v>
      </c>
      <c r="Q1016" t="s">
        <v>1753</v>
      </c>
      <c r="R1016" t="s">
        <v>1828</v>
      </c>
    </row>
    <row r="1017" spans="1:18" x14ac:dyDescent="0.25">
      <c r="A1017" t="s">
        <v>3306</v>
      </c>
      <c r="B1017" t="s">
        <v>2173</v>
      </c>
      <c r="C1017" t="s">
        <v>4</v>
      </c>
      <c r="D1017" t="s">
        <v>3305</v>
      </c>
      <c r="E1017" s="2">
        <v>41547</v>
      </c>
      <c r="F1017">
        <v>4064</v>
      </c>
      <c r="G1017" t="s">
        <v>1746</v>
      </c>
      <c r="H1017" t="s">
        <v>2231</v>
      </c>
      <c r="I1017" t="b">
        <v>1</v>
      </c>
      <c r="J1017" t="s">
        <v>1748</v>
      </c>
      <c r="K1017" t="s">
        <v>1822</v>
      </c>
      <c r="L1017" t="s">
        <v>1750</v>
      </c>
      <c r="M1017">
        <v>294</v>
      </c>
      <c r="N1017" t="b">
        <v>0</v>
      </c>
      <c r="O1017">
        <v>595</v>
      </c>
      <c r="P1017" t="s">
        <v>1752</v>
      </c>
      <c r="Q1017" t="s">
        <v>1753</v>
      </c>
    </row>
    <row r="1018" spans="1:18" x14ac:dyDescent="0.25">
      <c r="A1018" t="s">
        <v>3308</v>
      </c>
      <c r="B1018" t="s">
        <v>2133</v>
      </c>
      <c r="C1018" t="s">
        <v>4</v>
      </c>
      <c r="D1018" t="s">
        <v>3307</v>
      </c>
      <c r="E1018" s="2">
        <v>44330</v>
      </c>
      <c r="F1018">
        <v>1281</v>
      </c>
      <c r="G1018" t="s">
        <v>1746</v>
      </c>
      <c r="H1018" t="s">
        <v>1798</v>
      </c>
      <c r="I1018" t="b">
        <v>0</v>
      </c>
      <c r="J1018" t="s">
        <v>1748</v>
      </c>
      <c r="K1018" t="s">
        <v>1770</v>
      </c>
      <c r="L1018" t="s">
        <v>1750</v>
      </c>
      <c r="M1018">
        <v>294</v>
      </c>
      <c r="N1018" t="b">
        <v>0</v>
      </c>
      <c r="O1018">
        <v>89</v>
      </c>
      <c r="P1018" t="s">
        <v>1752</v>
      </c>
      <c r="Q1018" t="s">
        <v>1753</v>
      </c>
      <c r="R1018" t="s">
        <v>1828</v>
      </c>
    </row>
    <row r="1019" spans="1:18" x14ac:dyDescent="0.25">
      <c r="A1019" t="s">
        <v>3310</v>
      </c>
      <c r="B1019" t="s">
        <v>1907</v>
      </c>
      <c r="C1019" t="s">
        <v>4</v>
      </c>
      <c r="D1019" t="s">
        <v>3309</v>
      </c>
      <c r="E1019" s="2">
        <v>43899</v>
      </c>
      <c r="F1019">
        <v>1712</v>
      </c>
      <c r="G1019" t="s">
        <v>1746</v>
      </c>
      <c r="H1019" t="s">
        <v>1798</v>
      </c>
      <c r="I1019" t="b">
        <v>1</v>
      </c>
      <c r="J1019" t="s">
        <v>1748</v>
      </c>
      <c r="K1019" t="s">
        <v>1995</v>
      </c>
      <c r="L1019" t="s">
        <v>1817</v>
      </c>
      <c r="M1019">
        <v>292</v>
      </c>
      <c r="N1019" t="b">
        <v>0</v>
      </c>
      <c r="O1019">
        <v>1167</v>
      </c>
      <c r="P1019" t="s">
        <v>1819</v>
      </c>
      <c r="Q1019" t="s">
        <v>1753</v>
      </c>
      <c r="R1019" t="s">
        <v>1772</v>
      </c>
    </row>
    <row r="1020" spans="1:18" x14ac:dyDescent="0.25">
      <c r="A1020" t="s">
        <v>3312</v>
      </c>
      <c r="B1020" t="s">
        <v>1781</v>
      </c>
      <c r="C1020" t="s">
        <v>4</v>
      </c>
      <c r="D1020" t="s">
        <v>3311</v>
      </c>
      <c r="E1020" s="2">
        <v>45112</v>
      </c>
      <c r="F1020">
        <v>499</v>
      </c>
      <c r="G1020" t="s">
        <v>1746</v>
      </c>
      <c r="H1020" t="s">
        <v>1747</v>
      </c>
      <c r="I1020" t="b">
        <v>0</v>
      </c>
      <c r="J1020" t="s">
        <v>1748</v>
      </c>
      <c r="K1020" t="s">
        <v>1776</v>
      </c>
      <c r="L1020" t="s">
        <v>1750</v>
      </c>
      <c r="M1020">
        <v>291</v>
      </c>
      <c r="N1020" t="b">
        <v>1</v>
      </c>
      <c r="O1020">
        <v>150</v>
      </c>
      <c r="P1020" t="s">
        <v>1752</v>
      </c>
      <c r="Q1020" t="s">
        <v>1753</v>
      </c>
      <c r="R1020" t="s">
        <v>1759</v>
      </c>
    </row>
    <row r="1021" spans="1:18" x14ac:dyDescent="0.25">
      <c r="A1021" t="s">
        <v>3313</v>
      </c>
      <c r="B1021" t="s">
        <v>1810</v>
      </c>
      <c r="C1021" t="s">
        <v>6</v>
      </c>
      <c r="D1021" t="s">
        <v>1547</v>
      </c>
      <c r="E1021" s="2">
        <v>39833</v>
      </c>
      <c r="F1021">
        <v>5778</v>
      </c>
      <c r="G1021" t="s">
        <v>1746</v>
      </c>
      <c r="H1021" t="s">
        <v>1747</v>
      </c>
      <c r="I1021" t="b">
        <v>0</v>
      </c>
      <c r="J1021" t="s">
        <v>1748</v>
      </c>
      <c r="K1021" t="s">
        <v>1757</v>
      </c>
      <c r="L1021" t="s">
        <v>1766</v>
      </c>
      <c r="M1021">
        <v>290</v>
      </c>
      <c r="N1021" t="b">
        <v>1</v>
      </c>
      <c r="P1021" t="s">
        <v>1752</v>
      </c>
      <c r="Q1021" t="s">
        <v>1753</v>
      </c>
      <c r="R1021" t="s">
        <v>2028</v>
      </c>
    </row>
    <row r="1022" spans="1:18" x14ac:dyDescent="0.25">
      <c r="A1022" t="s">
        <v>3315</v>
      </c>
      <c r="B1022" t="s">
        <v>3181</v>
      </c>
      <c r="C1022" t="s">
        <v>4</v>
      </c>
      <c r="D1022" t="s">
        <v>3314</v>
      </c>
      <c r="E1022" s="2">
        <v>44025</v>
      </c>
      <c r="F1022">
        <v>1586</v>
      </c>
      <c r="G1022" t="s">
        <v>1746</v>
      </c>
      <c r="H1022" t="s">
        <v>1747</v>
      </c>
      <c r="I1022" t="b">
        <v>1</v>
      </c>
      <c r="J1022" t="s">
        <v>1761</v>
      </c>
      <c r="K1022" t="s">
        <v>1822</v>
      </c>
      <c r="L1022" t="s">
        <v>1817</v>
      </c>
      <c r="M1022">
        <v>288</v>
      </c>
      <c r="N1022" t="b">
        <v>0</v>
      </c>
      <c r="O1022">
        <v>15637</v>
      </c>
      <c r="P1022" t="s">
        <v>1819</v>
      </c>
      <c r="Q1022" t="s">
        <v>1753</v>
      </c>
      <c r="R1022" t="s">
        <v>1759</v>
      </c>
    </row>
    <row r="1023" spans="1:18" x14ac:dyDescent="0.25">
      <c r="A1023" t="s">
        <v>3316</v>
      </c>
      <c r="B1023" t="s">
        <v>2106</v>
      </c>
      <c r="C1023" t="s">
        <v>4</v>
      </c>
      <c r="D1023" t="s">
        <v>104</v>
      </c>
      <c r="E1023" s="2">
        <v>44824</v>
      </c>
      <c r="F1023">
        <v>787</v>
      </c>
      <c r="G1023" t="s">
        <v>1746</v>
      </c>
      <c r="H1023" t="s">
        <v>1798</v>
      </c>
      <c r="I1023" t="b">
        <v>1</v>
      </c>
      <c r="J1023" t="s">
        <v>1748</v>
      </c>
      <c r="K1023" t="s">
        <v>1770</v>
      </c>
      <c r="L1023" t="s">
        <v>1750</v>
      </c>
      <c r="M1023">
        <v>288</v>
      </c>
      <c r="N1023" t="b">
        <v>1</v>
      </c>
      <c r="O1023">
        <v>193</v>
      </c>
      <c r="P1023" t="s">
        <v>1752</v>
      </c>
      <c r="Q1023" t="s">
        <v>1753</v>
      </c>
      <c r="R1023" t="s">
        <v>1759</v>
      </c>
    </row>
    <row r="1024" spans="1:18" x14ac:dyDescent="0.25">
      <c r="A1024" t="s">
        <v>3318</v>
      </c>
      <c r="B1024" t="s">
        <v>2150</v>
      </c>
      <c r="C1024" t="s">
        <v>4</v>
      </c>
      <c r="D1024" t="s">
        <v>3317</v>
      </c>
      <c r="E1024" s="2">
        <v>43973</v>
      </c>
      <c r="F1024">
        <v>1638</v>
      </c>
      <c r="G1024" t="s">
        <v>1746</v>
      </c>
      <c r="H1024" t="s">
        <v>1805</v>
      </c>
      <c r="I1024" t="b">
        <v>0</v>
      </c>
      <c r="J1024" t="s">
        <v>1748</v>
      </c>
      <c r="K1024" t="s">
        <v>1846</v>
      </c>
      <c r="L1024" t="s">
        <v>1775</v>
      </c>
      <c r="M1024">
        <v>287</v>
      </c>
      <c r="N1024" t="b">
        <v>0</v>
      </c>
      <c r="P1024" t="s">
        <v>1778</v>
      </c>
      <c r="Q1024" t="s">
        <v>1779</v>
      </c>
    </row>
    <row r="1025" spans="1:18" x14ac:dyDescent="0.25">
      <c r="A1025" t="s">
        <v>3319</v>
      </c>
      <c r="B1025" t="s">
        <v>1829</v>
      </c>
      <c r="C1025" t="s">
        <v>4</v>
      </c>
      <c r="D1025" t="s">
        <v>770</v>
      </c>
      <c r="E1025" s="2">
        <v>43383</v>
      </c>
      <c r="F1025">
        <v>2228</v>
      </c>
      <c r="G1025" t="s">
        <v>1746</v>
      </c>
      <c r="H1025" t="s">
        <v>1798</v>
      </c>
      <c r="I1025" t="b">
        <v>0</v>
      </c>
      <c r="J1025" t="s">
        <v>1748</v>
      </c>
      <c r="K1025" t="s">
        <v>1917</v>
      </c>
      <c r="L1025" t="s">
        <v>1817</v>
      </c>
      <c r="M1025">
        <v>285</v>
      </c>
      <c r="N1025" t="b">
        <v>1</v>
      </c>
      <c r="O1025">
        <v>404</v>
      </c>
      <c r="P1025" t="s">
        <v>1819</v>
      </c>
      <c r="Q1025" t="s">
        <v>1753</v>
      </c>
      <c r="R1025" t="s">
        <v>1772</v>
      </c>
    </row>
    <row r="1026" spans="1:18" x14ac:dyDescent="0.25">
      <c r="A1026" t="s">
        <v>3321</v>
      </c>
      <c r="B1026" t="s">
        <v>3322</v>
      </c>
      <c r="C1026" t="s">
        <v>6</v>
      </c>
      <c r="D1026" t="s">
        <v>3320</v>
      </c>
      <c r="E1026" s="2">
        <v>40309</v>
      </c>
      <c r="F1026">
        <v>5302</v>
      </c>
      <c r="G1026" t="s">
        <v>1746</v>
      </c>
      <c r="H1026" t="s">
        <v>1747</v>
      </c>
      <c r="I1026" t="b">
        <v>1</v>
      </c>
      <c r="J1026" t="s">
        <v>1761</v>
      </c>
      <c r="K1026" t="s">
        <v>1757</v>
      </c>
      <c r="L1026" t="s">
        <v>1750</v>
      </c>
      <c r="M1026">
        <v>284</v>
      </c>
      <c r="N1026" t="b">
        <v>0</v>
      </c>
      <c r="O1026">
        <v>25</v>
      </c>
      <c r="P1026" t="s">
        <v>1752</v>
      </c>
      <c r="Q1026" t="s">
        <v>1753</v>
      </c>
      <c r="R1026" t="s">
        <v>1759</v>
      </c>
    </row>
    <row r="1027" spans="1:18" x14ac:dyDescent="0.25">
      <c r="A1027" t="s">
        <v>3323</v>
      </c>
      <c r="B1027" t="s">
        <v>1829</v>
      </c>
      <c r="C1027" t="s">
        <v>4</v>
      </c>
      <c r="D1027" t="s">
        <v>1499</v>
      </c>
      <c r="E1027" s="2">
        <v>42530</v>
      </c>
      <c r="F1027">
        <v>3081</v>
      </c>
      <c r="G1027" t="s">
        <v>1746</v>
      </c>
      <c r="H1027" t="s">
        <v>1798</v>
      </c>
      <c r="I1027" t="b">
        <v>1</v>
      </c>
      <c r="J1027" t="s">
        <v>1761</v>
      </c>
      <c r="K1027" t="s">
        <v>1776</v>
      </c>
      <c r="L1027" t="s">
        <v>1756</v>
      </c>
      <c r="M1027">
        <v>284</v>
      </c>
      <c r="N1027" t="b">
        <v>0</v>
      </c>
      <c r="O1027">
        <v>1700</v>
      </c>
      <c r="P1027" t="s">
        <v>1819</v>
      </c>
      <c r="Q1027" t="s">
        <v>1753</v>
      </c>
      <c r="R1027" t="s">
        <v>1759</v>
      </c>
    </row>
    <row r="1028" spans="1:18" x14ac:dyDescent="0.25">
      <c r="A1028" t="s">
        <v>3325</v>
      </c>
      <c r="B1028" t="s">
        <v>2011</v>
      </c>
      <c r="C1028" t="s">
        <v>4</v>
      </c>
      <c r="D1028" t="s">
        <v>3324</v>
      </c>
      <c r="E1028" s="2">
        <v>45530</v>
      </c>
      <c r="F1028">
        <v>81</v>
      </c>
      <c r="G1028" t="s">
        <v>1746</v>
      </c>
      <c r="H1028" t="s">
        <v>1798</v>
      </c>
      <c r="I1028" t="b">
        <v>0</v>
      </c>
      <c r="J1028" t="s">
        <v>1748</v>
      </c>
      <c r="K1028" t="s">
        <v>1770</v>
      </c>
      <c r="L1028" t="s">
        <v>1750</v>
      </c>
      <c r="M1028">
        <v>284</v>
      </c>
      <c r="N1028" t="b">
        <v>1</v>
      </c>
      <c r="O1028">
        <v>697</v>
      </c>
      <c r="P1028" t="s">
        <v>1752</v>
      </c>
      <c r="Q1028" t="s">
        <v>1753</v>
      </c>
      <c r="R1028" t="s">
        <v>1759</v>
      </c>
    </row>
    <row r="1029" spans="1:18" x14ac:dyDescent="0.25">
      <c r="A1029" t="s">
        <v>3326</v>
      </c>
      <c r="B1029" t="s">
        <v>2269</v>
      </c>
      <c r="C1029" t="s">
        <v>6</v>
      </c>
      <c r="D1029" t="s">
        <v>1528</v>
      </c>
      <c r="E1029" s="2">
        <v>40869</v>
      </c>
      <c r="F1029">
        <v>4742</v>
      </c>
      <c r="G1029" t="s">
        <v>1746</v>
      </c>
      <c r="H1029" t="s">
        <v>1798</v>
      </c>
      <c r="I1029" t="b">
        <v>1</v>
      </c>
      <c r="J1029" t="s">
        <v>1761</v>
      </c>
      <c r="K1029" t="s">
        <v>1776</v>
      </c>
      <c r="L1029" t="s">
        <v>1817</v>
      </c>
      <c r="M1029">
        <v>284</v>
      </c>
      <c r="N1029" t="b">
        <v>0</v>
      </c>
      <c r="O1029">
        <v>1147</v>
      </c>
      <c r="P1029" t="s">
        <v>1819</v>
      </c>
      <c r="Q1029" t="s">
        <v>1753</v>
      </c>
      <c r="R1029" t="s">
        <v>1759</v>
      </c>
    </row>
    <row r="1030" spans="1:18" x14ac:dyDescent="0.25">
      <c r="A1030" t="s">
        <v>3328</v>
      </c>
      <c r="B1030" t="s">
        <v>2173</v>
      </c>
      <c r="C1030" t="s">
        <v>6</v>
      </c>
      <c r="D1030" t="s">
        <v>3327</v>
      </c>
      <c r="E1030" s="2">
        <v>40935</v>
      </c>
      <c r="F1030">
        <v>4676</v>
      </c>
      <c r="G1030" t="s">
        <v>1746</v>
      </c>
      <c r="H1030" t="s">
        <v>2231</v>
      </c>
      <c r="I1030" t="b">
        <v>1</v>
      </c>
      <c r="J1030" t="s">
        <v>1748</v>
      </c>
      <c r="K1030" t="s">
        <v>1776</v>
      </c>
      <c r="L1030" t="s">
        <v>1817</v>
      </c>
      <c r="M1030">
        <v>283</v>
      </c>
      <c r="N1030" t="b">
        <v>0</v>
      </c>
      <c r="O1030">
        <v>1147</v>
      </c>
      <c r="P1030" t="s">
        <v>1819</v>
      </c>
      <c r="Q1030" t="s">
        <v>1753</v>
      </c>
      <c r="R1030" t="s">
        <v>1759</v>
      </c>
    </row>
    <row r="1031" spans="1:18" x14ac:dyDescent="0.25">
      <c r="A1031" t="s">
        <v>3329</v>
      </c>
      <c r="B1031" t="s">
        <v>2269</v>
      </c>
      <c r="C1031" t="s">
        <v>6</v>
      </c>
      <c r="D1031" t="s">
        <v>1521</v>
      </c>
      <c r="E1031" s="2">
        <v>39227</v>
      </c>
      <c r="F1031">
        <v>6384</v>
      </c>
      <c r="G1031" t="s">
        <v>1746</v>
      </c>
      <c r="H1031" t="s">
        <v>1798</v>
      </c>
      <c r="I1031" t="b">
        <v>1</v>
      </c>
      <c r="J1031" t="s">
        <v>1748</v>
      </c>
      <c r="K1031" t="s">
        <v>1824</v>
      </c>
      <c r="L1031" t="s">
        <v>1817</v>
      </c>
      <c r="M1031">
        <v>283</v>
      </c>
      <c r="N1031" t="b">
        <v>0</v>
      </c>
      <c r="O1031">
        <v>25</v>
      </c>
      <c r="P1031" t="s">
        <v>1819</v>
      </c>
      <c r="Q1031" t="s">
        <v>1753</v>
      </c>
      <c r="R1031" t="s">
        <v>1828</v>
      </c>
    </row>
    <row r="1032" spans="1:18" x14ac:dyDescent="0.25">
      <c r="A1032" t="s">
        <v>3330</v>
      </c>
      <c r="B1032" t="s">
        <v>1936</v>
      </c>
      <c r="C1032" t="s">
        <v>6</v>
      </c>
      <c r="D1032" t="s">
        <v>116</v>
      </c>
      <c r="E1032" s="2">
        <v>40492</v>
      </c>
      <c r="F1032">
        <v>5119</v>
      </c>
      <c r="G1032" t="s">
        <v>1746</v>
      </c>
      <c r="H1032" t="s">
        <v>1747</v>
      </c>
      <c r="I1032" t="b">
        <v>0</v>
      </c>
      <c r="J1032" t="s">
        <v>1761</v>
      </c>
      <c r="K1032" t="s">
        <v>1985</v>
      </c>
      <c r="L1032" t="s">
        <v>1750</v>
      </c>
      <c r="M1032">
        <v>283</v>
      </c>
      <c r="N1032" t="b">
        <v>0</v>
      </c>
      <c r="O1032">
        <v>86</v>
      </c>
      <c r="P1032" t="s">
        <v>1819</v>
      </c>
      <c r="Q1032" t="s">
        <v>1753</v>
      </c>
    </row>
    <row r="1033" spans="1:18" x14ac:dyDescent="0.25">
      <c r="A1033" t="s">
        <v>3331</v>
      </c>
      <c r="B1033" t="s">
        <v>1860</v>
      </c>
      <c r="C1033" t="s">
        <v>4</v>
      </c>
      <c r="D1033" t="s">
        <v>520</v>
      </c>
      <c r="E1033" s="2">
        <v>43474</v>
      </c>
      <c r="F1033">
        <v>2137</v>
      </c>
      <c r="G1033" t="s">
        <v>1746</v>
      </c>
      <c r="H1033" t="s">
        <v>1798</v>
      </c>
      <c r="I1033" t="b">
        <v>0</v>
      </c>
      <c r="J1033" t="s">
        <v>1748</v>
      </c>
      <c r="K1033" t="s">
        <v>1934</v>
      </c>
      <c r="L1033" t="s">
        <v>1817</v>
      </c>
      <c r="M1033">
        <v>283</v>
      </c>
      <c r="N1033" t="b">
        <v>1</v>
      </c>
      <c r="O1033">
        <v>1682</v>
      </c>
      <c r="P1033" t="s">
        <v>1819</v>
      </c>
      <c r="Q1033" t="s">
        <v>1753</v>
      </c>
    </row>
    <row r="1034" spans="1:18" x14ac:dyDescent="0.25">
      <c r="A1034" t="s">
        <v>3333</v>
      </c>
      <c r="B1034" t="s">
        <v>2133</v>
      </c>
      <c r="C1034" t="s">
        <v>4</v>
      </c>
      <c r="D1034" t="s">
        <v>3332</v>
      </c>
      <c r="E1034" s="2">
        <v>44993</v>
      </c>
      <c r="F1034">
        <v>618</v>
      </c>
      <c r="G1034" t="s">
        <v>1746</v>
      </c>
      <c r="H1034" t="s">
        <v>1747</v>
      </c>
      <c r="I1034" t="b">
        <v>1</v>
      </c>
      <c r="J1034" t="s">
        <v>1761</v>
      </c>
      <c r="K1034" t="s">
        <v>1755</v>
      </c>
      <c r="L1034" t="s">
        <v>1750</v>
      </c>
      <c r="M1034">
        <v>281</v>
      </c>
      <c r="N1034" t="b">
        <v>0</v>
      </c>
      <c r="O1034">
        <v>503</v>
      </c>
      <c r="P1034" t="s">
        <v>1752</v>
      </c>
      <c r="Q1034" t="s">
        <v>1753</v>
      </c>
    </row>
    <row r="1035" spans="1:18" x14ac:dyDescent="0.25">
      <c r="A1035" t="s">
        <v>3334</v>
      </c>
      <c r="B1035" t="s">
        <v>1814</v>
      </c>
      <c r="C1035" t="s">
        <v>6</v>
      </c>
      <c r="D1035" t="s">
        <v>849</v>
      </c>
      <c r="E1035" s="2">
        <v>40549</v>
      </c>
      <c r="F1035">
        <v>5062</v>
      </c>
      <c r="G1035" t="s">
        <v>1746</v>
      </c>
      <c r="H1035" t="s">
        <v>1798</v>
      </c>
      <c r="I1035" t="b">
        <v>0</v>
      </c>
      <c r="J1035" t="s">
        <v>1761</v>
      </c>
      <c r="K1035" t="s">
        <v>1776</v>
      </c>
      <c r="L1035" t="s">
        <v>1817</v>
      </c>
      <c r="M1035">
        <v>281</v>
      </c>
      <c r="N1035" t="b">
        <v>1</v>
      </c>
      <c r="O1035">
        <v>314</v>
      </c>
      <c r="P1035" t="s">
        <v>1819</v>
      </c>
      <c r="Q1035" t="s">
        <v>1753</v>
      </c>
      <c r="R1035" t="s">
        <v>1759</v>
      </c>
    </row>
    <row r="1036" spans="1:18" x14ac:dyDescent="0.25">
      <c r="A1036" t="s">
        <v>3335</v>
      </c>
      <c r="B1036" t="s">
        <v>1810</v>
      </c>
      <c r="C1036" t="s">
        <v>4</v>
      </c>
      <c r="D1036" t="s">
        <v>602</v>
      </c>
      <c r="E1036" s="2">
        <v>41243</v>
      </c>
      <c r="F1036">
        <v>4368</v>
      </c>
      <c r="G1036" t="s">
        <v>1746</v>
      </c>
      <c r="H1036" t="s">
        <v>1747</v>
      </c>
      <c r="I1036" t="b">
        <v>1</v>
      </c>
      <c r="J1036" t="s">
        <v>1748</v>
      </c>
      <c r="K1036" t="s">
        <v>2021</v>
      </c>
      <c r="L1036" t="s">
        <v>1756</v>
      </c>
      <c r="M1036">
        <v>281</v>
      </c>
      <c r="N1036" t="b">
        <v>0</v>
      </c>
      <c r="O1036">
        <v>340</v>
      </c>
      <c r="P1036" t="s">
        <v>1752</v>
      </c>
      <c r="Q1036" t="s">
        <v>1753</v>
      </c>
      <c r="R1036" t="s">
        <v>1772</v>
      </c>
    </row>
    <row r="1037" spans="1:18" x14ac:dyDescent="0.25">
      <c r="A1037" t="s">
        <v>3336</v>
      </c>
      <c r="B1037" t="s">
        <v>2997</v>
      </c>
      <c r="C1037" t="s">
        <v>4</v>
      </c>
      <c r="D1037" t="s">
        <v>641</v>
      </c>
      <c r="E1037" s="2">
        <v>45070</v>
      </c>
      <c r="F1037">
        <v>541</v>
      </c>
      <c r="G1037" t="s">
        <v>1746</v>
      </c>
      <c r="H1037" t="s">
        <v>1798</v>
      </c>
      <c r="I1037" t="b">
        <v>1</v>
      </c>
      <c r="J1037" t="s">
        <v>1748</v>
      </c>
      <c r="K1037" t="s">
        <v>1755</v>
      </c>
      <c r="L1037" t="s">
        <v>1817</v>
      </c>
      <c r="M1037">
        <v>281</v>
      </c>
      <c r="N1037" t="b">
        <v>0</v>
      </c>
      <c r="O1037">
        <v>92</v>
      </c>
      <c r="P1037" t="s">
        <v>1819</v>
      </c>
      <c r="Q1037" t="s">
        <v>1753</v>
      </c>
    </row>
    <row r="1038" spans="1:18" x14ac:dyDescent="0.25">
      <c r="A1038" t="s">
        <v>3338</v>
      </c>
      <c r="B1038" t="s">
        <v>1866</v>
      </c>
      <c r="C1038" t="s">
        <v>572</v>
      </c>
      <c r="D1038" t="s">
        <v>3337</v>
      </c>
      <c r="E1038" s="2">
        <v>37445</v>
      </c>
      <c r="F1038">
        <v>8166</v>
      </c>
      <c r="G1038" t="s">
        <v>1746</v>
      </c>
      <c r="H1038" t="s">
        <v>1798</v>
      </c>
      <c r="I1038" t="b">
        <v>0</v>
      </c>
      <c r="J1038" t="s">
        <v>1761</v>
      </c>
      <c r="K1038" t="s">
        <v>1912</v>
      </c>
      <c r="L1038" t="s">
        <v>1750</v>
      </c>
      <c r="M1038">
        <v>281</v>
      </c>
      <c r="N1038" t="b">
        <v>0</v>
      </c>
      <c r="O1038">
        <v>31</v>
      </c>
      <c r="P1038" t="s">
        <v>1752</v>
      </c>
      <c r="Q1038" t="s">
        <v>1753</v>
      </c>
      <c r="R1038" t="s">
        <v>1828</v>
      </c>
    </row>
    <row r="1039" spans="1:18" x14ac:dyDescent="0.25">
      <c r="A1039" t="s">
        <v>3339</v>
      </c>
      <c r="B1039" t="s">
        <v>1810</v>
      </c>
      <c r="C1039" t="s">
        <v>4</v>
      </c>
      <c r="D1039" t="s">
        <v>1008</v>
      </c>
      <c r="E1039" s="2">
        <v>42340</v>
      </c>
      <c r="F1039">
        <v>3271</v>
      </c>
      <c r="G1039" t="s">
        <v>1746</v>
      </c>
      <c r="H1039" t="s">
        <v>1747</v>
      </c>
      <c r="I1039" t="b">
        <v>1</v>
      </c>
      <c r="J1039" t="s">
        <v>1761</v>
      </c>
      <c r="K1039" t="s">
        <v>1825</v>
      </c>
      <c r="L1039" t="s">
        <v>1817</v>
      </c>
      <c r="M1039">
        <v>281</v>
      </c>
      <c r="N1039" t="b">
        <v>0</v>
      </c>
      <c r="O1039">
        <v>48</v>
      </c>
      <c r="P1039" t="s">
        <v>1819</v>
      </c>
      <c r="Q1039" t="s">
        <v>1753</v>
      </c>
    </row>
    <row r="1040" spans="1:18" x14ac:dyDescent="0.25">
      <c r="A1040" t="s">
        <v>3341</v>
      </c>
      <c r="B1040" t="s">
        <v>2173</v>
      </c>
      <c r="C1040" t="s">
        <v>4</v>
      </c>
      <c r="D1040" t="s">
        <v>3340</v>
      </c>
      <c r="E1040" s="2">
        <v>40582</v>
      </c>
      <c r="F1040">
        <v>5029</v>
      </c>
      <c r="G1040" t="s">
        <v>1746</v>
      </c>
      <c r="H1040" t="s">
        <v>2231</v>
      </c>
      <c r="I1040" t="b">
        <v>0</v>
      </c>
      <c r="J1040" t="s">
        <v>1748</v>
      </c>
      <c r="K1040" t="s">
        <v>1808</v>
      </c>
      <c r="L1040" t="s">
        <v>2102</v>
      </c>
      <c r="M1040">
        <v>280</v>
      </c>
      <c r="N1040" t="b">
        <v>0</v>
      </c>
      <c r="P1040" t="s">
        <v>2070</v>
      </c>
      <c r="Q1040" t="s">
        <v>1753</v>
      </c>
    </row>
    <row r="1041" spans="1:18" x14ac:dyDescent="0.25">
      <c r="A1041" t="s">
        <v>3343</v>
      </c>
      <c r="B1041" t="s">
        <v>2503</v>
      </c>
      <c r="C1041" t="s">
        <v>6</v>
      </c>
      <c r="D1041" t="s">
        <v>3342</v>
      </c>
      <c r="E1041" s="2">
        <v>44091</v>
      </c>
      <c r="F1041">
        <v>1520</v>
      </c>
      <c r="G1041" t="s">
        <v>1746</v>
      </c>
      <c r="H1041" t="s">
        <v>2001</v>
      </c>
      <c r="I1041" t="b">
        <v>1</v>
      </c>
      <c r="J1041" t="s">
        <v>1761</v>
      </c>
      <c r="K1041" t="s">
        <v>1774</v>
      </c>
      <c r="L1041" t="s">
        <v>1750</v>
      </c>
      <c r="M1041">
        <v>279</v>
      </c>
      <c r="N1041" t="b">
        <v>0</v>
      </c>
      <c r="O1041">
        <v>202</v>
      </c>
      <c r="P1041" t="s">
        <v>1752</v>
      </c>
      <c r="Q1041" t="s">
        <v>1753</v>
      </c>
    </row>
    <row r="1042" spans="1:18" x14ac:dyDescent="0.25">
      <c r="A1042" t="s">
        <v>3344</v>
      </c>
      <c r="B1042" t="s">
        <v>2997</v>
      </c>
      <c r="C1042" t="s">
        <v>4</v>
      </c>
      <c r="D1042" t="s">
        <v>529</v>
      </c>
      <c r="E1042" s="2">
        <v>44615</v>
      </c>
      <c r="F1042">
        <v>996</v>
      </c>
      <c r="G1042" t="s">
        <v>1746</v>
      </c>
      <c r="H1042" t="s">
        <v>1747</v>
      </c>
      <c r="I1042" t="b">
        <v>1</v>
      </c>
      <c r="J1042" t="s">
        <v>1761</v>
      </c>
      <c r="K1042" t="s">
        <v>1822</v>
      </c>
      <c r="L1042" t="s">
        <v>1817</v>
      </c>
      <c r="M1042">
        <v>279</v>
      </c>
      <c r="N1042" t="b">
        <v>0</v>
      </c>
      <c r="O1042">
        <v>48</v>
      </c>
      <c r="P1042" t="s">
        <v>1819</v>
      </c>
      <c r="Q1042" t="s">
        <v>1753</v>
      </c>
    </row>
    <row r="1043" spans="1:18" x14ac:dyDescent="0.25">
      <c r="A1043" t="s">
        <v>583</v>
      </c>
      <c r="B1043" t="s">
        <v>1704</v>
      </c>
      <c r="C1043" t="s">
        <v>4</v>
      </c>
      <c r="D1043" t="s">
        <v>3345</v>
      </c>
      <c r="E1043" s="2">
        <v>45371</v>
      </c>
      <c r="F1043">
        <v>240</v>
      </c>
      <c r="G1043" t="s">
        <v>1746</v>
      </c>
      <c r="H1043" t="s">
        <v>1798</v>
      </c>
      <c r="I1043" t="b">
        <v>1</v>
      </c>
      <c r="J1043" t="s">
        <v>1748</v>
      </c>
      <c r="K1043" t="s">
        <v>1774</v>
      </c>
      <c r="L1043" t="s">
        <v>1756</v>
      </c>
      <c r="M1043">
        <v>279</v>
      </c>
      <c r="N1043" t="b">
        <v>0</v>
      </c>
      <c r="O1043">
        <v>416</v>
      </c>
      <c r="P1043" t="s">
        <v>1752</v>
      </c>
      <c r="Q1043" t="s">
        <v>1753</v>
      </c>
    </row>
    <row r="1044" spans="1:18" x14ac:dyDescent="0.25">
      <c r="A1044" t="s">
        <v>3347</v>
      </c>
      <c r="B1044" t="s">
        <v>1803</v>
      </c>
      <c r="C1044" t="s">
        <v>572</v>
      </c>
      <c r="D1044" t="s">
        <v>3346</v>
      </c>
      <c r="E1044" s="2">
        <v>37783</v>
      </c>
      <c r="F1044">
        <v>7828</v>
      </c>
      <c r="G1044" t="s">
        <v>1746</v>
      </c>
      <c r="H1044" t="s">
        <v>1798</v>
      </c>
      <c r="I1044" t="b">
        <v>0</v>
      </c>
      <c r="J1044" t="s">
        <v>1761</v>
      </c>
      <c r="K1044" t="s">
        <v>1826</v>
      </c>
      <c r="L1044" t="s">
        <v>1817</v>
      </c>
      <c r="M1044">
        <v>277</v>
      </c>
      <c r="N1044" t="b">
        <v>0</v>
      </c>
      <c r="O1044">
        <v>6</v>
      </c>
      <c r="P1044" t="s">
        <v>1819</v>
      </c>
      <c r="Q1044" t="s">
        <v>1753</v>
      </c>
    </row>
    <row r="1045" spans="1:18" x14ac:dyDescent="0.25">
      <c r="A1045" t="s">
        <v>3348</v>
      </c>
      <c r="B1045" t="s">
        <v>3349</v>
      </c>
      <c r="C1045" t="s">
        <v>4</v>
      </c>
      <c r="D1045" t="s">
        <v>358</v>
      </c>
      <c r="E1045" s="2">
        <v>44904</v>
      </c>
      <c r="F1045">
        <v>707</v>
      </c>
      <c r="G1045" t="s">
        <v>1746</v>
      </c>
      <c r="H1045" t="s">
        <v>1798</v>
      </c>
      <c r="I1045" t="b">
        <v>1</v>
      </c>
      <c r="J1045" t="s">
        <v>1748</v>
      </c>
      <c r="K1045" t="s">
        <v>1825</v>
      </c>
      <c r="L1045" t="s">
        <v>1756</v>
      </c>
      <c r="M1045">
        <v>277</v>
      </c>
      <c r="N1045" t="b">
        <v>0</v>
      </c>
      <c r="O1045">
        <v>1368</v>
      </c>
      <c r="P1045" t="s">
        <v>1752</v>
      </c>
      <c r="Q1045" t="s">
        <v>1753</v>
      </c>
      <c r="R1045" t="s">
        <v>1759</v>
      </c>
    </row>
    <row r="1046" spans="1:18" x14ac:dyDescent="0.25">
      <c r="A1046" t="s">
        <v>3350</v>
      </c>
      <c r="B1046" t="s">
        <v>1998</v>
      </c>
      <c r="C1046" t="s">
        <v>4</v>
      </c>
      <c r="D1046" t="s">
        <v>975</v>
      </c>
      <c r="E1046" s="2">
        <v>40982</v>
      </c>
      <c r="F1046">
        <v>4629</v>
      </c>
      <c r="G1046" t="s">
        <v>1746</v>
      </c>
      <c r="H1046" t="s">
        <v>1747</v>
      </c>
      <c r="I1046" t="b">
        <v>0</v>
      </c>
      <c r="J1046" t="s">
        <v>1761</v>
      </c>
      <c r="K1046" t="s">
        <v>1913</v>
      </c>
      <c r="L1046" t="s">
        <v>1817</v>
      </c>
      <c r="M1046">
        <v>276</v>
      </c>
      <c r="N1046" t="b">
        <v>0</v>
      </c>
      <c r="O1046">
        <v>762</v>
      </c>
      <c r="P1046" t="s">
        <v>1819</v>
      </c>
      <c r="Q1046" t="s">
        <v>1753</v>
      </c>
      <c r="R1046" t="s">
        <v>1759</v>
      </c>
    </row>
    <row r="1047" spans="1:18" x14ac:dyDescent="0.25">
      <c r="A1047" t="s">
        <v>3351</v>
      </c>
      <c r="B1047" t="s">
        <v>2180</v>
      </c>
      <c r="C1047" t="s">
        <v>4</v>
      </c>
      <c r="D1047" t="s">
        <v>130</v>
      </c>
      <c r="E1047" s="2">
        <v>44830</v>
      </c>
      <c r="F1047">
        <v>781</v>
      </c>
      <c r="G1047" t="s">
        <v>1833</v>
      </c>
      <c r="H1047" t="s">
        <v>1747</v>
      </c>
      <c r="I1047" t="b">
        <v>0</v>
      </c>
      <c r="J1047" t="s">
        <v>1748</v>
      </c>
      <c r="K1047" t="s">
        <v>1751</v>
      </c>
      <c r="L1047" t="s">
        <v>1750</v>
      </c>
      <c r="M1047">
        <v>276</v>
      </c>
      <c r="N1047" t="b">
        <v>1</v>
      </c>
      <c r="P1047" t="s">
        <v>1752</v>
      </c>
      <c r="Q1047" t="s">
        <v>1753</v>
      </c>
      <c r="R1047" t="s">
        <v>1759</v>
      </c>
    </row>
    <row r="1048" spans="1:18" x14ac:dyDescent="0.25">
      <c r="A1048" t="s">
        <v>3352</v>
      </c>
      <c r="B1048" t="s">
        <v>2060</v>
      </c>
      <c r="C1048" t="s">
        <v>4</v>
      </c>
      <c r="D1048" t="s">
        <v>525</v>
      </c>
      <c r="E1048" s="2">
        <v>43164</v>
      </c>
      <c r="F1048">
        <v>2447</v>
      </c>
      <c r="G1048" t="s">
        <v>1746</v>
      </c>
      <c r="H1048" t="s">
        <v>1798</v>
      </c>
      <c r="I1048" t="b">
        <v>1</v>
      </c>
      <c r="J1048" t="s">
        <v>1761</v>
      </c>
      <c r="K1048" t="s">
        <v>1913</v>
      </c>
      <c r="L1048" t="s">
        <v>1817</v>
      </c>
      <c r="M1048">
        <v>275</v>
      </c>
      <c r="N1048" t="b">
        <v>0</v>
      </c>
      <c r="O1048">
        <v>1243</v>
      </c>
      <c r="P1048" t="s">
        <v>1819</v>
      </c>
      <c r="Q1048" t="s">
        <v>1753</v>
      </c>
      <c r="R1048" t="s">
        <v>1759</v>
      </c>
    </row>
    <row r="1049" spans="1:18" x14ac:dyDescent="0.25">
      <c r="A1049" t="s">
        <v>3353</v>
      </c>
      <c r="B1049" t="s">
        <v>2599</v>
      </c>
      <c r="C1049" t="s">
        <v>4</v>
      </c>
      <c r="D1049" t="s">
        <v>799</v>
      </c>
      <c r="E1049" s="2">
        <v>43381</v>
      </c>
      <c r="F1049">
        <v>2230</v>
      </c>
      <c r="G1049" t="s">
        <v>1746</v>
      </c>
      <c r="H1049" t="s">
        <v>1798</v>
      </c>
      <c r="I1049" t="b">
        <v>0</v>
      </c>
      <c r="J1049" t="s">
        <v>1748</v>
      </c>
      <c r="K1049" t="s">
        <v>1822</v>
      </c>
      <c r="L1049" t="s">
        <v>1750</v>
      </c>
      <c r="M1049">
        <v>275</v>
      </c>
      <c r="N1049" t="b">
        <v>1</v>
      </c>
      <c r="O1049">
        <v>321</v>
      </c>
      <c r="P1049" t="s">
        <v>1752</v>
      </c>
      <c r="Q1049" t="s">
        <v>1753</v>
      </c>
      <c r="R1049" t="s">
        <v>1828</v>
      </c>
    </row>
    <row r="1050" spans="1:18" x14ac:dyDescent="0.25">
      <c r="A1050" t="s">
        <v>3354</v>
      </c>
      <c r="B1050" t="s">
        <v>2035</v>
      </c>
      <c r="C1050" t="s">
        <v>6</v>
      </c>
      <c r="D1050" t="s">
        <v>872</v>
      </c>
      <c r="E1050" s="2">
        <v>40872</v>
      </c>
      <c r="F1050">
        <v>4739</v>
      </c>
      <c r="G1050" t="s">
        <v>1746</v>
      </c>
      <c r="H1050" t="s">
        <v>1798</v>
      </c>
      <c r="I1050" t="b">
        <v>1</v>
      </c>
      <c r="J1050" t="s">
        <v>1748</v>
      </c>
      <c r="K1050" t="s">
        <v>1825</v>
      </c>
      <c r="L1050" t="s">
        <v>1750</v>
      </c>
      <c r="M1050">
        <v>274</v>
      </c>
      <c r="N1050" t="b">
        <v>0</v>
      </c>
      <c r="O1050">
        <v>37</v>
      </c>
      <c r="P1050" t="s">
        <v>1819</v>
      </c>
      <c r="Q1050" t="s">
        <v>1753</v>
      </c>
      <c r="R1050" t="s">
        <v>1828</v>
      </c>
    </row>
    <row r="1051" spans="1:18" x14ac:dyDescent="0.25">
      <c r="A1051" t="s">
        <v>3355</v>
      </c>
      <c r="B1051" t="s">
        <v>1810</v>
      </c>
      <c r="C1051" t="s">
        <v>4</v>
      </c>
      <c r="D1051" t="s">
        <v>674</v>
      </c>
      <c r="E1051" s="2">
        <v>39577</v>
      </c>
      <c r="F1051">
        <v>6034</v>
      </c>
      <c r="G1051" t="s">
        <v>1746</v>
      </c>
      <c r="H1051" t="s">
        <v>1747</v>
      </c>
      <c r="I1051" t="b">
        <v>1</v>
      </c>
      <c r="J1051" t="s">
        <v>1761</v>
      </c>
      <c r="K1051" t="s">
        <v>1807</v>
      </c>
      <c r="L1051" t="s">
        <v>1756</v>
      </c>
      <c r="M1051">
        <v>273</v>
      </c>
      <c r="N1051" t="b">
        <v>0</v>
      </c>
      <c r="O1051">
        <v>863</v>
      </c>
      <c r="P1051" t="s">
        <v>1752</v>
      </c>
      <c r="Q1051" t="s">
        <v>1753</v>
      </c>
    </row>
    <row r="1052" spans="1:18" x14ac:dyDescent="0.25">
      <c r="A1052" t="s">
        <v>3356</v>
      </c>
      <c r="B1052" t="s">
        <v>1754</v>
      </c>
      <c r="C1052" t="s">
        <v>4</v>
      </c>
      <c r="D1052" t="s">
        <v>1087</v>
      </c>
      <c r="E1052" s="2">
        <v>42192</v>
      </c>
      <c r="F1052">
        <v>3419</v>
      </c>
      <c r="G1052" t="s">
        <v>1746</v>
      </c>
      <c r="H1052" t="s">
        <v>1747</v>
      </c>
      <c r="I1052" t="b">
        <v>1</v>
      </c>
      <c r="J1052" t="s">
        <v>1748</v>
      </c>
      <c r="K1052" t="s">
        <v>1824</v>
      </c>
      <c r="L1052" t="s">
        <v>1750</v>
      </c>
      <c r="M1052">
        <v>273</v>
      </c>
      <c r="N1052" t="b">
        <v>0</v>
      </c>
      <c r="O1052">
        <v>31</v>
      </c>
      <c r="P1052" t="s">
        <v>1752</v>
      </c>
      <c r="Q1052" t="s">
        <v>1753</v>
      </c>
    </row>
    <row r="1053" spans="1:18" x14ac:dyDescent="0.25">
      <c r="A1053" t="s">
        <v>3358</v>
      </c>
      <c r="B1053" t="s">
        <v>2949</v>
      </c>
      <c r="C1053" t="s">
        <v>6</v>
      </c>
      <c r="D1053" t="s">
        <v>3357</v>
      </c>
      <c r="E1053" s="2">
        <v>42269</v>
      </c>
      <c r="F1053">
        <v>3342</v>
      </c>
      <c r="G1053" t="s">
        <v>1746</v>
      </c>
      <c r="H1053" t="s">
        <v>1798</v>
      </c>
      <c r="I1053" t="b">
        <v>0</v>
      </c>
      <c r="J1053" t="s">
        <v>1748</v>
      </c>
      <c r="K1053" t="s">
        <v>1755</v>
      </c>
      <c r="L1053" t="s">
        <v>1766</v>
      </c>
      <c r="M1053">
        <v>273</v>
      </c>
      <c r="N1053" t="b">
        <v>0</v>
      </c>
      <c r="P1053" t="s">
        <v>1752</v>
      </c>
      <c r="Q1053" t="s">
        <v>1753</v>
      </c>
    </row>
    <row r="1054" spans="1:18" x14ac:dyDescent="0.25">
      <c r="A1054" t="s">
        <v>1055</v>
      </c>
      <c r="B1054" t="s">
        <v>2057</v>
      </c>
      <c r="C1054" t="s">
        <v>4</v>
      </c>
      <c r="D1054" t="s">
        <v>1056</v>
      </c>
      <c r="E1054" s="2">
        <v>42489</v>
      </c>
      <c r="F1054">
        <v>3122</v>
      </c>
      <c r="G1054" t="s">
        <v>1746</v>
      </c>
      <c r="H1054" t="s">
        <v>1747</v>
      </c>
      <c r="I1054" t="b">
        <v>1</v>
      </c>
      <c r="J1054" t="s">
        <v>1748</v>
      </c>
      <c r="K1054" t="s">
        <v>1853</v>
      </c>
      <c r="L1054" t="s">
        <v>1750</v>
      </c>
      <c r="M1054">
        <v>272</v>
      </c>
      <c r="N1054" t="b">
        <v>0</v>
      </c>
      <c r="O1054">
        <v>232</v>
      </c>
      <c r="P1054" t="s">
        <v>1752</v>
      </c>
      <c r="Q1054" t="s">
        <v>1753</v>
      </c>
      <c r="R1054" t="s">
        <v>1759</v>
      </c>
    </row>
    <row r="1055" spans="1:18" x14ac:dyDescent="0.25">
      <c r="A1055" t="s">
        <v>3360</v>
      </c>
      <c r="B1055" t="s">
        <v>1785</v>
      </c>
      <c r="C1055" t="s">
        <v>4</v>
      </c>
      <c r="D1055" t="s">
        <v>3359</v>
      </c>
      <c r="E1055" s="2">
        <v>42850</v>
      </c>
      <c r="F1055">
        <v>2761</v>
      </c>
      <c r="G1055" t="s">
        <v>1746</v>
      </c>
      <c r="H1055" t="s">
        <v>1747</v>
      </c>
      <c r="I1055" t="b">
        <v>1</v>
      </c>
      <c r="J1055" t="s">
        <v>1761</v>
      </c>
      <c r="K1055" t="s">
        <v>1824</v>
      </c>
      <c r="L1055" t="s">
        <v>1817</v>
      </c>
      <c r="M1055">
        <v>272</v>
      </c>
      <c r="N1055" t="b">
        <v>0</v>
      </c>
      <c r="O1055">
        <v>4555</v>
      </c>
      <c r="P1055" t="s">
        <v>1819</v>
      </c>
      <c r="Q1055" t="s">
        <v>1753</v>
      </c>
    </row>
    <row r="1056" spans="1:18" x14ac:dyDescent="0.25">
      <c r="A1056" t="s">
        <v>3361</v>
      </c>
      <c r="B1056" t="s">
        <v>2799</v>
      </c>
      <c r="C1056" t="s">
        <v>11</v>
      </c>
      <c r="D1056" t="s">
        <v>845</v>
      </c>
      <c r="E1056" s="2">
        <v>37516</v>
      </c>
      <c r="F1056">
        <v>8095</v>
      </c>
      <c r="G1056" t="s">
        <v>1746</v>
      </c>
      <c r="H1056" t="s">
        <v>1798</v>
      </c>
      <c r="I1056" t="b">
        <v>0</v>
      </c>
      <c r="J1056" t="s">
        <v>1761</v>
      </c>
      <c r="K1056" t="s">
        <v>2021</v>
      </c>
      <c r="L1056" t="s">
        <v>1766</v>
      </c>
      <c r="M1056">
        <v>272</v>
      </c>
      <c r="N1056" t="b">
        <v>0</v>
      </c>
      <c r="P1056" t="s">
        <v>1752</v>
      </c>
      <c r="Q1056" t="s">
        <v>1753</v>
      </c>
      <c r="R1056" t="s">
        <v>1759</v>
      </c>
    </row>
    <row r="1057" spans="1:18" x14ac:dyDescent="0.25">
      <c r="A1057" t="s">
        <v>3363</v>
      </c>
      <c r="B1057" t="s">
        <v>2011</v>
      </c>
      <c r="C1057" t="s">
        <v>4</v>
      </c>
      <c r="D1057" t="s">
        <v>3362</v>
      </c>
      <c r="E1057" s="2">
        <v>45530</v>
      </c>
      <c r="F1057">
        <v>81</v>
      </c>
      <c r="G1057" t="s">
        <v>1746</v>
      </c>
      <c r="H1057" t="s">
        <v>1747</v>
      </c>
      <c r="I1057" t="b">
        <v>0</v>
      </c>
      <c r="J1057" t="s">
        <v>1748</v>
      </c>
      <c r="K1057" t="s">
        <v>1776</v>
      </c>
      <c r="L1057" t="s">
        <v>1750</v>
      </c>
      <c r="M1057">
        <v>272</v>
      </c>
      <c r="N1057" t="b">
        <v>1</v>
      </c>
      <c r="O1057">
        <v>187</v>
      </c>
      <c r="P1057" t="s">
        <v>1752</v>
      </c>
      <c r="Q1057" t="s">
        <v>1753</v>
      </c>
      <c r="R1057" t="s">
        <v>1759</v>
      </c>
    </row>
    <row r="1058" spans="1:18" x14ac:dyDescent="0.25">
      <c r="A1058" t="s">
        <v>3365</v>
      </c>
      <c r="B1058" t="s">
        <v>2085</v>
      </c>
      <c r="C1058" t="s">
        <v>4</v>
      </c>
      <c r="D1058" t="s">
        <v>3364</v>
      </c>
      <c r="E1058" s="2">
        <v>43251</v>
      </c>
      <c r="F1058">
        <v>2360</v>
      </c>
      <c r="G1058" t="s">
        <v>1746</v>
      </c>
      <c r="H1058" t="s">
        <v>1747</v>
      </c>
      <c r="I1058" t="b">
        <v>1</v>
      </c>
      <c r="J1058" t="s">
        <v>1748</v>
      </c>
      <c r="K1058" t="s">
        <v>1868</v>
      </c>
      <c r="L1058" t="s">
        <v>1817</v>
      </c>
      <c r="M1058">
        <v>272</v>
      </c>
      <c r="N1058" t="b">
        <v>0</v>
      </c>
      <c r="O1058">
        <v>336</v>
      </c>
      <c r="P1058" t="s">
        <v>1819</v>
      </c>
      <c r="Q1058" t="s">
        <v>1753</v>
      </c>
      <c r="R1058" t="s">
        <v>1772</v>
      </c>
    </row>
    <row r="1059" spans="1:18" x14ac:dyDescent="0.25">
      <c r="A1059" t="s">
        <v>3367</v>
      </c>
      <c r="B1059" t="s">
        <v>2564</v>
      </c>
      <c r="C1059" t="s">
        <v>6</v>
      </c>
      <c r="D1059" t="s">
        <v>3366</v>
      </c>
      <c r="E1059" s="2">
        <v>43343</v>
      </c>
      <c r="F1059">
        <v>2268</v>
      </c>
      <c r="G1059" t="s">
        <v>1746</v>
      </c>
      <c r="H1059" t="s">
        <v>1798</v>
      </c>
      <c r="I1059" t="b">
        <v>0</v>
      </c>
      <c r="J1059" t="s">
        <v>1748</v>
      </c>
      <c r="K1059" t="s">
        <v>1825</v>
      </c>
      <c r="L1059" t="s">
        <v>1750</v>
      </c>
      <c r="M1059">
        <v>271</v>
      </c>
      <c r="N1059" t="b">
        <v>1</v>
      </c>
      <c r="O1059">
        <v>107</v>
      </c>
      <c r="P1059" t="s">
        <v>1752</v>
      </c>
      <c r="Q1059" t="s">
        <v>1753</v>
      </c>
      <c r="R1059" t="s">
        <v>1828</v>
      </c>
    </row>
    <row r="1060" spans="1:18" x14ac:dyDescent="0.25">
      <c r="A1060" t="s">
        <v>3369</v>
      </c>
      <c r="B1060" t="s">
        <v>2144</v>
      </c>
      <c r="C1060" t="s">
        <v>572</v>
      </c>
      <c r="D1060" t="s">
        <v>3368</v>
      </c>
      <c r="E1060" s="2">
        <v>43927</v>
      </c>
      <c r="F1060">
        <v>1684</v>
      </c>
      <c r="G1060" t="s">
        <v>1746</v>
      </c>
      <c r="H1060" t="s">
        <v>1798</v>
      </c>
      <c r="I1060" t="b">
        <v>0</v>
      </c>
      <c r="J1060" t="s">
        <v>1761</v>
      </c>
      <c r="K1060" t="s">
        <v>1824</v>
      </c>
      <c r="L1060" t="s">
        <v>1750</v>
      </c>
      <c r="M1060">
        <v>271</v>
      </c>
      <c r="N1060" t="b">
        <v>1</v>
      </c>
      <c r="O1060">
        <v>50</v>
      </c>
      <c r="P1060" t="s">
        <v>1752</v>
      </c>
      <c r="Q1060" t="s">
        <v>1753</v>
      </c>
    </row>
    <row r="1061" spans="1:18" x14ac:dyDescent="0.25">
      <c r="A1061" t="s">
        <v>3371</v>
      </c>
      <c r="B1061" t="s">
        <v>1978</v>
      </c>
      <c r="C1061" t="s">
        <v>4</v>
      </c>
      <c r="D1061" t="s">
        <v>3370</v>
      </c>
      <c r="E1061" s="2">
        <v>45260</v>
      </c>
      <c r="F1061">
        <v>351</v>
      </c>
      <c r="G1061" t="s">
        <v>1833</v>
      </c>
      <c r="H1061" t="s">
        <v>1747</v>
      </c>
      <c r="I1061" t="b">
        <v>0</v>
      </c>
      <c r="J1061" t="s">
        <v>1761</v>
      </c>
      <c r="K1061" t="s">
        <v>1880</v>
      </c>
      <c r="L1061" t="s">
        <v>1750</v>
      </c>
      <c r="M1061">
        <v>271</v>
      </c>
      <c r="N1061" t="b">
        <v>0</v>
      </c>
      <c r="O1061">
        <v>250</v>
      </c>
      <c r="P1061" t="s">
        <v>1752</v>
      </c>
      <c r="Q1061" t="s">
        <v>1753</v>
      </c>
      <c r="R1061" t="s">
        <v>1759</v>
      </c>
    </row>
    <row r="1062" spans="1:18" x14ac:dyDescent="0.25">
      <c r="A1062" t="s">
        <v>3372</v>
      </c>
      <c r="B1062" t="s">
        <v>2157</v>
      </c>
      <c r="C1062" t="s">
        <v>6</v>
      </c>
      <c r="D1062" t="s">
        <v>159</v>
      </c>
      <c r="E1062" s="2">
        <v>44959</v>
      </c>
      <c r="F1062">
        <v>652</v>
      </c>
      <c r="G1062" t="s">
        <v>1746</v>
      </c>
      <c r="H1062" t="s">
        <v>1798</v>
      </c>
      <c r="I1062" t="b">
        <v>0</v>
      </c>
      <c r="J1062" t="s">
        <v>1748</v>
      </c>
      <c r="K1062" t="s">
        <v>1826</v>
      </c>
      <c r="L1062" t="s">
        <v>1750</v>
      </c>
      <c r="M1062">
        <v>271</v>
      </c>
      <c r="N1062" t="b">
        <v>1</v>
      </c>
      <c r="O1062">
        <v>73</v>
      </c>
      <c r="P1062" t="s">
        <v>1819</v>
      </c>
      <c r="Q1062" t="s">
        <v>1753</v>
      </c>
      <c r="R1062" t="s">
        <v>1828</v>
      </c>
    </row>
    <row r="1063" spans="1:18" x14ac:dyDescent="0.25">
      <c r="A1063" t="s">
        <v>3374</v>
      </c>
      <c r="B1063" t="s">
        <v>1803</v>
      </c>
      <c r="C1063" t="s">
        <v>572</v>
      </c>
      <c r="D1063" t="s">
        <v>3373</v>
      </c>
      <c r="E1063" s="2">
        <v>37445</v>
      </c>
      <c r="F1063">
        <v>8166</v>
      </c>
      <c r="G1063" t="s">
        <v>1746</v>
      </c>
      <c r="H1063" t="s">
        <v>1798</v>
      </c>
      <c r="I1063" t="b">
        <v>0</v>
      </c>
      <c r="J1063" t="s">
        <v>1761</v>
      </c>
      <c r="K1063" t="s">
        <v>1912</v>
      </c>
      <c r="L1063" t="s">
        <v>1750</v>
      </c>
      <c r="M1063">
        <v>270</v>
      </c>
      <c r="N1063" t="b">
        <v>0</v>
      </c>
      <c r="O1063">
        <v>108</v>
      </c>
      <c r="P1063" t="s">
        <v>1752</v>
      </c>
      <c r="Q1063" t="s">
        <v>1753</v>
      </c>
      <c r="R1063" t="s">
        <v>1828</v>
      </c>
    </row>
    <row r="1064" spans="1:18" x14ac:dyDescent="0.25">
      <c r="A1064" t="s">
        <v>3375</v>
      </c>
      <c r="B1064" t="s">
        <v>3376</v>
      </c>
      <c r="C1064" t="s">
        <v>572</v>
      </c>
      <c r="D1064" t="s">
        <v>598</v>
      </c>
      <c r="E1064" s="2">
        <v>39301</v>
      </c>
      <c r="F1064">
        <v>6310</v>
      </c>
      <c r="G1064" t="s">
        <v>1746</v>
      </c>
      <c r="H1064" t="s">
        <v>1798</v>
      </c>
      <c r="I1064" t="b">
        <v>0</v>
      </c>
      <c r="J1064" t="s">
        <v>1748</v>
      </c>
      <c r="K1064" t="s">
        <v>1912</v>
      </c>
      <c r="L1064" t="s">
        <v>1766</v>
      </c>
      <c r="M1064">
        <v>270</v>
      </c>
      <c r="N1064" t="b">
        <v>0</v>
      </c>
      <c r="P1064" t="s">
        <v>2070</v>
      </c>
      <c r="Q1064" t="s">
        <v>1753</v>
      </c>
    </row>
    <row r="1065" spans="1:18" x14ac:dyDescent="0.25">
      <c r="A1065" t="s">
        <v>3377</v>
      </c>
      <c r="B1065" t="s">
        <v>1829</v>
      </c>
      <c r="C1065" t="s">
        <v>4</v>
      </c>
      <c r="D1065" t="s">
        <v>392</v>
      </c>
      <c r="E1065" s="2">
        <v>43025</v>
      </c>
      <c r="F1065">
        <v>2586</v>
      </c>
      <c r="G1065" t="s">
        <v>1746</v>
      </c>
      <c r="H1065" t="s">
        <v>1798</v>
      </c>
      <c r="I1065" t="b">
        <v>1</v>
      </c>
      <c r="J1065" t="s">
        <v>1748</v>
      </c>
      <c r="K1065" t="s">
        <v>1880</v>
      </c>
      <c r="L1065" t="s">
        <v>1750</v>
      </c>
      <c r="M1065">
        <v>270</v>
      </c>
      <c r="N1065" t="b">
        <v>0</v>
      </c>
      <c r="O1065">
        <v>101</v>
      </c>
      <c r="P1065" t="s">
        <v>1752</v>
      </c>
      <c r="Q1065" t="s">
        <v>1753</v>
      </c>
    </row>
    <row r="1066" spans="1:18" x14ac:dyDescent="0.25">
      <c r="A1066" t="s">
        <v>3379</v>
      </c>
      <c r="B1066" t="s">
        <v>2032</v>
      </c>
      <c r="C1066" t="s">
        <v>4</v>
      </c>
      <c r="D1066" t="s">
        <v>3378</v>
      </c>
      <c r="E1066" s="2">
        <v>43958</v>
      </c>
      <c r="F1066">
        <v>1653</v>
      </c>
      <c r="G1066" t="s">
        <v>1746</v>
      </c>
      <c r="H1066" t="s">
        <v>1747</v>
      </c>
      <c r="I1066" t="b">
        <v>0</v>
      </c>
      <c r="J1066" t="s">
        <v>1761</v>
      </c>
      <c r="K1066" t="s">
        <v>1809</v>
      </c>
      <c r="L1066" t="s">
        <v>1750</v>
      </c>
      <c r="M1066">
        <v>269</v>
      </c>
      <c r="N1066" t="b">
        <v>1</v>
      </c>
      <c r="O1066">
        <v>403</v>
      </c>
      <c r="P1066" t="s">
        <v>1752</v>
      </c>
      <c r="Q1066" t="s">
        <v>1753</v>
      </c>
      <c r="R1066" t="s">
        <v>1759</v>
      </c>
    </row>
    <row r="1067" spans="1:18" x14ac:dyDescent="0.25">
      <c r="A1067" t="s">
        <v>3380</v>
      </c>
      <c r="B1067" t="s">
        <v>1876</v>
      </c>
      <c r="C1067" t="s">
        <v>4</v>
      </c>
      <c r="D1067" t="s">
        <v>282</v>
      </c>
      <c r="E1067" s="2">
        <v>44887</v>
      </c>
      <c r="F1067">
        <v>724</v>
      </c>
      <c r="G1067" t="s">
        <v>1746</v>
      </c>
      <c r="H1067" t="s">
        <v>1747</v>
      </c>
      <c r="I1067" t="b">
        <v>0</v>
      </c>
      <c r="J1067" t="s">
        <v>1761</v>
      </c>
      <c r="K1067" t="s">
        <v>1856</v>
      </c>
      <c r="L1067" t="s">
        <v>1766</v>
      </c>
      <c r="M1067">
        <v>268</v>
      </c>
      <c r="N1067" t="b">
        <v>0</v>
      </c>
      <c r="P1067" t="s">
        <v>1752</v>
      </c>
      <c r="Q1067" t="s">
        <v>1753</v>
      </c>
    </row>
    <row r="1068" spans="1:18" x14ac:dyDescent="0.25">
      <c r="A1068" t="s">
        <v>3381</v>
      </c>
      <c r="B1068" t="s">
        <v>1874</v>
      </c>
      <c r="C1068" t="s">
        <v>4</v>
      </c>
      <c r="D1068" t="s">
        <v>315</v>
      </c>
      <c r="E1068" s="2">
        <v>44063</v>
      </c>
      <c r="F1068">
        <v>1548</v>
      </c>
      <c r="G1068" t="s">
        <v>1746</v>
      </c>
      <c r="H1068" t="s">
        <v>1747</v>
      </c>
      <c r="I1068" t="b">
        <v>0</v>
      </c>
      <c r="J1068" t="s">
        <v>1748</v>
      </c>
      <c r="K1068" t="s">
        <v>1776</v>
      </c>
      <c r="L1068" t="s">
        <v>1750</v>
      </c>
      <c r="M1068">
        <v>268</v>
      </c>
      <c r="N1068" t="b">
        <v>1</v>
      </c>
      <c r="O1068">
        <v>364</v>
      </c>
      <c r="P1068" t="s">
        <v>1752</v>
      </c>
      <c r="Q1068" t="s">
        <v>1753</v>
      </c>
      <c r="R1068" t="s">
        <v>2028</v>
      </c>
    </row>
    <row r="1069" spans="1:18" x14ac:dyDescent="0.25">
      <c r="A1069" t="s">
        <v>3383</v>
      </c>
      <c r="B1069" t="s">
        <v>2032</v>
      </c>
      <c r="C1069" t="s">
        <v>4</v>
      </c>
      <c r="D1069" t="s">
        <v>3382</v>
      </c>
      <c r="E1069" s="2">
        <v>45147</v>
      </c>
      <c r="F1069">
        <v>464</v>
      </c>
      <c r="G1069" t="s">
        <v>1746</v>
      </c>
      <c r="H1069" t="s">
        <v>1747</v>
      </c>
      <c r="I1069" t="b">
        <v>0</v>
      </c>
      <c r="J1069" t="s">
        <v>1761</v>
      </c>
      <c r="K1069" t="s">
        <v>1774</v>
      </c>
      <c r="L1069" t="s">
        <v>1817</v>
      </c>
      <c r="M1069">
        <v>268</v>
      </c>
      <c r="N1069" t="b">
        <v>1</v>
      </c>
      <c r="O1069">
        <v>421</v>
      </c>
      <c r="P1069" t="s">
        <v>1819</v>
      </c>
      <c r="Q1069" t="s">
        <v>1753</v>
      </c>
      <c r="R1069" t="s">
        <v>1759</v>
      </c>
    </row>
    <row r="1070" spans="1:18" x14ac:dyDescent="0.25">
      <c r="A1070" t="s">
        <v>3384</v>
      </c>
      <c r="B1070" t="s">
        <v>2106</v>
      </c>
      <c r="C1070" t="s">
        <v>4</v>
      </c>
      <c r="D1070" t="s">
        <v>103</v>
      </c>
      <c r="E1070" s="2">
        <v>44824</v>
      </c>
      <c r="F1070">
        <v>787</v>
      </c>
      <c r="G1070" t="s">
        <v>1746</v>
      </c>
      <c r="H1070" t="s">
        <v>1798</v>
      </c>
      <c r="I1070" t="b">
        <v>1</v>
      </c>
      <c r="J1070" t="s">
        <v>1748</v>
      </c>
      <c r="K1070" t="s">
        <v>1770</v>
      </c>
      <c r="L1070" t="s">
        <v>1750</v>
      </c>
      <c r="M1070">
        <v>267</v>
      </c>
      <c r="N1070" t="b">
        <v>1</v>
      </c>
      <c r="O1070">
        <v>22</v>
      </c>
      <c r="P1070" t="s">
        <v>1752</v>
      </c>
      <c r="Q1070" t="s">
        <v>1753</v>
      </c>
      <c r="R1070" t="s">
        <v>1759</v>
      </c>
    </row>
    <row r="1071" spans="1:18" x14ac:dyDescent="0.25">
      <c r="A1071" t="s">
        <v>3386</v>
      </c>
      <c r="B1071" t="s">
        <v>1840</v>
      </c>
      <c r="C1071" t="s">
        <v>4</v>
      </c>
      <c r="D1071" t="s">
        <v>3385</v>
      </c>
      <c r="E1071" s="2">
        <v>42656</v>
      </c>
      <c r="F1071">
        <v>2955</v>
      </c>
      <c r="G1071" t="s">
        <v>1746</v>
      </c>
      <c r="H1071" t="s">
        <v>1747</v>
      </c>
      <c r="I1071" t="b">
        <v>1</v>
      </c>
      <c r="J1071" t="s">
        <v>1748</v>
      </c>
      <c r="K1071" t="s">
        <v>1755</v>
      </c>
      <c r="L1071" t="s">
        <v>1756</v>
      </c>
      <c r="M1071">
        <v>267</v>
      </c>
      <c r="N1071" t="b">
        <v>0</v>
      </c>
      <c r="O1071">
        <v>333</v>
      </c>
      <c r="P1071" t="s">
        <v>1752</v>
      </c>
      <c r="Q1071" t="s">
        <v>1753</v>
      </c>
    </row>
    <row r="1072" spans="1:18" x14ac:dyDescent="0.25">
      <c r="A1072" t="s">
        <v>3387</v>
      </c>
      <c r="B1072" t="s">
        <v>1810</v>
      </c>
      <c r="C1072" t="s">
        <v>4</v>
      </c>
      <c r="D1072" t="s">
        <v>1233</v>
      </c>
      <c r="E1072" s="2">
        <v>41141</v>
      </c>
      <c r="F1072">
        <v>4470</v>
      </c>
      <c r="G1072" t="s">
        <v>1746</v>
      </c>
      <c r="H1072" t="s">
        <v>1747</v>
      </c>
      <c r="I1072" t="b">
        <v>0</v>
      </c>
      <c r="J1072" t="s">
        <v>1748</v>
      </c>
      <c r="K1072" t="s">
        <v>1891</v>
      </c>
      <c r="L1072" t="s">
        <v>2102</v>
      </c>
      <c r="M1072">
        <v>266</v>
      </c>
      <c r="N1072" t="b">
        <v>0</v>
      </c>
      <c r="P1072" t="s">
        <v>1752</v>
      </c>
      <c r="Q1072" t="s">
        <v>1753</v>
      </c>
      <c r="R1072" t="s">
        <v>2028</v>
      </c>
    </row>
    <row r="1073" spans="1:18" x14ac:dyDescent="0.25">
      <c r="A1073" t="s">
        <v>3388</v>
      </c>
      <c r="B1073" t="s">
        <v>1936</v>
      </c>
      <c r="C1073" t="s">
        <v>4</v>
      </c>
      <c r="D1073" t="s">
        <v>340</v>
      </c>
      <c r="E1073" s="2">
        <v>44740</v>
      </c>
      <c r="F1073">
        <v>871</v>
      </c>
      <c r="G1073" t="s">
        <v>1746</v>
      </c>
      <c r="H1073" t="s">
        <v>1747</v>
      </c>
      <c r="I1073" t="b">
        <v>1</v>
      </c>
      <c r="J1073" t="s">
        <v>1748</v>
      </c>
      <c r="K1073" t="s">
        <v>1824</v>
      </c>
      <c r="L1073" t="s">
        <v>1750</v>
      </c>
      <c r="M1073">
        <v>266</v>
      </c>
      <c r="N1073" t="b">
        <v>0</v>
      </c>
      <c r="O1073">
        <v>1284</v>
      </c>
      <c r="P1073" t="s">
        <v>1752</v>
      </c>
      <c r="Q1073" t="s">
        <v>1753</v>
      </c>
      <c r="R1073" t="s">
        <v>1772</v>
      </c>
    </row>
    <row r="1074" spans="1:18" x14ac:dyDescent="0.25">
      <c r="A1074" t="s">
        <v>3389</v>
      </c>
      <c r="B1074" t="s">
        <v>1810</v>
      </c>
      <c r="C1074" t="s">
        <v>6</v>
      </c>
      <c r="D1074" t="s">
        <v>1125</v>
      </c>
      <c r="E1074" s="2">
        <v>43679</v>
      </c>
      <c r="F1074">
        <v>1932</v>
      </c>
      <c r="G1074" t="s">
        <v>1746</v>
      </c>
      <c r="H1074" t="s">
        <v>1747</v>
      </c>
      <c r="I1074" t="b">
        <v>0</v>
      </c>
      <c r="J1074" t="s">
        <v>1748</v>
      </c>
      <c r="K1074" t="s">
        <v>2021</v>
      </c>
      <c r="L1074" t="s">
        <v>1817</v>
      </c>
      <c r="M1074">
        <v>266</v>
      </c>
      <c r="N1074" t="b">
        <v>1</v>
      </c>
      <c r="O1074">
        <v>802</v>
      </c>
      <c r="P1074" t="s">
        <v>1819</v>
      </c>
      <c r="Q1074" t="s">
        <v>1753</v>
      </c>
      <c r="R1074" t="s">
        <v>1772</v>
      </c>
    </row>
    <row r="1075" spans="1:18" x14ac:dyDescent="0.25">
      <c r="A1075" t="s">
        <v>3391</v>
      </c>
      <c r="B1075" t="s">
        <v>2965</v>
      </c>
      <c r="C1075" t="s">
        <v>4</v>
      </c>
      <c r="D1075" t="s">
        <v>3390</v>
      </c>
      <c r="E1075" s="2">
        <v>43440</v>
      </c>
      <c r="F1075">
        <v>2171</v>
      </c>
      <c r="G1075" t="s">
        <v>1746</v>
      </c>
      <c r="H1075" t="s">
        <v>1747</v>
      </c>
      <c r="I1075" t="b">
        <v>0</v>
      </c>
      <c r="J1075" t="s">
        <v>1761</v>
      </c>
      <c r="K1075" t="s">
        <v>1776</v>
      </c>
      <c r="L1075" t="s">
        <v>1750</v>
      </c>
      <c r="M1075">
        <v>265</v>
      </c>
      <c r="N1075" t="b">
        <v>1</v>
      </c>
      <c r="O1075">
        <v>224</v>
      </c>
      <c r="P1075" t="s">
        <v>1752</v>
      </c>
      <c r="Q1075" t="s">
        <v>1753</v>
      </c>
      <c r="R1075" t="s">
        <v>1772</v>
      </c>
    </row>
    <row r="1076" spans="1:18" x14ac:dyDescent="0.25">
      <c r="A1076" t="s">
        <v>3392</v>
      </c>
      <c r="B1076" t="s">
        <v>2046</v>
      </c>
      <c r="C1076" t="s">
        <v>4</v>
      </c>
      <c r="D1076" t="s">
        <v>1231</v>
      </c>
      <c r="E1076" s="2">
        <v>40582</v>
      </c>
      <c r="F1076">
        <v>5029</v>
      </c>
      <c r="G1076" t="s">
        <v>1746</v>
      </c>
      <c r="H1076" t="s">
        <v>1798</v>
      </c>
      <c r="I1076" t="b">
        <v>0</v>
      </c>
      <c r="J1076" t="s">
        <v>1748</v>
      </c>
      <c r="K1076" t="s">
        <v>1808</v>
      </c>
      <c r="L1076" t="s">
        <v>2102</v>
      </c>
      <c r="M1076">
        <v>263</v>
      </c>
      <c r="N1076" t="b">
        <v>0</v>
      </c>
      <c r="P1076" t="s">
        <v>2070</v>
      </c>
      <c r="Q1076" t="s">
        <v>1753</v>
      </c>
    </row>
    <row r="1077" spans="1:18" x14ac:dyDescent="0.25">
      <c r="A1077" t="s">
        <v>3393</v>
      </c>
      <c r="B1077" t="s">
        <v>1810</v>
      </c>
      <c r="C1077" t="s">
        <v>4</v>
      </c>
      <c r="D1077" t="s">
        <v>612</v>
      </c>
      <c r="E1077" s="2">
        <v>41915</v>
      </c>
      <c r="F1077">
        <v>3696</v>
      </c>
      <c r="G1077" t="s">
        <v>1746</v>
      </c>
      <c r="H1077" t="s">
        <v>1747</v>
      </c>
      <c r="I1077" t="b">
        <v>1</v>
      </c>
      <c r="J1077" t="s">
        <v>1748</v>
      </c>
      <c r="K1077" t="s">
        <v>1853</v>
      </c>
      <c r="L1077" t="s">
        <v>1756</v>
      </c>
      <c r="M1077">
        <v>262</v>
      </c>
      <c r="N1077" t="b">
        <v>0</v>
      </c>
      <c r="O1077">
        <v>814</v>
      </c>
      <c r="P1077" t="s">
        <v>1752</v>
      </c>
      <c r="Q1077" t="s">
        <v>1753</v>
      </c>
      <c r="R1077" t="s">
        <v>1759</v>
      </c>
    </row>
    <row r="1078" spans="1:18" x14ac:dyDescent="0.25">
      <c r="A1078" t="s">
        <v>3395</v>
      </c>
      <c r="B1078" t="s">
        <v>3396</v>
      </c>
      <c r="C1078" t="s">
        <v>4</v>
      </c>
      <c r="D1078" t="s">
        <v>3394</v>
      </c>
      <c r="E1078" s="2">
        <v>44539</v>
      </c>
      <c r="F1078">
        <v>1072</v>
      </c>
      <c r="G1078" t="s">
        <v>1746</v>
      </c>
      <c r="H1078" t="s">
        <v>1747</v>
      </c>
      <c r="I1078" t="b">
        <v>0</v>
      </c>
      <c r="J1078" t="s">
        <v>1748</v>
      </c>
      <c r="K1078" t="s">
        <v>2021</v>
      </c>
      <c r="L1078" t="s">
        <v>1750</v>
      </c>
      <c r="M1078">
        <v>262</v>
      </c>
      <c r="N1078" t="b">
        <v>1</v>
      </c>
      <c r="P1078" t="s">
        <v>1752</v>
      </c>
      <c r="Q1078" t="s">
        <v>1753</v>
      </c>
      <c r="R1078" t="s">
        <v>1759</v>
      </c>
    </row>
    <row r="1079" spans="1:18" x14ac:dyDescent="0.25">
      <c r="A1079" t="s">
        <v>3397</v>
      </c>
      <c r="B1079" t="s">
        <v>3016</v>
      </c>
      <c r="C1079" t="s">
        <v>4</v>
      </c>
      <c r="D1079" t="s">
        <v>1286</v>
      </c>
      <c r="E1079" s="2">
        <v>44336</v>
      </c>
      <c r="F1079">
        <v>1275</v>
      </c>
      <c r="G1079" t="s">
        <v>1746</v>
      </c>
      <c r="H1079" t="s">
        <v>1798</v>
      </c>
      <c r="I1079" t="b">
        <v>0</v>
      </c>
      <c r="J1079" t="s">
        <v>1748</v>
      </c>
      <c r="K1079" t="s">
        <v>1824</v>
      </c>
      <c r="L1079" t="s">
        <v>1750</v>
      </c>
      <c r="M1079">
        <v>262</v>
      </c>
      <c r="N1079" t="b">
        <v>1</v>
      </c>
      <c r="O1079">
        <v>4040</v>
      </c>
      <c r="P1079" t="s">
        <v>1819</v>
      </c>
      <c r="Q1079" t="s">
        <v>1753</v>
      </c>
      <c r="R1079" t="s">
        <v>1759</v>
      </c>
    </row>
    <row r="1080" spans="1:18" x14ac:dyDescent="0.25">
      <c r="A1080" t="s">
        <v>3399</v>
      </c>
      <c r="B1080" t="s">
        <v>2085</v>
      </c>
      <c r="C1080" t="s">
        <v>4</v>
      </c>
      <c r="D1080" t="s">
        <v>3398</v>
      </c>
      <c r="E1080" s="2">
        <v>43200</v>
      </c>
      <c r="F1080">
        <v>2411</v>
      </c>
      <c r="G1080" t="s">
        <v>1746</v>
      </c>
      <c r="H1080" t="s">
        <v>1798</v>
      </c>
      <c r="I1080" t="b">
        <v>1</v>
      </c>
      <c r="J1080" t="s">
        <v>1748</v>
      </c>
      <c r="K1080" t="s">
        <v>1853</v>
      </c>
      <c r="L1080" t="s">
        <v>1817</v>
      </c>
      <c r="M1080">
        <v>261</v>
      </c>
      <c r="N1080" t="b">
        <v>0</v>
      </c>
      <c r="O1080">
        <v>8907</v>
      </c>
      <c r="P1080" t="s">
        <v>1819</v>
      </c>
      <c r="Q1080" t="s">
        <v>1753</v>
      </c>
      <c r="R1080" t="s">
        <v>1759</v>
      </c>
    </row>
    <row r="1081" spans="1:18" x14ac:dyDescent="0.25">
      <c r="A1081" t="s">
        <v>3401</v>
      </c>
      <c r="B1081" t="s">
        <v>2085</v>
      </c>
      <c r="C1081" t="s">
        <v>4</v>
      </c>
      <c r="D1081" t="s">
        <v>3400</v>
      </c>
      <c r="E1081" s="2">
        <v>42877</v>
      </c>
      <c r="F1081">
        <v>2734</v>
      </c>
      <c r="G1081" t="s">
        <v>1746</v>
      </c>
      <c r="H1081" t="s">
        <v>1798</v>
      </c>
      <c r="I1081" t="b">
        <v>1</v>
      </c>
      <c r="J1081" t="s">
        <v>1748</v>
      </c>
      <c r="K1081" t="s">
        <v>1824</v>
      </c>
      <c r="L1081" t="s">
        <v>1756</v>
      </c>
      <c r="M1081">
        <v>261</v>
      </c>
      <c r="N1081" t="b">
        <v>0</v>
      </c>
      <c r="O1081">
        <v>228</v>
      </c>
      <c r="P1081" t="s">
        <v>1752</v>
      </c>
      <c r="Q1081" t="s">
        <v>1753</v>
      </c>
      <c r="R1081" t="s">
        <v>1828</v>
      </c>
    </row>
    <row r="1082" spans="1:18" x14ac:dyDescent="0.25">
      <c r="A1082" t="s">
        <v>3402</v>
      </c>
      <c r="B1082" t="s">
        <v>2035</v>
      </c>
      <c r="C1082" t="s">
        <v>6</v>
      </c>
      <c r="D1082" t="s">
        <v>33</v>
      </c>
      <c r="E1082" s="2">
        <v>40449</v>
      </c>
      <c r="F1082">
        <v>5162</v>
      </c>
      <c r="G1082" t="s">
        <v>1746</v>
      </c>
      <c r="H1082" t="s">
        <v>1798</v>
      </c>
      <c r="I1082" t="b">
        <v>1</v>
      </c>
      <c r="J1082" t="s">
        <v>1748</v>
      </c>
      <c r="K1082" t="s">
        <v>1934</v>
      </c>
      <c r="L1082" t="s">
        <v>1817</v>
      </c>
      <c r="M1082">
        <v>260</v>
      </c>
      <c r="N1082" t="b">
        <v>0</v>
      </c>
      <c r="O1082">
        <v>191</v>
      </c>
      <c r="P1082" t="s">
        <v>1819</v>
      </c>
      <c r="Q1082" t="s">
        <v>1753</v>
      </c>
      <c r="R1082" t="s">
        <v>1828</v>
      </c>
    </row>
    <row r="1083" spans="1:18" x14ac:dyDescent="0.25">
      <c r="A1083" t="s">
        <v>3404</v>
      </c>
      <c r="B1083" t="s">
        <v>1803</v>
      </c>
      <c r="C1083" t="s">
        <v>572</v>
      </c>
      <c r="D1083" t="s">
        <v>3403</v>
      </c>
      <c r="E1083" s="2">
        <v>44502</v>
      </c>
      <c r="F1083">
        <v>1109</v>
      </c>
      <c r="G1083" t="s">
        <v>1746</v>
      </c>
      <c r="H1083" t="s">
        <v>1798</v>
      </c>
      <c r="I1083" t="b">
        <v>0</v>
      </c>
      <c r="J1083" t="s">
        <v>1761</v>
      </c>
      <c r="K1083" t="s">
        <v>1770</v>
      </c>
      <c r="L1083" t="s">
        <v>1750</v>
      </c>
      <c r="M1083">
        <v>259</v>
      </c>
      <c r="N1083" t="b">
        <v>1</v>
      </c>
      <c r="O1083">
        <v>111</v>
      </c>
      <c r="P1083" t="s">
        <v>1819</v>
      </c>
      <c r="Q1083" t="s">
        <v>1753</v>
      </c>
    </row>
    <row r="1084" spans="1:18" x14ac:dyDescent="0.25">
      <c r="A1084" t="s">
        <v>3405</v>
      </c>
      <c r="B1084" t="s">
        <v>1876</v>
      </c>
      <c r="C1084" t="s">
        <v>4</v>
      </c>
      <c r="D1084" t="s">
        <v>1240</v>
      </c>
      <c r="E1084" s="2">
        <v>44316</v>
      </c>
      <c r="F1084">
        <v>1295</v>
      </c>
      <c r="G1084" t="s">
        <v>1746</v>
      </c>
      <c r="H1084" t="s">
        <v>1747</v>
      </c>
      <c r="I1084" t="b">
        <v>0</v>
      </c>
      <c r="J1084" t="s">
        <v>1748</v>
      </c>
      <c r="K1084" t="s">
        <v>1757</v>
      </c>
      <c r="L1084" t="s">
        <v>1750</v>
      </c>
      <c r="M1084">
        <v>259</v>
      </c>
      <c r="N1084" t="b">
        <v>0</v>
      </c>
      <c r="O1084">
        <v>20</v>
      </c>
      <c r="P1084" t="s">
        <v>1752</v>
      </c>
      <c r="Q1084" t="s">
        <v>1753</v>
      </c>
      <c r="R1084" t="s">
        <v>1759</v>
      </c>
    </row>
    <row r="1085" spans="1:18" x14ac:dyDescent="0.25">
      <c r="A1085" t="s">
        <v>3407</v>
      </c>
      <c r="B1085" t="s">
        <v>2157</v>
      </c>
      <c r="C1085" t="s">
        <v>4</v>
      </c>
      <c r="D1085" t="s">
        <v>3406</v>
      </c>
      <c r="E1085" s="2">
        <v>45205</v>
      </c>
      <c r="F1085">
        <v>406</v>
      </c>
      <c r="G1085" t="s">
        <v>1746</v>
      </c>
      <c r="H1085" t="s">
        <v>1798</v>
      </c>
      <c r="I1085" t="b">
        <v>0</v>
      </c>
      <c r="J1085" t="s">
        <v>1748</v>
      </c>
      <c r="K1085" t="s">
        <v>1824</v>
      </c>
      <c r="L1085" t="s">
        <v>1750</v>
      </c>
      <c r="M1085">
        <v>259</v>
      </c>
      <c r="N1085" t="b">
        <v>1</v>
      </c>
      <c r="O1085">
        <v>942</v>
      </c>
      <c r="P1085" t="s">
        <v>1752</v>
      </c>
      <c r="Q1085" t="s">
        <v>1753</v>
      </c>
      <c r="R1085" t="s">
        <v>1759</v>
      </c>
    </row>
    <row r="1086" spans="1:18" x14ac:dyDescent="0.25">
      <c r="A1086" t="s">
        <v>1046</v>
      </c>
      <c r="B1086" t="s">
        <v>1814</v>
      </c>
      <c r="C1086" t="s">
        <v>4</v>
      </c>
      <c r="D1086" t="s">
        <v>1047</v>
      </c>
      <c r="E1086" s="2">
        <v>41978</v>
      </c>
      <c r="F1086">
        <v>3633</v>
      </c>
      <c r="G1086" t="s">
        <v>1746</v>
      </c>
      <c r="H1086" t="s">
        <v>1798</v>
      </c>
      <c r="I1086" t="b">
        <v>1</v>
      </c>
      <c r="J1086" t="s">
        <v>1748</v>
      </c>
      <c r="K1086" t="s">
        <v>1776</v>
      </c>
      <c r="L1086" t="s">
        <v>1750</v>
      </c>
      <c r="M1086">
        <v>258</v>
      </c>
      <c r="N1086" t="b">
        <v>0</v>
      </c>
      <c r="O1086">
        <v>415</v>
      </c>
      <c r="P1086" t="s">
        <v>1752</v>
      </c>
      <c r="Q1086" t="s">
        <v>1753</v>
      </c>
      <c r="R1086" t="s">
        <v>1828</v>
      </c>
    </row>
    <row r="1087" spans="1:18" x14ac:dyDescent="0.25">
      <c r="A1087" t="s">
        <v>3408</v>
      </c>
      <c r="B1087" t="s">
        <v>1810</v>
      </c>
      <c r="C1087" t="s">
        <v>6</v>
      </c>
      <c r="D1087" t="s">
        <v>1560</v>
      </c>
      <c r="E1087" s="2">
        <v>39254</v>
      </c>
      <c r="F1087">
        <v>6357</v>
      </c>
      <c r="G1087" t="s">
        <v>1746</v>
      </c>
      <c r="H1087" t="s">
        <v>1747</v>
      </c>
      <c r="I1087" t="b">
        <v>0</v>
      </c>
      <c r="J1087" t="s">
        <v>1748</v>
      </c>
      <c r="K1087" t="s">
        <v>1757</v>
      </c>
      <c r="L1087" t="s">
        <v>1766</v>
      </c>
      <c r="M1087">
        <v>258</v>
      </c>
      <c r="N1087" t="b">
        <v>1</v>
      </c>
      <c r="P1087" t="s">
        <v>1752</v>
      </c>
      <c r="Q1087" t="s">
        <v>1753</v>
      </c>
      <c r="R1087" t="s">
        <v>2028</v>
      </c>
    </row>
    <row r="1088" spans="1:18" x14ac:dyDescent="0.25">
      <c r="A1088" t="s">
        <v>3409</v>
      </c>
      <c r="B1088" t="s">
        <v>2799</v>
      </c>
      <c r="C1088" t="s">
        <v>6</v>
      </c>
      <c r="D1088" t="s">
        <v>75</v>
      </c>
      <c r="E1088" s="2">
        <v>39870</v>
      </c>
      <c r="F1088">
        <v>5741</v>
      </c>
      <c r="G1088" t="s">
        <v>1746</v>
      </c>
      <c r="H1088" t="s">
        <v>1798</v>
      </c>
      <c r="I1088" t="b">
        <v>0</v>
      </c>
      <c r="J1088" t="s">
        <v>1748</v>
      </c>
      <c r="K1088" t="s">
        <v>1891</v>
      </c>
      <c r="L1088" t="s">
        <v>1766</v>
      </c>
      <c r="M1088">
        <v>258</v>
      </c>
      <c r="N1088" t="b">
        <v>0</v>
      </c>
      <c r="P1088" t="s">
        <v>1752</v>
      </c>
      <c r="Q1088" t="s">
        <v>1753</v>
      </c>
      <c r="R1088" t="s">
        <v>1828</v>
      </c>
    </row>
    <row r="1089" spans="1:18" x14ac:dyDescent="0.25">
      <c r="A1089" t="s">
        <v>3411</v>
      </c>
      <c r="B1089" t="s">
        <v>2133</v>
      </c>
      <c r="C1089" t="s">
        <v>4</v>
      </c>
      <c r="D1089" t="s">
        <v>3410</v>
      </c>
      <c r="E1089" s="2">
        <v>40646</v>
      </c>
      <c r="F1089">
        <v>4965</v>
      </c>
      <c r="G1089" t="s">
        <v>1746</v>
      </c>
      <c r="H1089" t="s">
        <v>1747</v>
      </c>
      <c r="I1089" t="b">
        <v>0</v>
      </c>
      <c r="J1089" t="s">
        <v>1748</v>
      </c>
      <c r="K1089" t="s">
        <v>1809</v>
      </c>
      <c r="L1089" t="s">
        <v>1775</v>
      </c>
      <c r="M1089">
        <v>258</v>
      </c>
      <c r="N1089" t="b">
        <v>0</v>
      </c>
      <c r="P1089" t="s">
        <v>1778</v>
      </c>
      <c r="Q1089" t="s">
        <v>1779</v>
      </c>
    </row>
    <row r="1090" spans="1:18" x14ac:dyDescent="0.25">
      <c r="A1090" t="s">
        <v>3413</v>
      </c>
      <c r="B1090" t="s">
        <v>1803</v>
      </c>
      <c r="C1090" t="s">
        <v>4</v>
      </c>
      <c r="D1090" t="s">
        <v>3412</v>
      </c>
      <c r="E1090" s="2">
        <v>43446</v>
      </c>
      <c r="F1090">
        <v>2165</v>
      </c>
      <c r="G1090" t="s">
        <v>1746</v>
      </c>
      <c r="H1090" t="s">
        <v>1747</v>
      </c>
      <c r="I1090" t="b">
        <v>1</v>
      </c>
      <c r="J1090" t="s">
        <v>1748</v>
      </c>
      <c r="K1090" t="s">
        <v>1883</v>
      </c>
      <c r="L1090" t="s">
        <v>1750</v>
      </c>
      <c r="M1090">
        <v>257</v>
      </c>
      <c r="N1090" t="b">
        <v>0</v>
      </c>
      <c r="O1090">
        <v>130</v>
      </c>
      <c r="P1090" t="s">
        <v>2266</v>
      </c>
      <c r="Q1090" t="s">
        <v>1753</v>
      </c>
      <c r="R1090" t="s">
        <v>2028</v>
      </c>
    </row>
    <row r="1091" spans="1:18" x14ac:dyDescent="0.25">
      <c r="A1091" t="s">
        <v>3414</v>
      </c>
      <c r="B1091" t="s">
        <v>1810</v>
      </c>
      <c r="C1091" t="s">
        <v>4</v>
      </c>
      <c r="D1091" t="s">
        <v>1652</v>
      </c>
      <c r="E1091" s="2">
        <v>42443</v>
      </c>
      <c r="F1091">
        <v>3168</v>
      </c>
      <c r="G1091" t="s">
        <v>1746</v>
      </c>
      <c r="H1091" t="s">
        <v>1747</v>
      </c>
      <c r="I1091" t="b">
        <v>1</v>
      </c>
      <c r="J1091" t="s">
        <v>1748</v>
      </c>
      <c r="K1091" t="s">
        <v>1776</v>
      </c>
      <c r="L1091" t="s">
        <v>1750</v>
      </c>
      <c r="M1091">
        <v>257</v>
      </c>
      <c r="N1091" t="b">
        <v>0</v>
      </c>
      <c r="O1091">
        <v>140</v>
      </c>
      <c r="P1091" t="s">
        <v>1752</v>
      </c>
      <c r="Q1091" t="s">
        <v>1753</v>
      </c>
      <c r="R1091" t="s">
        <v>1759</v>
      </c>
    </row>
    <row r="1092" spans="1:18" x14ac:dyDescent="0.25">
      <c r="A1092" t="s">
        <v>3416</v>
      </c>
      <c r="B1092" t="s">
        <v>2564</v>
      </c>
      <c r="C1092" t="s">
        <v>6</v>
      </c>
      <c r="D1092" t="s">
        <v>3415</v>
      </c>
      <c r="E1092" s="2">
        <v>43489</v>
      </c>
      <c r="F1092">
        <v>2122</v>
      </c>
      <c r="G1092" t="s">
        <v>1746</v>
      </c>
      <c r="H1092" t="s">
        <v>1747</v>
      </c>
      <c r="I1092" t="b">
        <v>0</v>
      </c>
      <c r="J1092" t="s">
        <v>1748</v>
      </c>
      <c r="K1092" t="s">
        <v>1909</v>
      </c>
      <c r="L1092" t="s">
        <v>1750</v>
      </c>
      <c r="M1092">
        <v>257</v>
      </c>
      <c r="N1092" t="b">
        <v>1</v>
      </c>
      <c r="O1092">
        <v>118</v>
      </c>
      <c r="P1092" t="s">
        <v>1752</v>
      </c>
      <c r="Q1092" t="s">
        <v>1753</v>
      </c>
    </row>
    <row r="1093" spans="1:18" x14ac:dyDescent="0.25">
      <c r="A1093" t="s">
        <v>3417</v>
      </c>
      <c r="B1093" t="s">
        <v>1810</v>
      </c>
      <c r="C1093" t="s">
        <v>4</v>
      </c>
      <c r="D1093" t="s">
        <v>1010</v>
      </c>
      <c r="E1093" s="2">
        <v>41205</v>
      </c>
      <c r="F1093">
        <v>4406</v>
      </c>
      <c r="G1093" t="s">
        <v>1746</v>
      </c>
      <c r="H1093" t="s">
        <v>1747</v>
      </c>
      <c r="I1093" t="b">
        <v>1</v>
      </c>
      <c r="J1093" t="s">
        <v>1761</v>
      </c>
      <c r="K1093" t="s">
        <v>2021</v>
      </c>
      <c r="L1093" t="s">
        <v>1756</v>
      </c>
      <c r="M1093">
        <v>257</v>
      </c>
      <c r="N1093" t="b">
        <v>0</v>
      </c>
      <c r="O1093">
        <v>226</v>
      </c>
      <c r="P1093" t="s">
        <v>2266</v>
      </c>
      <c r="Q1093" t="s">
        <v>1753</v>
      </c>
      <c r="R1093" t="s">
        <v>1759</v>
      </c>
    </row>
    <row r="1094" spans="1:18" x14ac:dyDescent="0.25">
      <c r="A1094" t="s">
        <v>3418</v>
      </c>
      <c r="B1094" t="s">
        <v>1754</v>
      </c>
      <c r="C1094" t="s">
        <v>6</v>
      </c>
      <c r="D1094" t="s">
        <v>1185</v>
      </c>
      <c r="E1094" s="2">
        <v>41974</v>
      </c>
      <c r="F1094">
        <v>3637</v>
      </c>
      <c r="G1094" t="s">
        <v>1746</v>
      </c>
      <c r="H1094" t="s">
        <v>1747</v>
      </c>
      <c r="I1094" t="b">
        <v>0</v>
      </c>
      <c r="J1094" t="s">
        <v>1761</v>
      </c>
      <c r="K1094" t="s">
        <v>1826</v>
      </c>
      <c r="L1094" t="s">
        <v>1817</v>
      </c>
      <c r="M1094">
        <v>257</v>
      </c>
      <c r="N1094" t="b">
        <v>0</v>
      </c>
      <c r="O1094">
        <v>217</v>
      </c>
      <c r="P1094" t="s">
        <v>1819</v>
      </c>
      <c r="Q1094" t="s">
        <v>1753</v>
      </c>
    </row>
    <row r="1095" spans="1:18" x14ac:dyDescent="0.25">
      <c r="A1095" t="s">
        <v>3420</v>
      </c>
      <c r="B1095" t="s">
        <v>2150</v>
      </c>
      <c r="C1095" t="s">
        <v>4</v>
      </c>
      <c r="D1095" t="s">
        <v>3419</v>
      </c>
      <c r="E1095" s="2">
        <v>45391</v>
      </c>
      <c r="F1095">
        <v>220</v>
      </c>
      <c r="G1095" t="s">
        <v>1746</v>
      </c>
      <c r="H1095" t="s">
        <v>1805</v>
      </c>
      <c r="I1095" t="b">
        <v>1</v>
      </c>
      <c r="J1095" t="s">
        <v>1761</v>
      </c>
      <c r="K1095" t="s">
        <v>1755</v>
      </c>
      <c r="L1095" t="s">
        <v>1756</v>
      </c>
      <c r="M1095">
        <v>256</v>
      </c>
      <c r="N1095" t="b">
        <v>1</v>
      </c>
      <c r="O1095">
        <v>3439</v>
      </c>
      <c r="P1095" t="s">
        <v>1819</v>
      </c>
      <c r="Q1095" t="s">
        <v>1753</v>
      </c>
      <c r="R1095" t="s">
        <v>1759</v>
      </c>
    </row>
    <row r="1096" spans="1:18" x14ac:dyDescent="0.25">
      <c r="A1096" t="s">
        <v>3421</v>
      </c>
      <c r="B1096" t="s">
        <v>1814</v>
      </c>
      <c r="C1096" t="s">
        <v>6</v>
      </c>
      <c r="D1096" t="s">
        <v>78</v>
      </c>
      <c r="E1096" s="2">
        <v>39707</v>
      </c>
      <c r="F1096">
        <v>5904</v>
      </c>
      <c r="G1096" t="s">
        <v>1746</v>
      </c>
      <c r="H1096" t="s">
        <v>1798</v>
      </c>
      <c r="I1096" t="b">
        <v>0</v>
      </c>
      <c r="J1096" t="s">
        <v>1748</v>
      </c>
      <c r="K1096" t="s">
        <v>1776</v>
      </c>
      <c r="L1096" t="s">
        <v>1766</v>
      </c>
      <c r="M1096">
        <v>256</v>
      </c>
      <c r="N1096" t="b">
        <v>0</v>
      </c>
      <c r="P1096" t="s">
        <v>1752</v>
      </c>
      <c r="Q1096" t="s">
        <v>1753</v>
      </c>
      <c r="R1096" t="s">
        <v>1828</v>
      </c>
    </row>
    <row r="1097" spans="1:18" x14ac:dyDescent="0.25">
      <c r="A1097" t="s">
        <v>3422</v>
      </c>
      <c r="B1097" t="s">
        <v>1876</v>
      </c>
      <c r="C1097" t="s">
        <v>4</v>
      </c>
      <c r="D1097" t="s">
        <v>798</v>
      </c>
      <c r="E1097" s="2">
        <v>43725</v>
      </c>
      <c r="F1097">
        <v>1886</v>
      </c>
      <c r="G1097" t="s">
        <v>1746</v>
      </c>
      <c r="H1097" t="s">
        <v>1798</v>
      </c>
      <c r="I1097" t="b">
        <v>0</v>
      </c>
      <c r="J1097" t="s">
        <v>1748</v>
      </c>
      <c r="K1097" t="s">
        <v>1826</v>
      </c>
      <c r="L1097" t="s">
        <v>1750</v>
      </c>
      <c r="M1097">
        <v>255</v>
      </c>
      <c r="N1097" t="b">
        <v>1</v>
      </c>
      <c r="O1097">
        <v>474</v>
      </c>
      <c r="P1097" t="s">
        <v>1752</v>
      </c>
      <c r="Q1097" t="s">
        <v>1753</v>
      </c>
      <c r="R1097" t="s">
        <v>1828</v>
      </c>
    </row>
    <row r="1098" spans="1:18" x14ac:dyDescent="0.25">
      <c r="A1098" t="s">
        <v>3424</v>
      </c>
      <c r="B1098" t="s">
        <v>2503</v>
      </c>
      <c r="C1098" t="s">
        <v>4</v>
      </c>
      <c r="D1098" t="s">
        <v>3423</v>
      </c>
      <c r="E1098" s="2">
        <v>44775</v>
      </c>
      <c r="F1098">
        <v>836</v>
      </c>
      <c r="G1098" t="s">
        <v>1746</v>
      </c>
      <c r="H1098" t="s">
        <v>1747</v>
      </c>
      <c r="I1098" t="b">
        <v>0</v>
      </c>
      <c r="J1098" t="s">
        <v>1748</v>
      </c>
      <c r="K1098" t="s">
        <v>1749</v>
      </c>
      <c r="L1098" t="s">
        <v>1750</v>
      </c>
      <c r="M1098">
        <v>255</v>
      </c>
      <c r="N1098" t="b">
        <v>1</v>
      </c>
      <c r="O1098">
        <v>316</v>
      </c>
      <c r="P1098" t="s">
        <v>1752</v>
      </c>
      <c r="Q1098" t="s">
        <v>1753</v>
      </c>
    </row>
    <row r="1099" spans="1:18" x14ac:dyDescent="0.25">
      <c r="A1099" t="s">
        <v>3426</v>
      </c>
      <c r="B1099" t="s">
        <v>2085</v>
      </c>
      <c r="C1099" t="s">
        <v>4</v>
      </c>
      <c r="D1099" t="s">
        <v>3425</v>
      </c>
      <c r="E1099" s="2">
        <v>43027</v>
      </c>
      <c r="F1099">
        <v>2584</v>
      </c>
      <c r="G1099" t="s">
        <v>1746</v>
      </c>
      <c r="H1099" t="s">
        <v>1747</v>
      </c>
      <c r="I1099" t="b">
        <v>1</v>
      </c>
      <c r="J1099" t="s">
        <v>1748</v>
      </c>
      <c r="K1099" t="s">
        <v>1755</v>
      </c>
      <c r="L1099" t="s">
        <v>1817</v>
      </c>
      <c r="M1099">
        <v>254</v>
      </c>
      <c r="N1099" t="b">
        <v>0</v>
      </c>
      <c r="O1099">
        <v>855</v>
      </c>
      <c r="P1099" t="s">
        <v>1819</v>
      </c>
      <c r="Q1099" t="s">
        <v>1753</v>
      </c>
      <c r="R1099" t="s">
        <v>1759</v>
      </c>
    </row>
    <row r="1100" spans="1:18" x14ac:dyDescent="0.25">
      <c r="A1100" t="s">
        <v>3428</v>
      </c>
      <c r="B1100" t="s">
        <v>3429</v>
      </c>
      <c r="C1100" t="s">
        <v>4</v>
      </c>
      <c r="D1100" t="s">
        <v>3427</v>
      </c>
      <c r="E1100" s="2">
        <v>44046</v>
      </c>
      <c r="F1100">
        <v>1565</v>
      </c>
      <c r="G1100" t="s">
        <v>1746</v>
      </c>
      <c r="H1100" t="s">
        <v>1747</v>
      </c>
      <c r="I1100" t="b">
        <v>0</v>
      </c>
      <c r="J1100" t="s">
        <v>1748</v>
      </c>
      <c r="K1100" t="s">
        <v>1776</v>
      </c>
      <c r="L1100" t="s">
        <v>1750</v>
      </c>
      <c r="M1100">
        <v>254</v>
      </c>
      <c r="N1100" t="b">
        <v>0</v>
      </c>
      <c r="O1100">
        <v>49</v>
      </c>
      <c r="P1100" t="s">
        <v>1752</v>
      </c>
      <c r="Q1100" t="s">
        <v>1753</v>
      </c>
    </row>
    <row r="1101" spans="1:18" x14ac:dyDescent="0.25">
      <c r="A1101" t="s">
        <v>3431</v>
      </c>
      <c r="B1101" t="s">
        <v>2144</v>
      </c>
      <c r="C1101" t="s">
        <v>4</v>
      </c>
      <c r="D1101" t="s">
        <v>3430</v>
      </c>
      <c r="E1101" s="2">
        <v>44824</v>
      </c>
      <c r="F1101">
        <v>787</v>
      </c>
      <c r="G1101" t="s">
        <v>1746</v>
      </c>
      <c r="H1101" t="s">
        <v>1798</v>
      </c>
      <c r="I1101" t="b">
        <v>0</v>
      </c>
      <c r="J1101" t="s">
        <v>1748</v>
      </c>
      <c r="K1101" t="s">
        <v>1770</v>
      </c>
      <c r="L1101" t="s">
        <v>1750</v>
      </c>
      <c r="M1101">
        <v>253</v>
      </c>
      <c r="N1101" t="b">
        <v>1</v>
      </c>
      <c r="O1101">
        <v>98</v>
      </c>
      <c r="P1101" t="s">
        <v>1752</v>
      </c>
      <c r="Q1101" t="s">
        <v>1753</v>
      </c>
      <c r="R1101" t="s">
        <v>1759</v>
      </c>
    </row>
    <row r="1102" spans="1:18" x14ac:dyDescent="0.25">
      <c r="A1102" t="s">
        <v>3433</v>
      </c>
      <c r="B1102" t="s">
        <v>1803</v>
      </c>
      <c r="C1102" t="s">
        <v>6</v>
      </c>
      <c r="D1102" t="s">
        <v>3432</v>
      </c>
      <c r="E1102" s="2">
        <v>40779</v>
      </c>
      <c r="F1102">
        <v>4832</v>
      </c>
      <c r="G1102" t="s">
        <v>1746</v>
      </c>
      <c r="H1102" t="s">
        <v>1798</v>
      </c>
      <c r="I1102" t="b">
        <v>1</v>
      </c>
      <c r="J1102" t="s">
        <v>1761</v>
      </c>
      <c r="K1102" t="s">
        <v>1824</v>
      </c>
      <c r="L1102" t="s">
        <v>1817</v>
      </c>
      <c r="M1102">
        <v>252</v>
      </c>
      <c r="N1102" t="b">
        <v>0</v>
      </c>
      <c r="O1102">
        <v>31</v>
      </c>
      <c r="P1102" t="s">
        <v>1819</v>
      </c>
      <c r="Q1102" t="s">
        <v>1753</v>
      </c>
      <c r="R1102" t="s">
        <v>1828</v>
      </c>
    </row>
    <row r="1103" spans="1:18" x14ac:dyDescent="0.25">
      <c r="A1103" t="s">
        <v>3435</v>
      </c>
      <c r="B1103" t="s">
        <v>2060</v>
      </c>
      <c r="C1103" t="s">
        <v>6</v>
      </c>
      <c r="D1103" t="s">
        <v>3434</v>
      </c>
      <c r="E1103" s="2">
        <v>40353</v>
      </c>
      <c r="F1103">
        <v>5258</v>
      </c>
      <c r="G1103" t="s">
        <v>1746</v>
      </c>
      <c r="H1103" t="s">
        <v>1747</v>
      </c>
      <c r="I1103" t="b">
        <v>0</v>
      </c>
      <c r="J1103" t="s">
        <v>1748</v>
      </c>
      <c r="K1103" t="s">
        <v>1809</v>
      </c>
      <c r="L1103" t="s">
        <v>1766</v>
      </c>
      <c r="M1103">
        <v>252</v>
      </c>
      <c r="N1103" t="b">
        <v>0</v>
      </c>
      <c r="P1103" t="s">
        <v>1752</v>
      </c>
      <c r="Q1103" t="s">
        <v>1753</v>
      </c>
    </row>
    <row r="1104" spans="1:18" x14ac:dyDescent="0.25">
      <c r="A1104" t="s">
        <v>3436</v>
      </c>
      <c r="B1104" t="s">
        <v>2060</v>
      </c>
      <c r="C1104" t="s">
        <v>186</v>
      </c>
      <c r="D1104" t="s">
        <v>1660</v>
      </c>
      <c r="E1104" s="2">
        <v>40417</v>
      </c>
      <c r="F1104">
        <v>5194</v>
      </c>
      <c r="G1104" t="s">
        <v>1746</v>
      </c>
      <c r="H1104" t="s">
        <v>1747</v>
      </c>
      <c r="I1104" t="b">
        <v>0</v>
      </c>
      <c r="J1104" t="s">
        <v>1748</v>
      </c>
      <c r="K1104" t="s">
        <v>2021</v>
      </c>
      <c r="L1104" t="s">
        <v>1775</v>
      </c>
      <c r="M1104">
        <v>251</v>
      </c>
      <c r="N1104" t="b">
        <v>0</v>
      </c>
      <c r="P1104" t="s">
        <v>1778</v>
      </c>
      <c r="Q1104" t="s">
        <v>1779</v>
      </c>
    </row>
    <row r="1105" spans="1:18" x14ac:dyDescent="0.25">
      <c r="A1105" t="s">
        <v>3437</v>
      </c>
      <c r="B1105" t="s">
        <v>2180</v>
      </c>
      <c r="C1105" t="s">
        <v>4</v>
      </c>
      <c r="D1105" t="s">
        <v>127</v>
      </c>
      <c r="E1105" s="2">
        <v>44804</v>
      </c>
      <c r="F1105">
        <v>807</v>
      </c>
      <c r="G1105" t="s">
        <v>1833</v>
      </c>
      <c r="H1105" t="s">
        <v>1747</v>
      </c>
      <c r="I1105" t="b">
        <v>0</v>
      </c>
      <c r="J1105" t="s">
        <v>1748</v>
      </c>
      <c r="K1105" t="s">
        <v>1751</v>
      </c>
      <c r="L1105" t="s">
        <v>1750</v>
      </c>
      <c r="M1105">
        <v>251</v>
      </c>
      <c r="N1105" t="b">
        <v>1</v>
      </c>
      <c r="P1105" t="s">
        <v>1752</v>
      </c>
      <c r="Q1105" t="s">
        <v>1753</v>
      </c>
      <c r="R1105" t="s">
        <v>1759</v>
      </c>
    </row>
    <row r="1106" spans="1:18" x14ac:dyDescent="0.25">
      <c r="A1106" t="s">
        <v>1024</v>
      </c>
      <c r="B1106" t="s">
        <v>1814</v>
      </c>
      <c r="C1106" t="s">
        <v>4</v>
      </c>
      <c r="D1106" t="s">
        <v>1025</v>
      </c>
      <c r="E1106" s="2">
        <v>41299</v>
      </c>
      <c r="F1106">
        <v>4312</v>
      </c>
      <c r="G1106" t="s">
        <v>1746</v>
      </c>
      <c r="H1106" t="s">
        <v>1798</v>
      </c>
      <c r="I1106" t="b">
        <v>1</v>
      </c>
      <c r="J1106" t="s">
        <v>1748</v>
      </c>
      <c r="K1106" t="s">
        <v>1770</v>
      </c>
      <c r="L1106" t="s">
        <v>1750</v>
      </c>
      <c r="M1106">
        <v>251</v>
      </c>
      <c r="N1106" t="b">
        <v>0</v>
      </c>
      <c r="O1106">
        <v>221</v>
      </c>
      <c r="P1106" t="s">
        <v>1752</v>
      </c>
      <c r="Q1106" t="s">
        <v>1753</v>
      </c>
      <c r="R1106" t="s">
        <v>1828</v>
      </c>
    </row>
    <row r="1107" spans="1:18" x14ac:dyDescent="0.25">
      <c r="A1107" t="s">
        <v>1492</v>
      </c>
      <c r="B1107" t="s">
        <v>1810</v>
      </c>
      <c r="C1107" t="s">
        <v>6</v>
      </c>
      <c r="D1107" t="s">
        <v>1493</v>
      </c>
      <c r="E1107" s="2">
        <v>39462</v>
      </c>
      <c r="F1107">
        <v>6149</v>
      </c>
      <c r="G1107" t="s">
        <v>1746</v>
      </c>
      <c r="H1107" t="s">
        <v>1747</v>
      </c>
      <c r="I1107" t="b">
        <v>0</v>
      </c>
      <c r="J1107" t="s">
        <v>1748</v>
      </c>
      <c r="K1107" t="s">
        <v>2219</v>
      </c>
      <c r="L1107" t="s">
        <v>1766</v>
      </c>
      <c r="M1107">
        <v>250</v>
      </c>
      <c r="N1107" t="b">
        <v>0</v>
      </c>
      <c r="P1107" t="s">
        <v>1752</v>
      </c>
      <c r="Q1107" t="s">
        <v>1753</v>
      </c>
    </row>
    <row r="1108" spans="1:18" x14ac:dyDescent="0.25">
      <c r="A1108" t="s">
        <v>3439</v>
      </c>
      <c r="B1108" t="s">
        <v>2144</v>
      </c>
      <c r="C1108" t="s">
        <v>6</v>
      </c>
      <c r="D1108" t="s">
        <v>3438</v>
      </c>
      <c r="E1108" s="2">
        <v>44091</v>
      </c>
      <c r="F1108">
        <v>1520</v>
      </c>
      <c r="G1108" t="s">
        <v>1833</v>
      </c>
      <c r="H1108" t="s">
        <v>1798</v>
      </c>
      <c r="I1108" t="b">
        <v>0</v>
      </c>
      <c r="J1108" t="s">
        <v>1761</v>
      </c>
      <c r="K1108" t="s">
        <v>1822</v>
      </c>
      <c r="L1108" t="s">
        <v>1766</v>
      </c>
      <c r="M1108">
        <v>250</v>
      </c>
      <c r="N1108" t="b">
        <v>0</v>
      </c>
      <c r="P1108" t="s">
        <v>1827</v>
      </c>
      <c r="Q1108" t="s">
        <v>1753</v>
      </c>
      <c r="R1108" t="s">
        <v>1759</v>
      </c>
    </row>
    <row r="1109" spans="1:18" x14ac:dyDescent="0.25">
      <c r="A1109" t="s">
        <v>3441</v>
      </c>
      <c r="B1109" t="s">
        <v>1803</v>
      </c>
      <c r="C1109" t="s">
        <v>572</v>
      </c>
      <c r="D1109" t="s">
        <v>3440</v>
      </c>
      <c r="E1109" s="2">
        <v>39888</v>
      </c>
      <c r="F1109">
        <v>5723</v>
      </c>
      <c r="G1109" t="s">
        <v>1746</v>
      </c>
      <c r="H1109" t="s">
        <v>1798</v>
      </c>
      <c r="I1109" t="b">
        <v>0</v>
      </c>
      <c r="J1109" t="s">
        <v>1761</v>
      </c>
      <c r="K1109" t="s">
        <v>1774</v>
      </c>
      <c r="L1109" t="s">
        <v>1750</v>
      </c>
      <c r="M1109">
        <v>250</v>
      </c>
      <c r="N1109" t="b">
        <v>0</v>
      </c>
      <c r="O1109">
        <v>6</v>
      </c>
      <c r="P1109" t="s">
        <v>1827</v>
      </c>
      <c r="Q1109" t="s">
        <v>1753</v>
      </c>
    </row>
    <row r="1110" spans="1:18" x14ac:dyDescent="0.25">
      <c r="A1110" t="s">
        <v>3442</v>
      </c>
      <c r="B1110" t="s">
        <v>1874</v>
      </c>
      <c r="C1110" t="s">
        <v>6</v>
      </c>
      <c r="D1110" t="s">
        <v>912</v>
      </c>
      <c r="E1110" s="2">
        <v>43900</v>
      </c>
      <c r="F1110">
        <v>1711</v>
      </c>
      <c r="G1110" t="s">
        <v>1746</v>
      </c>
      <c r="H1110" t="s">
        <v>1747</v>
      </c>
      <c r="I1110" t="b">
        <v>0</v>
      </c>
      <c r="J1110" t="s">
        <v>1748</v>
      </c>
      <c r="K1110" t="s">
        <v>1856</v>
      </c>
      <c r="L1110" t="s">
        <v>1750</v>
      </c>
      <c r="M1110">
        <v>249</v>
      </c>
      <c r="N1110" t="b">
        <v>1</v>
      </c>
      <c r="O1110">
        <v>82</v>
      </c>
      <c r="P1110" t="s">
        <v>1752</v>
      </c>
      <c r="Q1110" t="s">
        <v>1753</v>
      </c>
      <c r="R1110" t="s">
        <v>1759</v>
      </c>
    </row>
    <row r="1111" spans="1:18" x14ac:dyDescent="0.25">
      <c r="A1111" t="s">
        <v>3444</v>
      </c>
      <c r="B1111" t="s">
        <v>2173</v>
      </c>
      <c r="C1111" t="s">
        <v>4</v>
      </c>
      <c r="D1111" t="s">
        <v>3443</v>
      </c>
      <c r="E1111" s="2">
        <v>43672</v>
      </c>
      <c r="F1111">
        <v>1939</v>
      </c>
      <c r="G1111" t="s">
        <v>1746</v>
      </c>
      <c r="H1111" t="s">
        <v>2231</v>
      </c>
      <c r="I1111" t="b">
        <v>1</v>
      </c>
      <c r="J1111" t="s">
        <v>1748</v>
      </c>
      <c r="K1111" t="s">
        <v>1776</v>
      </c>
      <c r="L1111" t="s">
        <v>1817</v>
      </c>
      <c r="M1111">
        <v>248</v>
      </c>
      <c r="N1111" t="b">
        <v>0</v>
      </c>
      <c r="O1111">
        <v>3729</v>
      </c>
      <c r="P1111" t="s">
        <v>1819</v>
      </c>
      <c r="Q1111" t="s">
        <v>1753</v>
      </c>
      <c r="R1111" t="s">
        <v>1759</v>
      </c>
    </row>
    <row r="1112" spans="1:18" x14ac:dyDescent="0.25">
      <c r="A1112" t="s">
        <v>3446</v>
      </c>
      <c r="B1112" t="s">
        <v>1803</v>
      </c>
      <c r="C1112" t="s">
        <v>6</v>
      </c>
      <c r="D1112" t="s">
        <v>3445</v>
      </c>
      <c r="E1112" s="2">
        <v>41627</v>
      </c>
      <c r="F1112">
        <v>3984</v>
      </c>
      <c r="G1112" t="s">
        <v>1746</v>
      </c>
      <c r="H1112" t="s">
        <v>1798</v>
      </c>
      <c r="I1112" t="b">
        <v>1</v>
      </c>
      <c r="J1112" t="s">
        <v>1761</v>
      </c>
      <c r="K1112" t="s">
        <v>1853</v>
      </c>
      <c r="L1112" t="s">
        <v>1750</v>
      </c>
      <c r="M1112">
        <v>248</v>
      </c>
      <c r="N1112" t="b">
        <v>0</v>
      </c>
      <c r="O1112">
        <v>40</v>
      </c>
      <c r="P1112" t="s">
        <v>1752</v>
      </c>
      <c r="Q1112" t="s">
        <v>1753</v>
      </c>
    </row>
    <row r="1113" spans="1:18" x14ac:dyDescent="0.25">
      <c r="A1113" t="s">
        <v>3448</v>
      </c>
      <c r="B1113" t="s">
        <v>1820</v>
      </c>
      <c r="C1113" t="s">
        <v>6</v>
      </c>
      <c r="D1113" t="s">
        <v>3447</v>
      </c>
      <c r="E1113" s="2">
        <v>40406</v>
      </c>
      <c r="F1113">
        <v>5205</v>
      </c>
      <c r="G1113" t="s">
        <v>1746</v>
      </c>
      <c r="H1113" t="s">
        <v>1747</v>
      </c>
      <c r="I1113" t="b">
        <v>0</v>
      </c>
      <c r="J1113" t="s">
        <v>1748</v>
      </c>
      <c r="K1113" t="s">
        <v>1853</v>
      </c>
      <c r="L1113" t="s">
        <v>1766</v>
      </c>
      <c r="M1113">
        <v>247</v>
      </c>
      <c r="N1113" t="b">
        <v>0</v>
      </c>
      <c r="P1113" t="s">
        <v>1752</v>
      </c>
      <c r="Q1113" t="s">
        <v>1753</v>
      </c>
      <c r="R1113" t="s">
        <v>1759</v>
      </c>
    </row>
    <row r="1114" spans="1:18" x14ac:dyDescent="0.25">
      <c r="A1114" t="s">
        <v>3450</v>
      </c>
      <c r="B1114" t="s">
        <v>2051</v>
      </c>
      <c r="C1114" t="s">
        <v>6</v>
      </c>
      <c r="D1114" t="s">
        <v>3449</v>
      </c>
      <c r="E1114" s="2">
        <v>40833</v>
      </c>
      <c r="F1114">
        <v>4778</v>
      </c>
      <c r="G1114" t="s">
        <v>1746</v>
      </c>
      <c r="H1114" t="s">
        <v>1798</v>
      </c>
      <c r="I1114" t="b">
        <v>1</v>
      </c>
      <c r="J1114" t="s">
        <v>1761</v>
      </c>
      <c r="K1114" t="s">
        <v>1787</v>
      </c>
      <c r="L1114" t="s">
        <v>1750</v>
      </c>
      <c r="M1114">
        <v>247</v>
      </c>
      <c r="N1114" t="b">
        <v>0</v>
      </c>
      <c r="O1114">
        <v>394</v>
      </c>
      <c r="P1114" t="s">
        <v>1752</v>
      </c>
      <c r="Q1114" t="s">
        <v>1753</v>
      </c>
      <c r="R1114" t="s">
        <v>1828</v>
      </c>
    </row>
    <row r="1115" spans="1:18" x14ac:dyDescent="0.25">
      <c r="A1115" t="s">
        <v>3451</v>
      </c>
      <c r="B1115" t="s">
        <v>1876</v>
      </c>
      <c r="C1115" t="s">
        <v>4</v>
      </c>
      <c r="D1115" t="s">
        <v>1356</v>
      </c>
      <c r="E1115" s="2">
        <v>44529</v>
      </c>
      <c r="F1115">
        <v>1082</v>
      </c>
      <c r="G1115" t="s">
        <v>1746</v>
      </c>
      <c r="H1115" t="s">
        <v>1747</v>
      </c>
      <c r="I1115" t="b">
        <v>0</v>
      </c>
      <c r="J1115" t="s">
        <v>1748</v>
      </c>
      <c r="K1115" t="s">
        <v>1809</v>
      </c>
      <c r="L1115" t="s">
        <v>1766</v>
      </c>
      <c r="M1115">
        <v>247</v>
      </c>
      <c r="N1115" t="b">
        <v>0</v>
      </c>
      <c r="P1115" t="s">
        <v>2070</v>
      </c>
      <c r="Q1115" t="s">
        <v>1753</v>
      </c>
    </row>
    <row r="1116" spans="1:18" x14ac:dyDescent="0.25">
      <c r="A1116" t="s">
        <v>3453</v>
      </c>
      <c r="B1116" t="s">
        <v>2378</v>
      </c>
      <c r="C1116" t="s">
        <v>4</v>
      </c>
      <c r="D1116" t="s">
        <v>3452</v>
      </c>
      <c r="E1116" s="2">
        <v>39423</v>
      </c>
      <c r="F1116">
        <v>6188</v>
      </c>
      <c r="G1116" t="s">
        <v>1746</v>
      </c>
      <c r="H1116" t="s">
        <v>1747</v>
      </c>
      <c r="I1116" t="b">
        <v>0</v>
      </c>
      <c r="J1116" t="s">
        <v>1761</v>
      </c>
      <c r="K1116" t="s">
        <v>1880</v>
      </c>
      <c r="L1116" t="s">
        <v>1750</v>
      </c>
      <c r="M1116">
        <v>245</v>
      </c>
      <c r="N1116" t="b">
        <v>0</v>
      </c>
      <c r="O1116">
        <v>302</v>
      </c>
      <c r="P1116" t="s">
        <v>1752</v>
      </c>
      <c r="Q1116" t="s">
        <v>1753</v>
      </c>
      <c r="R1116" t="s">
        <v>1772</v>
      </c>
    </row>
    <row r="1117" spans="1:18" x14ac:dyDescent="0.25">
      <c r="A1117" t="s">
        <v>3454</v>
      </c>
      <c r="B1117" t="s">
        <v>2293</v>
      </c>
      <c r="C1117" t="s">
        <v>4</v>
      </c>
      <c r="D1117" t="s">
        <v>1006</v>
      </c>
      <c r="E1117" s="2">
        <v>44358</v>
      </c>
      <c r="F1117">
        <v>1253</v>
      </c>
      <c r="G1117" t="s">
        <v>1746</v>
      </c>
      <c r="H1117" t="s">
        <v>1798</v>
      </c>
      <c r="I1117" t="b">
        <v>0</v>
      </c>
      <c r="J1117" t="s">
        <v>1748</v>
      </c>
      <c r="K1117" t="s">
        <v>1755</v>
      </c>
      <c r="L1117" t="s">
        <v>1817</v>
      </c>
      <c r="M1117">
        <v>245</v>
      </c>
      <c r="N1117" t="b">
        <v>1</v>
      </c>
      <c r="O1117">
        <v>2823</v>
      </c>
      <c r="P1117" t="s">
        <v>1819</v>
      </c>
      <c r="Q1117" t="s">
        <v>1753</v>
      </c>
      <c r="R1117" t="s">
        <v>1759</v>
      </c>
    </row>
    <row r="1118" spans="1:18" x14ac:dyDescent="0.25">
      <c r="A1118" t="s">
        <v>3455</v>
      </c>
      <c r="B1118" t="s">
        <v>1876</v>
      </c>
      <c r="C1118" t="s">
        <v>4</v>
      </c>
      <c r="D1118" t="s">
        <v>763</v>
      </c>
      <c r="E1118" s="2">
        <v>44649</v>
      </c>
      <c r="F1118">
        <v>962</v>
      </c>
      <c r="G1118" t="s">
        <v>1833</v>
      </c>
      <c r="H1118" t="s">
        <v>1747</v>
      </c>
      <c r="I1118" t="b">
        <v>0</v>
      </c>
      <c r="J1118" t="s">
        <v>1748</v>
      </c>
      <c r="K1118" t="s">
        <v>1776</v>
      </c>
      <c r="L1118" t="s">
        <v>1750</v>
      </c>
      <c r="M1118">
        <v>244</v>
      </c>
      <c r="N1118" t="b">
        <v>1</v>
      </c>
      <c r="O1118">
        <v>128</v>
      </c>
      <c r="P1118" t="s">
        <v>1752</v>
      </c>
      <c r="Q1118" t="s">
        <v>1753</v>
      </c>
    </row>
    <row r="1119" spans="1:18" x14ac:dyDescent="0.25">
      <c r="A1119" t="s">
        <v>3456</v>
      </c>
      <c r="B1119" t="s">
        <v>1829</v>
      </c>
      <c r="C1119" t="s">
        <v>6</v>
      </c>
      <c r="D1119" t="s">
        <v>1539</v>
      </c>
      <c r="E1119" s="2">
        <v>41593</v>
      </c>
      <c r="F1119">
        <v>4018</v>
      </c>
      <c r="G1119" t="s">
        <v>1746</v>
      </c>
      <c r="H1119" t="s">
        <v>2001</v>
      </c>
      <c r="I1119" t="b">
        <v>1</v>
      </c>
      <c r="J1119" t="s">
        <v>1748</v>
      </c>
      <c r="K1119" t="s">
        <v>1824</v>
      </c>
      <c r="L1119" t="s">
        <v>1817</v>
      </c>
      <c r="M1119">
        <v>244</v>
      </c>
      <c r="N1119" t="b">
        <v>0</v>
      </c>
      <c r="O1119">
        <v>274</v>
      </c>
      <c r="P1119" t="s">
        <v>1819</v>
      </c>
      <c r="Q1119" t="s">
        <v>1753</v>
      </c>
    </row>
    <row r="1120" spans="1:18" x14ac:dyDescent="0.25">
      <c r="A1120" t="s">
        <v>1042</v>
      </c>
      <c r="B1120" t="s">
        <v>3457</v>
      </c>
      <c r="C1120" t="s">
        <v>4</v>
      </c>
      <c r="D1120" t="s">
        <v>1043</v>
      </c>
      <c r="E1120" s="2">
        <v>41978</v>
      </c>
      <c r="F1120">
        <v>3633</v>
      </c>
      <c r="G1120" t="s">
        <v>1746</v>
      </c>
      <c r="H1120" t="s">
        <v>1798</v>
      </c>
      <c r="I1120" t="b">
        <v>1</v>
      </c>
      <c r="J1120" t="s">
        <v>1748</v>
      </c>
      <c r="K1120" t="s">
        <v>1853</v>
      </c>
      <c r="L1120" t="s">
        <v>1756</v>
      </c>
      <c r="M1120">
        <v>243</v>
      </c>
      <c r="N1120" t="b">
        <v>0</v>
      </c>
      <c r="O1120">
        <v>877</v>
      </c>
      <c r="P1120" t="s">
        <v>1752</v>
      </c>
      <c r="Q1120" t="s">
        <v>1753</v>
      </c>
      <c r="R1120" t="s">
        <v>1828</v>
      </c>
    </row>
    <row r="1121" spans="1:18" x14ac:dyDescent="0.25">
      <c r="A1121" t="s">
        <v>3458</v>
      </c>
      <c r="B1121" t="s">
        <v>1810</v>
      </c>
      <c r="C1121" t="s">
        <v>6</v>
      </c>
      <c r="D1121" t="s">
        <v>1685</v>
      </c>
      <c r="E1121" s="2">
        <v>39462</v>
      </c>
      <c r="F1121">
        <v>6149</v>
      </c>
      <c r="G1121" t="s">
        <v>1746</v>
      </c>
      <c r="H1121" t="s">
        <v>1747</v>
      </c>
      <c r="I1121" t="b">
        <v>0</v>
      </c>
      <c r="J1121" t="s">
        <v>1748</v>
      </c>
      <c r="K1121" t="s">
        <v>2042</v>
      </c>
      <c r="L1121" t="s">
        <v>1766</v>
      </c>
      <c r="M1121">
        <v>242</v>
      </c>
      <c r="N1121" t="b">
        <v>0</v>
      </c>
      <c r="P1121" t="s">
        <v>1752</v>
      </c>
      <c r="Q1121" t="s">
        <v>1753</v>
      </c>
      <c r="R1121" t="s">
        <v>1759</v>
      </c>
    </row>
    <row r="1122" spans="1:18" x14ac:dyDescent="0.25">
      <c r="A1122" t="s">
        <v>3459</v>
      </c>
      <c r="B1122" t="s">
        <v>2060</v>
      </c>
      <c r="C1122" t="s">
        <v>6</v>
      </c>
      <c r="D1122" t="s">
        <v>1484</v>
      </c>
      <c r="E1122" s="2">
        <v>39234</v>
      </c>
      <c r="F1122">
        <v>6377</v>
      </c>
      <c r="G1122" t="s">
        <v>1746</v>
      </c>
      <c r="H1122" t="s">
        <v>1798</v>
      </c>
      <c r="I1122" t="b">
        <v>1</v>
      </c>
      <c r="J1122" t="s">
        <v>1761</v>
      </c>
      <c r="K1122" t="s">
        <v>1853</v>
      </c>
      <c r="L1122" t="s">
        <v>1750</v>
      </c>
      <c r="M1122">
        <v>240</v>
      </c>
      <c r="N1122" t="b">
        <v>0</v>
      </c>
      <c r="O1122">
        <v>49</v>
      </c>
      <c r="P1122" t="s">
        <v>1752</v>
      </c>
      <c r="Q1122" t="s">
        <v>1753</v>
      </c>
      <c r="R1122" t="s">
        <v>1828</v>
      </c>
    </row>
    <row r="1123" spans="1:18" x14ac:dyDescent="0.25">
      <c r="A1123" t="s">
        <v>3461</v>
      </c>
      <c r="B1123" t="s">
        <v>2133</v>
      </c>
      <c r="C1123" t="s">
        <v>4</v>
      </c>
      <c r="D1123" t="s">
        <v>3460</v>
      </c>
      <c r="E1123" s="2">
        <v>44152</v>
      </c>
      <c r="F1123">
        <v>1459</v>
      </c>
      <c r="G1123" t="s">
        <v>1746</v>
      </c>
      <c r="H1123" t="s">
        <v>1798</v>
      </c>
      <c r="I1123" t="b">
        <v>0</v>
      </c>
      <c r="J1123" t="s">
        <v>1748</v>
      </c>
      <c r="K1123" t="s">
        <v>1770</v>
      </c>
      <c r="L1123" t="s">
        <v>1750</v>
      </c>
      <c r="M1123">
        <v>238</v>
      </c>
      <c r="N1123" t="b">
        <v>0</v>
      </c>
      <c r="O1123">
        <v>47</v>
      </c>
      <c r="P1123" t="s">
        <v>1752</v>
      </c>
      <c r="Q1123" t="s">
        <v>1753</v>
      </c>
      <c r="R1123" t="s">
        <v>1828</v>
      </c>
    </row>
    <row r="1124" spans="1:18" x14ac:dyDescent="0.25">
      <c r="A1124" t="s">
        <v>3463</v>
      </c>
      <c r="B1124" t="s">
        <v>2871</v>
      </c>
      <c r="C1124" t="s">
        <v>4</v>
      </c>
      <c r="D1124" t="s">
        <v>3462</v>
      </c>
      <c r="E1124" s="2">
        <v>45148</v>
      </c>
      <c r="F1124">
        <v>463</v>
      </c>
      <c r="G1124" t="s">
        <v>1746</v>
      </c>
      <c r="H1124" t="s">
        <v>1747</v>
      </c>
      <c r="I1124" t="b">
        <v>0</v>
      </c>
      <c r="J1124" t="s">
        <v>1748</v>
      </c>
      <c r="K1124" t="s">
        <v>1774</v>
      </c>
      <c r="L1124" t="s">
        <v>1817</v>
      </c>
      <c r="M1124">
        <v>238</v>
      </c>
      <c r="N1124" t="b">
        <v>1</v>
      </c>
      <c r="O1124">
        <v>504</v>
      </c>
      <c r="P1124" t="s">
        <v>1819</v>
      </c>
      <c r="Q1124" t="s">
        <v>1753</v>
      </c>
      <c r="R1124" t="s">
        <v>1759</v>
      </c>
    </row>
    <row r="1125" spans="1:18" x14ac:dyDescent="0.25">
      <c r="A1125" t="s">
        <v>3464</v>
      </c>
      <c r="B1125" t="s">
        <v>1847</v>
      </c>
      <c r="C1125" t="s">
        <v>6</v>
      </c>
      <c r="D1125" t="s">
        <v>892</v>
      </c>
      <c r="E1125" s="2">
        <v>39724</v>
      </c>
      <c r="F1125">
        <v>5887</v>
      </c>
      <c r="G1125" t="s">
        <v>1746</v>
      </c>
      <c r="H1125" t="s">
        <v>1798</v>
      </c>
      <c r="I1125" t="b">
        <v>0</v>
      </c>
      <c r="J1125" t="s">
        <v>1748</v>
      </c>
      <c r="K1125" t="s">
        <v>1868</v>
      </c>
      <c r="L1125" t="s">
        <v>1766</v>
      </c>
      <c r="M1125">
        <v>237</v>
      </c>
      <c r="N1125" t="b">
        <v>0</v>
      </c>
      <c r="P1125" t="s">
        <v>1752</v>
      </c>
      <c r="Q1125" t="s">
        <v>1753</v>
      </c>
      <c r="R1125" t="s">
        <v>2028</v>
      </c>
    </row>
    <row r="1126" spans="1:18" x14ac:dyDescent="0.25">
      <c r="A1126" t="s">
        <v>3466</v>
      </c>
      <c r="B1126" t="s">
        <v>2173</v>
      </c>
      <c r="C1126" t="s">
        <v>4</v>
      </c>
      <c r="D1126" t="s">
        <v>3465</v>
      </c>
      <c r="E1126" s="2">
        <v>43965</v>
      </c>
      <c r="F1126">
        <v>1646</v>
      </c>
      <c r="G1126" t="s">
        <v>1746</v>
      </c>
      <c r="H1126" t="s">
        <v>2231</v>
      </c>
      <c r="I1126" t="b">
        <v>1</v>
      </c>
      <c r="J1126" t="s">
        <v>1748</v>
      </c>
      <c r="K1126" t="s">
        <v>1863</v>
      </c>
      <c r="L1126" t="s">
        <v>1817</v>
      </c>
      <c r="M1126">
        <v>236</v>
      </c>
      <c r="N1126" t="b">
        <v>0</v>
      </c>
      <c r="O1126">
        <v>492</v>
      </c>
      <c r="P1126" t="s">
        <v>1819</v>
      </c>
      <c r="Q1126" t="s">
        <v>1753</v>
      </c>
      <c r="R1126" t="s">
        <v>1828</v>
      </c>
    </row>
    <row r="1127" spans="1:18" x14ac:dyDescent="0.25">
      <c r="A1127" t="s">
        <v>3468</v>
      </c>
      <c r="B1127" t="s">
        <v>1803</v>
      </c>
      <c r="C1127" t="s">
        <v>572</v>
      </c>
      <c r="D1127" t="s">
        <v>3467</v>
      </c>
      <c r="E1127" s="2">
        <v>42128</v>
      </c>
      <c r="F1127">
        <v>3483</v>
      </c>
      <c r="G1127" t="s">
        <v>1746</v>
      </c>
      <c r="H1127" t="s">
        <v>1798</v>
      </c>
      <c r="I1127" t="b">
        <v>0</v>
      </c>
      <c r="J1127" t="s">
        <v>1761</v>
      </c>
      <c r="K1127" t="s">
        <v>1824</v>
      </c>
      <c r="L1127" t="s">
        <v>1750</v>
      </c>
      <c r="M1127">
        <v>236</v>
      </c>
      <c r="N1127" t="b">
        <v>1</v>
      </c>
      <c r="O1127">
        <v>50</v>
      </c>
      <c r="P1127" t="s">
        <v>1752</v>
      </c>
      <c r="Q1127" t="s">
        <v>1753</v>
      </c>
      <c r="R1127" t="s">
        <v>1828</v>
      </c>
    </row>
    <row r="1128" spans="1:18" x14ac:dyDescent="0.25">
      <c r="A1128" t="s">
        <v>3470</v>
      </c>
      <c r="B1128" t="s">
        <v>2173</v>
      </c>
      <c r="C1128" t="s">
        <v>4</v>
      </c>
      <c r="D1128" t="s">
        <v>3469</v>
      </c>
      <c r="E1128" s="2">
        <v>45363</v>
      </c>
      <c r="F1128">
        <v>248</v>
      </c>
      <c r="G1128" t="s">
        <v>1746</v>
      </c>
      <c r="H1128" t="s">
        <v>2231</v>
      </c>
      <c r="I1128" t="b">
        <v>1</v>
      </c>
      <c r="J1128" t="s">
        <v>1748</v>
      </c>
      <c r="K1128" t="s">
        <v>1986</v>
      </c>
      <c r="L1128" t="s">
        <v>1756</v>
      </c>
      <c r="M1128">
        <v>236</v>
      </c>
      <c r="N1128" t="b">
        <v>0</v>
      </c>
      <c r="O1128">
        <v>1413</v>
      </c>
      <c r="P1128" t="s">
        <v>1752</v>
      </c>
      <c r="Q1128" t="s">
        <v>1753</v>
      </c>
      <c r="R1128" t="s">
        <v>1759</v>
      </c>
    </row>
    <row r="1129" spans="1:18" x14ac:dyDescent="0.25">
      <c r="A1129" t="s">
        <v>3472</v>
      </c>
      <c r="B1129" t="s">
        <v>1803</v>
      </c>
      <c r="C1129" t="s">
        <v>572</v>
      </c>
      <c r="D1129" t="s">
        <v>3471</v>
      </c>
      <c r="E1129" s="2">
        <v>39906</v>
      </c>
      <c r="F1129">
        <v>5705</v>
      </c>
      <c r="G1129" t="s">
        <v>1746</v>
      </c>
      <c r="H1129" t="s">
        <v>1798</v>
      </c>
      <c r="I1129" t="b">
        <v>0</v>
      </c>
      <c r="J1129" t="s">
        <v>1761</v>
      </c>
      <c r="K1129" t="s">
        <v>1853</v>
      </c>
      <c r="L1129" t="s">
        <v>1750</v>
      </c>
      <c r="M1129">
        <v>235</v>
      </c>
      <c r="N1129" t="b">
        <v>0</v>
      </c>
      <c r="O1129">
        <v>25</v>
      </c>
      <c r="P1129" t="s">
        <v>1752</v>
      </c>
      <c r="Q1129" t="s">
        <v>1753</v>
      </c>
    </row>
    <row r="1130" spans="1:18" x14ac:dyDescent="0.25">
      <c r="A1130" t="s">
        <v>3474</v>
      </c>
      <c r="B1130" t="s">
        <v>2965</v>
      </c>
      <c r="C1130" t="s">
        <v>4</v>
      </c>
      <c r="D1130" t="s">
        <v>3473</v>
      </c>
      <c r="E1130" s="2">
        <v>44498</v>
      </c>
      <c r="F1130">
        <v>1113</v>
      </c>
      <c r="G1130" t="s">
        <v>1746</v>
      </c>
      <c r="H1130" t="s">
        <v>1747</v>
      </c>
      <c r="I1130" t="b">
        <v>0</v>
      </c>
      <c r="J1130" t="s">
        <v>1748</v>
      </c>
      <c r="K1130" t="s">
        <v>1776</v>
      </c>
      <c r="L1130" t="s">
        <v>1750</v>
      </c>
      <c r="M1130">
        <v>234</v>
      </c>
      <c r="N1130" t="b">
        <v>1</v>
      </c>
      <c r="O1130">
        <v>253</v>
      </c>
      <c r="P1130" t="s">
        <v>1752</v>
      </c>
      <c r="Q1130" t="s">
        <v>1753</v>
      </c>
      <c r="R1130" t="s">
        <v>1759</v>
      </c>
    </row>
    <row r="1131" spans="1:18" x14ac:dyDescent="0.25">
      <c r="A1131" t="s">
        <v>3475</v>
      </c>
      <c r="B1131" t="s">
        <v>1945</v>
      </c>
      <c r="C1131" t="s">
        <v>6</v>
      </c>
      <c r="D1131" t="s">
        <v>76</v>
      </c>
      <c r="E1131" s="2">
        <v>39870</v>
      </c>
      <c r="F1131">
        <v>5741</v>
      </c>
      <c r="G1131" t="s">
        <v>1746</v>
      </c>
      <c r="H1131" t="s">
        <v>1798</v>
      </c>
      <c r="I1131" t="b">
        <v>0</v>
      </c>
      <c r="J1131" t="s">
        <v>1748</v>
      </c>
      <c r="K1131" t="s">
        <v>1834</v>
      </c>
      <c r="L1131" t="s">
        <v>1766</v>
      </c>
      <c r="M1131">
        <v>234</v>
      </c>
      <c r="N1131" t="b">
        <v>0</v>
      </c>
      <c r="P1131" t="s">
        <v>1752</v>
      </c>
      <c r="Q1131" t="s">
        <v>1753</v>
      </c>
    </row>
    <row r="1132" spans="1:18" x14ac:dyDescent="0.25">
      <c r="A1132" t="s">
        <v>1654</v>
      </c>
      <c r="B1132" t="s">
        <v>1810</v>
      </c>
      <c r="C1132" t="s">
        <v>6</v>
      </c>
      <c r="D1132" t="s">
        <v>1655</v>
      </c>
      <c r="E1132" s="2">
        <v>39268</v>
      </c>
      <c r="F1132">
        <v>6343</v>
      </c>
      <c r="G1132" t="s">
        <v>1746</v>
      </c>
      <c r="H1132" t="s">
        <v>1747</v>
      </c>
      <c r="I1132" t="b">
        <v>0</v>
      </c>
      <c r="J1132" t="s">
        <v>1748</v>
      </c>
      <c r="K1132" t="s">
        <v>2219</v>
      </c>
      <c r="L1132" t="s">
        <v>1766</v>
      </c>
      <c r="M1132">
        <v>234</v>
      </c>
      <c r="N1132" t="b">
        <v>0</v>
      </c>
      <c r="P1132" t="s">
        <v>1752</v>
      </c>
      <c r="Q1132" t="s">
        <v>1753</v>
      </c>
    </row>
    <row r="1133" spans="1:18" x14ac:dyDescent="0.25">
      <c r="A1133" t="s">
        <v>3477</v>
      </c>
      <c r="B1133" t="s">
        <v>2177</v>
      </c>
      <c r="C1133" t="s">
        <v>4</v>
      </c>
      <c r="D1133" t="s">
        <v>3476</v>
      </c>
      <c r="E1133" s="2">
        <v>43476</v>
      </c>
      <c r="F1133">
        <v>2135</v>
      </c>
      <c r="G1133" t="s">
        <v>1746</v>
      </c>
      <c r="H1133" t="s">
        <v>1805</v>
      </c>
      <c r="I1133" t="b">
        <v>1</v>
      </c>
      <c r="J1133" t="s">
        <v>1761</v>
      </c>
      <c r="K1133" t="s">
        <v>1822</v>
      </c>
      <c r="L1133" t="s">
        <v>1817</v>
      </c>
      <c r="M1133">
        <v>233</v>
      </c>
      <c r="N1133" t="b">
        <v>0</v>
      </c>
      <c r="O1133">
        <v>12</v>
      </c>
      <c r="P1133" t="s">
        <v>1819</v>
      </c>
      <c r="Q1133" t="s">
        <v>1753</v>
      </c>
    </row>
    <row r="1134" spans="1:18" x14ac:dyDescent="0.25">
      <c r="A1134" t="s">
        <v>3479</v>
      </c>
      <c r="B1134" t="s">
        <v>2564</v>
      </c>
      <c r="C1134" t="s">
        <v>4</v>
      </c>
      <c r="D1134" t="s">
        <v>3478</v>
      </c>
      <c r="E1134" s="2">
        <v>44742</v>
      </c>
      <c r="F1134">
        <v>869</v>
      </c>
      <c r="G1134" t="s">
        <v>1746</v>
      </c>
      <c r="H1134" t="s">
        <v>1798</v>
      </c>
      <c r="I1134" t="b">
        <v>0</v>
      </c>
      <c r="J1134" t="s">
        <v>1748</v>
      </c>
      <c r="K1134" t="s">
        <v>1771</v>
      </c>
      <c r="L1134" t="s">
        <v>1750</v>
      </c>
      <c r="M1134">
        <v>233</v>
      </c>
      <c r="N1134" t="b">
        <v>1</v>
      </c>
      <c r="O1134">
        <v>46</v>
      </c>
      <c r="P1134" t="s">
        <v>1752</v>
      </c>
      <c r="Q1134" t="s">
        <v>1753</v>
      </c>
    </row>
    <row r="1135" spans="1:18" x14ac:dyDescent="0.25">
      <c r="A1135" t="s">
        <v>3480</v>
      </c>
      <c r="B1135" t="s">
        <v>1754</v>
      </c>
      <c r="C1135" t="s">
        <v>4</v>
      </c>
      <c r="D1135" t="s">
        <v>681</v>
      </c>
      <c r="E1135" s="2">
        <v>38674</v>
      </c>
      <c r="F1135">
        <v>6937</v>
      </c>
      <c r="G1135" t="s">
        <v>1746</v>
      </c>
      <c r="H1135" t="s">
        <v>1747</v>
      </c>
      <c r="I1135" t="b">
        <v>1</v>
      </c>
      <c r="J1135" t="s">
        <v>1761</v>
      </c>
      <c r="K1135" t="s">
        <v>1835</v>
      </c>
      <c r="L1135" t="s">
        <v>1750</v>
      </c>
      <c r="M1135">
        <v>233</v>
      </c>
      <c r="N1135" t="b">
        <v>0</v>
      </c>
      <c r="O1135">
        <v>99</v>
      </c>
      <c r="P1135" t="s">
        <v>1752</v>
      </c>
      <c r="Q1135" t="s">
        <v>1753</v>
      </c>
    </row>
    <row r="1136" spans="1:18" x14ac:dyDescent="0.25">
      <c r="A1136" t="s">
        <v>3482</v>
      </c>
      <c r="B1136" t="s">
        <v>2157</v>
      </c>
      <c r="C1136" t="s">
        <v>4</v>
      </c>
      <c r="D1136" t="s">
        <v>3481</v>
      </c>
      <c r="E1136" s="2">
        <v>45233</v>
      </c>
      <c r="F1136">
        <v>378</v>
      </c>
      <c r="G1136" t="s">
        <v>1746</v>
      </c>
      <c r="H1136" t="s">
        <v>1798</v>
      </c>
      <c r="I1136" t="b">
        <v>0</v>
      </c>
      <c r="J1136" t="s">
        <v>1748</v>
      </c>
      <c r="K1136" t="s">
        <v>1853</v>
      </c>
      <c r="L1136" t="s">
        <v>1750</v>
      </c>
      <c r="M1136">
        <v>233</v>
      </c>
      <c r="N1136" t="b">
        <v>1</v>
      </c>
      <c r="O1136">
        <v>100</v>
      </c>
      <c r="P1136" t="s">
        <v>1752</v>
      </c>
      <c r="Q1136" t="s">
        <v>1753</v>
      </c>
      <c r="R1136" t="s">
        <v>1759</v>
      </c>
    </row>
    <row r="1137" spans="1:18" x14ac:dyDescent="0.25">
      <c r="A1137" t="s">
        <v>3483</v>
      </c>
      <c r="B1137" t="s">
        <v>1810</v>
      </c>
      <c r="C1137" t="s">
        <v>4</v>
      </c>
      <c r="D1137" t="s">
        <v>604</v>
      </c>
      <c r="E1137" s="2">
        <v>42251</v>
      </c>
      <c r="F1137">
        <v>3360</v>
      </c>
      <c r="G1137" t="s">
        <v>1746</v>
      </c>
      <c r="H1137" t="s">
        <v>1798</v>
      </c>
      <c r="I1137" t="b">
        <v>1</v>
      </c>
      <c r="J1137" t="s">
        <v>1748</v>
      </c>
      <c r="K1137" t="s">
        <v>1856</v>
      </c>
      <c r="L1137" t="s">
        <v>1756</v>
      </c>
      <c r="M1137">
        <v>232</v>
      </c>
      <c r="N1137" t="b">
        <v>0</v>
      </c>
      <c r="O1137">
        <v>161</v>
      </c>
      <c r="P1137" t="s">
        <v>1752</v>
      </c>
      <c r="Q1137" t="s">
        <v>1753</v>
      </c>
      <c r="R1137" t="s">
        <v>1828</v>
      </c>
    </row>
    <row r="1138" spans="1:18" x14ac:dyDescent="0.25">
      <c r="A1138" t="s">
        <v>3485</v>
      </c>
      <c r="B1138" t="s">
        <v>1820</v>
      </c>
      <c r="C1138" t="s">
        <v>6</v>
      </c>
      <c r="D1138" t="s">
        <v>3484</v>
      </c>
      <c r="E1138" s="2">
        <v>42062</v>
      </c>
      <c r="F1138">
        <v>3549</v>
      </c>
      <c r="G1138" t="s">
        <v>1746</v>
      </c>
      <c r="H1138" t="s">
        <v>1747</v>
      </c>
      <c r="I1138" t="b">
        <v>1</v>
      </c>
      <c r="J1138" t="s">
        <v>1748</v>
      </c>
      <c r="K1138" t="s">
        <v>1853</v>
      </c>
      <c r="L1138" t="s">
        <v>1750</v>
      </c>
      <c r="M1138">
        <v>232</v>
      </c>
      <c r="N1138" t="b">
        <v>0</v>
      </c>
      <c r="O1138">
        <v>413</v>
      </c>
      <c r="P1138" t="s">
        <v>1752</v>
      </c>
      <c r="Q1138" t="s">
        <v>1753</v>
      </c>
      <c r="R1138" t="s">
        <v>1828</v>
      </c>
    </row>
    <row r="1139" spans="1:18" x14ac:dyDescent="0.25">
      <c r="A1139" t="s">
        <v>3487</v>
      </c>
      <c r="B1139" t="s">
        <v>1803</v>
      </c>
      <c r="C1139" t="s">
        <v>4</v>
      </c>
      <c r="D1139" t="s">
        <v>3486</v>
      </c>
      <c r="E1139" s="2">
        <v>42053</v>
      </c>
      <c r="F1139">
        <v>3558</v>
      </c>
      <c r="G1139" t="s">
        <v>1746</v>
      </c>
      <c r="H1139" t="s">
        <v>1798</v>
      </c>
      <c r="I1139" t="b">
        <v>1</v>
      </c>
      <c r="J1139" t="s">
        <v>1748</v>
      </c>
      <c r="K1139" t="s">
        <v>1853</v>
      </c>
      <c r="L1139" t="s">
        <v>1756</v>
      </c>
      <c r="M1139">
        <v>231</v>
      </c>
      <c r="N1139" t="b">
        <v>0</v>
      </c>
      <c r="O1139">
        <v>855</v>
      </c>
      <c r="P1139" t="s">
        <v>1752</v>
      </c>
      <c r="Q1139" t="s">
        <v>1753</v>
      </c>
      <c r="R1139" t="s">
        <v>1828</v>
      </c>
    </row>
    <row r="1140" spans="1:18" x14ac:dyDescent="0.25">
      <c r="A1140" t="s">
        <v>3488</v>
      </c>
      <c r="B1140" t="s">
        <v>2035</v>
      </c>
      <c r="C1140" t="s">
        <v>6</v>
      </c>
      <c r="D1140" t="s">
        <v>176</v>
      </c>
      <c r="E1140" s="2">
        <v>43027</v>
      </c>
      <c r="F1140">
        <v>2584</v>
      </c>
      <c r="G1140" t="s">
        <v>1746</v>
      </c>
      <c r="H1140" t="s">
        <v>1798</v>
      </c>
      <c r="I1140" t="b">
        <v>0</v>
      </c>
      <c r="J1140" t="s">
        <v>1761</v>
      </c>
      <c r="K1140" t="s">
        <v>1909</v>
      </c>
      <c r="L1140" t="s">
        <v>1750</v>
      </c>
      <c r="M1140">
        <v>231</v>
      </c>
      <c r="N1140" t="b">
        <v>1</v>
      </c>
      <c r="O1140">
        <v>118</v>
      </c>
      <c r="P1140" t="s">
        <v>1752</v>
      </c>
      <c r="Q1140" t="s">
        <v>1753</v>
      </c>
    </row>
    <row r="1141" spans="1:18" x14ac:dyDescent="0.25">
      <c r="A1141" t="s">
        <v>3490</v>
      </c>
      <c r="B1141" t="s">
        <v>2060</v>
      </c>
      <c r="C1141" t="s">
        <v>6</v>
      </c>
      <c r="D1141" t="s">
        <v>3489</v>
      </c>
      <c r="E1141" s="2">
        <v>39259</v>
      </c>
      <c r="F1141">
        <v>6352</v>
      </c>
      <c r="G1141" t="s">
        <v>1746</v>
      </c>
      <c r="H1141" t="s">
        <v>1798</v>
      </c>
      <c r="I1141" t="b">
        <v>0</v>
      </c>
      <c r="J1141" t="s">
        <v>1748</v>
      </c>
      <c r="K1141" t="s">
        <v>1825</v>
      </c>
      <c r="L1141" t="s">
        <v>1750</v>
      </c>
      <c r="M1141">
        <v>231</v>
      </c>
      <c r="N1141" t="b">
        <v>1</v>
      </c>
      <c r="O1141">
        <v>33</v>
      </c>
      <c r="P1141" t="s">
        <v>1752</v>
      </c>
      <c r="Q1141" t="s">
        <v>1753</v>
      </c>
      <c r="R1141" t="s">
        <v>1828</v>
      </c>
    </row>
    <row r="1142" spans="1:18" x14ac:dyDescent="0.25">
      <c r="A1142" t="s">
        <v>3491</v>
      </c>
      <c r="B1142" t="s">
        <v>2220</v>
      </c>
      <c r="C1142" t="s">
        <v>4</v>
      </c>
      <c r="D1142" t="s">
        <v>415</v>
      </c>
      <c r="E1142" s="2">
        <v>40163</v>
      </c>
      <c r="F1142">
        <v>5448</v>
      </c>
      <c r="G1142" t="s">
        <v>1746</v>
      </c>
      <c r="H1142" t="s">
        <v>1747</v>
      </c>
      <c r="I1142" t="b">
        <v>0</v>
      </c>
      <c r="J1142" t="s">
        <v>1748</v>
      </c>
      <c r="K1142" t="s">
        <v>1934</v>
      </c>
      <c r="L1142" t="s">
        <v>1766</v>
      </c>
      <c r="M1142">
        <v>230</v>
      </c>
      <c r="N1142" t="b">
        <v>0</v>
      </c>
      <c r="P1142" t="s">
        <v>1752</v>
      </c>
      <c r="Q1142" t="s">
        <v>1753</v>
      </c>
    </row>
    <row r="1143" spans="1:18" x14ac:dyDescent="0.25">
      <c r="A1143" t="s">
        <v>3493</v>
      </c>
      <c r="B1143" t="s">
        <v>1820</v>
      </c>
      <c r="C1143" t="s">
        <v>6</v>
      </c>
      <c r="D1143" t="s">
        <v>3492</v>
      </c>
      <c r="E1143" s="2">
        <v>42094</v>
      </c>
      <c r="F1143">
        <v>3517</v>
      </c>
      <c r="G1143" t="s">
        <v>1746</v>
      </c>
      <c r="H1143" t="s">
        <v>1747</v>
      </c>
      <c r="I1143" t="b">
        <v>1</v>
      </c>
      <c r="J1143" t="s">
        <v>1748</v>
      </c>
      <c r="K1143" t="s">
        <v>1825</v>
      </c>
      <c r="L1143" t="s">
        <v>1750</v>
      </c>
      <c r="M1143">
        <v>230</v>
      </c>
      <c r="N1143" t="b">
        <v>0</v>
      </c>
      <c r="O1143">
        <v>220</v>
      </c>
      <c r="P1143" t="s">
        <v>1752</v>
      </c>
      <c r="Q1143" t="s">
        <v>1753</v>
      </c>
      <c r="R1143" t="s">
        <v>1828</v>
      </c>
    </row>
    <row r="1144" spans="1:18" x14ac:dyDescent="0.25">
      <c r="A1144" t="s">
        <v>3495</v>
      </c>
      <c r="B1144" t="s">
        <v>2173</v>
      </c>
      <c r="C1144" t="s">
        <v>4</v>
      </c>
      <c r="D1144" t="s">
        <v>3494</v>
      </c>
      <c r="E1144" s="2">
        <v>42880</v>
      </c>
      <c r="F1144">
        <v>2731</v>
      </c>
      <c r="G1144" t="s">
        <v>1746</v>
      </c>
      <c r="H1144" t="s">
        <v>2231</v>
      </c>
      <c r="I1144" t="b">
        <v>0</v>
      </c>
      <c r="J1144" t="s">
        <v>1748</v>
      </c>
      <c r="K1144" t="s">
        <v>1808</v>
      </c>
      <c r="L1144" t="s">
        <v>2102</v>
      </c>
      <c r="M1144">
        <v>230</v>
      </c>
      <c r="N1144" t="b">
        <v>0</v>
      </c>
      <c r="P1144" t="s">
        <v>2070</v>
      </c>
      <c r="Q1144" t="s">
        <v>1753</v>
      </c>
    </row>
    <row r="1145" spans="1:18" x14ac:dyDescent="0.25">
      <c r="A1145" t="s">
        <v>3497</v>
      </c>
      <c r="B1145" t="s">
        <v>1907</v>
      </c>
      <c r="C1145" t="s">
        <v>4</v>
      </c>
      <c r="D1145" t="s">
        <v>3496</v>
      </c>
      <c r="E1145" s="2">
        <v>42877</v>
      </c>
      <c r="F1145">
        <v>2734</v>
      </c>
      <c r="G1145" t="s">
        <v>1746</v>
      </c>
      <c r="H1145" t="s">
        <v>1747</v>
      </c>
      <c r="I1145" t="b">
        <v>0</v>
      </c>
      <c r="J1145" t="s">
        <v>1748</v>
      </c>
      <c r="K1145" t="s">
        <v>1809</v>
      </c>
      <c r="L1145" t="s">
        <v>1766</v>
      </c>
      <c r="M1145">
        <v>229</v>
      </c>
      <c r="N1145" t="b">
        <v>0</v>
      </c>
      <c r="P1145" t="s">
        <v>2070</v>
      </c>
      <c r="Q1145" t="s">
        <v>1753</v>
      </c>
    </row>
    <row r="1146" spans="1:18" x14ac:dyDescent="0.25">
      <c r="A1146" t="s">
        <v>3498</v>
      </c>
      <c r="B1146" t="s">
        <v>2269</v>
      </c>
      <c r="C1146" t="s">
        <v>6</v>
      </c>
      <c r="D1146" t="s">
        <v>1534</v>
      </c>
      <c r="E1146" s="2">
        <v>41500</v>
      </c>
      <c r="F1146">
        <v>4111</v>
      </c>
      <c r="G1146" t="s">
        <v>1746</v>
      </c>
      <c r="H1146" t="s">
        <v>1798</v>
      </c>
      <c r="I1146" t="b">
        <v>1</v>
      </c>
      <c r="J1146" t="s">
        <v>1748</v>
      </c>
      <c r="K1146" t="s">
        <v>1824</v>
      </c>
      <c r="L1146" t="s">
        <v>1817</v>
      </c>
      <c r="M1146">
        <v>229</v>
      </c>
      <c r="N1146" t="b">
        <v>0</v>
      </c>
      <c r="O1146">
        <v>39</v>
      </c>
      <c r="P1146" t="s">
        <v>1819</v>
      </c>
      <c r="Q1146" t="s">
        <v>1753</v>
      </c>
      <c r="R1146" t="s">
        <v>1828</v>
      </c>
    </row>
    <row r="1147" spans="1:18" x14ac:dyDescent="0.25">
      <c r="A1147" t="s">
        <v>3500</v>
      </c>
      <c r="B1147" t="s">
        <v>2378</v>
      </c>
      <c r="C1147" t="s">
        <v>4</v>
      </c>
      <c r="D1147" t="s">
        <v>3499</v>
      </c>
      <c r="E1147" s="2">
        <v>39423</v>
      </c>
      <c r="F1147">
        <v>6188</v>
      </c>
      <c r="G1147" t="s">
        <v>1746</v>
      </c>
      <c r="H1147" t="s">
        <v>1747</v>
      </c>
      <c r="I1147" t="b">
        <v>0</v>
      </c>
      <c r="J1147" t="s">
        <v>1761</v>
      </c>
      <c r="K1147" t="s">
        <v>1853</v>
      </c>
      <c r="L1147" t="s">
        <v>1756</v>
      </c>
      <c r="M1147">
        <v>229</v>
      </c>
      <c r="N1147" t="b">
        <v>0</v>
      </c>
      <c r="O1147">
        <v>123</v>
      </c>
      <c r="P1147" t="s">
        <v>1752</v>
      </c>
      <c r="Q1147" t="s">
        <v>1753</v>
      </c>
    </row>
    <row r="1148" spans="1:18" x14ac:dyDescent="0.25">
      <c r="A1148" t="s">
        <v>3502</v>
      </c>
      <c r="B1148" t="s">
        <v>2173</v>
      </c>
      <c r="C1148" t="s">
        <v>6</v>
      </c>
      <c r="D1148" t="s">
        <v>3501</v>
      </c>
      <c r="E1148" s="2">
        <v>43585</v>
      </c>
      <c r="F1148">
        <v>2026</v>
      </c>
      <c r="G1148" t="s">
        <v>1746</v>
      </c>
      <c r="H1148" t="s">
        <v>2231</v>
      </c>
      <c r="I1148" t="b">
        <v>0</v>
      </c>
      <c r="J1148" t="s">
        <v>1748</v>
      </c>
      <c r="K1148" t="s">
        <v>1770</v>
      </c>
      <c r="L1148" t="s">
        <v>1817</v>
      </c>
      <c r="M1148">
        <v>228</v>
      </c>
      <c r="N1148" t="b">
        <v>1</v>
      </c>
      <c r="O1148">
        <v>105</v>
      </c>
      <c r="P1148" t="s">
        <v>1819</v>
      </c>
      <c r="Q1148" t="s">
        <v>1753</v>
      </c>
      <c r="R1148" t="s">
        <v>1759</v>
      </c>
    </row>
    <row r="1149" spans="1:18" x14ac:dyDescent="0.25">
      <c r="A1149" t="s">
        <v>3503</v>
      </c>
      <c r="B1149" t="s">
        <v>2071</v>
      </c>
      <c r="C1149" t="s">
        <v>4</v>
      </c>
      <c r="D1149" t="s">
        <v>1462</v>
      </c>
      <c r="E1149" s="2">
        <v>43545</v>
      </c>
      <c r="F1149">
        <v>2066</v>
      </c>
      <c r="G1149" t="s">
        <v>1746</v>
      </c>
      <c r="H1149" t="s">
        <v>1747</v>
      </c>
      <c r="I1149" t="b">
        <v>0</v>
      </c>
      <c r="J1149" t="s">
        <v>1748</v>
      </c>
      <c r="K1149" t="s">
        <v>1824</v>
      </c>
      <c r="L1149" t="s">
        <v>1750</v>
      </c>
      <c r="M1149">
        <v>227</v>
      </c>
      <c r="N1149" t="b">
        <v>0</v>
      </c>
      <c r="O1149">
        <v>8</v>
      </c>
      <c r="P1149" t="s">
        <v>1819</v>
      </c>
      <c r="Q1149" t="s">
        <v>1753</v>
      </c>
    </row>
    <row r="1150" spans="1:18" x14ac:dyDescent="0.25">
      <c r="A1150" t="s">
        <v>3504</v>
      </c>
      <c r="B1150" t="s">
        <v>2046</v>
      </c>
      <c r="C1150" t="s">
        <v>4</v>
      </c>
      <c r="D1150" t="s">
        <v>1100</v>
      </c>
      <c r="E1150" s="2">
        <v>41547</v>
      </c>
      <c r="F1150">
        <v>4064</v>
      </c>
      <c r="G1150" t="s">
        <v>1746</v>
      </c>
      <c r="H1150" t="s">
        <v>3505</v>
      </c>
      <c r="I1150" t="b">
        <v>1</v>
      </c>
      <c r="J1150" t="s">
        <v>1748</v>
      </c>
      <c r="K1150" t="s">
        <v>2021</v>
      </c>
      <c r="L1150" t="s">
        <v>1750</v>
      </c>
      <c r="M1150">
        <v>227</v>
      </c>
      <c r="N1150" t="b">
        <v>0</v>
      </c>
      <c r="O1150">
        <v>57</v>
      </c>
      <c r="P1150" t="s">
        <v>1752</v>
      </c>
      <c r="Q1150" t="s">
        <v>1753</v>
      </c>
    </row>
    <row r="1151" spans="1:18" x14ac:dyDescent="0.25">
      <c r="A1151" t="s">
        <v>3507</v>
      </c>
      <c r="B1151" t="s">
        <v>1803</v>
      </c>
      <c r="C1151" t="s">
        <v>572</v>
      </c>
      <c r="D1151" t="s">
        <v>3506</v>
      </c>
      <c r="E1151" s="2">
        <v>43686</v>
      </c>
      <c r="F1151">
        <v>1925</v>
      </c>
      <c r="G1151" t="s">
        <v>1746</v>
      </c>
      <c r="H1151" t="s">
        <v>1747</v>
      </c>
      <c r="I1151" t="b">
        <v>0</v>
      </c>
      <c r="J1151" t="s">
        <v>1761</v>
      </c>
      <c r="K1151" t="s">
        <v>1749</v>
      </c>
      <c r="L1151" t="s">
        <v>1750</v>
      </c>
      <c r="M1151">
        <v>226</v>
      </c>
      <c r="N1151" t="b">
        <v>0</v>
      </c>
      <c r="O1151">
        <v>12</v>
      </c>
      <c r="P1151" t="s">
        <v>1819</v>
      </c>
      <c r="Q1151" t="s">
        <v>1753</v>
      </c>
    </row>
    <row r="1152" spans="1:18" x14ac:dyDescent="0.25">
      <c r="A1152" t="s">
        <v>3508</v>
      </c>
      <c r="B1152" t="s">
        <v>1876</v>
      </c>
      <c r="C1152" t="s">
        <v>4</v>
      </c>
      <c r="D1152" t="s">
        <v>1271</v>
      </c>
      <c r="E1152" s="2">
        <v>44960</v>
      </c>
      <c r="F1152">
        <v>651</v>
      </c>
      <c r="G1152" t="s">
        <v>1746</v>
      </c>
      <c r="H1152" t="s">
        <v>1747</v>
      </c>
      <c r="I1152" t="b">
        <v>0</v>
      </c>
      <c r="J1152" t="s">
        <v>1748</v>
      </c>
      <c r="K1152" t="s">
        <v>1913</v>
      </c>
      <c r="L1152" t="s">
        <v>1750</v>
      </c>
      <c r="M1152">
        <v>226</v>
      </c>
      <c r="N1152" t="b">
        <v>0</v>
      </c>
      <c r="O1152">
        <v>26</v>
      </c>
      <c r="P1152" t="s">
        <v>1752</v>
      </c>
      <c r="Q1152" t="s">
        <v>1753</v>
      </c>
      <c r="R1152" t="s">
        <v>1759</v>
      </c>
    </row>
    <row r="1153" spans="1:18" x14ac:dyDescent="0.25">
      <c r="A1153" t="s">
        <v>3510</v>
      </c>
      <c r="B1153" t="s">
        <v>2085</v>
      </c>
      <c r="C1153" t="s">
        <v>4</v>
      </c>
      <c r="D1153" t="s">
        <v>3509</v>
      </c>
      <c r="E1153" s="2">
        <v>42999</v>
      </c>
      <c r="F1153">
        <v>2612</v>
      </c>
      <c r="G1153" t="s">
        <v>1746</v>
      </c>
      <c r="H1153" t="s">
        <v>1798</v>
      </c>
      <c r="I1153" t="b">
        <v>1</v>
      </c>
      <c r="J1153" t="s">
        <v>1761</v>
      </c>
      <c r="K1153" t="s">
        <v>1776</v>
      </c>
      <c r="L1153" t="s">
        <v>1817</v>
      </c>
      <c r="M1153">
        <v>225</v>
      </c>
      <c r="N1153" t="b">
        <v>0</v>
      </c>
      <c r="O1153">
        <v>2802</v>
      </c>
      <c r="P1153" t="s">
        <v>1819</v>
      </c>
      <c r="Q1153" t="s">
        <v>1753</v>
      </c>
      <c r="R1153" t="s">
        <v>1759</v>
      </c>
    </row>
    <row r="1154" spans="1:18" x14ac:dyDescent="0.25">
      <c r="A1154" t="s">
        <v>3512</v>
      </c>
      <c r="B1154" t="s">
        <v>1866</v>
      </c>
      <c r="C1154" t="s">
        <v>572</v>
      </c>
      <c r="D1154" t="s">
        <v>3511</v>
      </c>
      <c r="E1154" s="2">
        <v>37006</v>
      </c>
      <c r="F1154">
        <v>8605</v>
      </c>
      <c r="G1154" t="s">
        <v>1746</v>
      </c>
      <c r="H1154" t="s">
        <v>1798</v>
      </c>
      <c r="I1154" t="b">
        <v>0</v>
      </c>
      <c r="J1154" t="s">
        <v>1761</v>
      </c>
      <c r="K1154" t="s">
        <v>2053</v>
      </c>
      <c r="L1154" t="s">
        <v>1750</v>
      </c>
      <c r="M1154">
        <v>225</v>
      </c>
      <c r="N1154" t="b">
        <v>0</v>
      </c>
      <c r="O1154">
        <v>19</v>
      </c>
      <c r="P1154" t="s">
        <v>1752</v>
      </c>
      <c r="Q1154" t="s">
        <v>1753</v>
      </c>
      <c r="R1154" t="s">
        <v>1828</v>
      </c>
    </row>
    <row r="1155" spans="1:18" x14ac:dyDescent="0.25">
      <c r="A1155" t="s">
        <v>3513</v>
      </c>
      <c r="B1155" t="s">
        <v>2353</v>
      </c>
      <c r="C1155" t="s">
        <v>4</v>
      </c>
      <c r="D1155" t="s">
        <v>1061</v>
      </c>
      <c r="E1155" s="2">
        <v>45126</v>
      </c>
      <c r="F1155">
        <v>485</v>
      </c>
      <c r="G1155" t="s">
        <v>1746</v>
      </c>
      <c r="H1155" t="s">
        <v>1798</v>
      </c>
      <c r="I1155" t="b">
        <v>1</v>
      </c>
      <c r="J1155" t="s">
        <v>1748</v>
      </c>
      <c r="K1155" t="s">
        <v>1825</v>
      </c>
      <c r="L1155" t="s">
        <v>1756</v>
      </c>
      <c r="M1155">
        <v>225</v>
      </c>
      <c r="N1155" t="b">
        <v>0</v>
      </c>
      <c r="O1155">
        <v>1399</v>
      </c>
      <c r="P1155" t="s">
        <v>1752</v>
      </c>
      <c r="Q1155" t="s">
        <v>1753</v>
      </c>
      <c r="R1155" t="s">
        <v>1759</v>
      </c>
    </row>
    <row r="1156" spans="1:18" x14ac:dyDescent="0.25">
      <c r="A1156" t="s">
        <v>3514</v>
      </c>
      <c r="B1156" t="s">
        <v>2180</v>
      </c>
      <c r="C1156" t="s">
        <v>4</v>
      </c>
      <c r="D1156" t="s">
        <v>131</v>
      </c>
      <c r="E1156" s="2">
        <v>45118</v>
      </c>
      <c r="F1156">
        <v>493</v>
      </c>
      <c r="G1156" t="s">
        <v>1833</v>
      </c>
      <c r="H1156" t="s">
        <v>1798</v>
      </c>
      <c r="I1156" t="b">
        <v>0</v>
      </c>
      <c r="J1156" t="s">
        <v>1748</v>
      </c>
      <c r="K1156" t="s">
        <v>1755</v>
      </c>
      <c r="L1156" t="s">
        <v>1750</v>
      </c>
      <c r="M1156">
        <v>224</v>
      </c>
      <c r="N1156" t="b">
        <v>1</v>
      </c>
      <c r="P1156" t="s">
        <v>1819</v>
      </c>
      <c r="Q1156" t="s">
        <v>1753</v>
      </c>
      <c r="R1156" t="s">
        <v>1759</v>
      </c>
    </row>
    <row r="1157" spans="1:18" x14ac:dyDescent="0.25">
      <c r="A1157" t="s">
        <v>3516</v>
      </c>
      <c r="B1157" t="s">
        <v>2150</v>
      </c>
      <c r="C1157" t="s">
        <v>4</v>
      </c>
      <c r="D1157" t="s">
        <v>3515</v>
      </c>
      <c r="E1157" s="2">
        <v>44244</v>
      </c>
      <c r="F1157">
        <v>1367</v>
      </c>
      <c r="G1157" t="s">
        <v>1746</v>
      </c>
      <c r="H1157" t="s">
        <v>1747</v>
      </c>
      <c r="I1157" t="b">
        <v>0</v>
      </c>
      <c r="J1157" t="s">
        <v>1748</v>
      </c>
      <c r="K1157" t="s">
        <v>1749</v>
      </c>
      <c r="L1157" t="s">
        <v>1817</v>
      </c>
      <c r="M1157">
        <v>224</v>
      </c>
      <c r="N1157" t="b">
        <v>0</v>
      </c>
      <c r="O1157">
        <v>26</v>
      </c>
      <c r="P1157" t="s">
        <v>1827</v>
      </c>
      <c r="Q1157" t="s">
        <v>1753</v>
      </c>
    </row>
    <row r="1158" spans="1:18" x14ac:dyDescent="0.25">
      <c r="A1158" t="s">
        <v>3517</v>
      </c>
      <c r="B1158" t="s">
        <v>2384</v>
      </c>
      <c r="C1158" t="s">
        <v>6</v>
      </c>
      <c r="D1158" t="s">
        <v>50</v>
      </c>
      <c r="E1158" s="2">
        <v>43900</v>
      </c>
      <c r="F1158">
        <v>1711</v>
      </c>
      <c r="G1158" t="s">
        <v>1746</v>
      </c>
      <c r="H1158" t="s">
        <v>1798</v>
      </c>
      <c r="I1158" t="b">
        <v>0</v>
      </c>
      <c r="J1158" t="s">
        <v>1748</v>
      </c>
      <c r="K1158" t="s">
        <v>1770</v>
      </c>
      <c r="L1158" t="s">
        <v>1750</v>
      </c>
      <c r="M1158">
        <v>224</v>
      </c>
      <c r="N1158" t="b">
        <v>1</v>
      </c>
      <c r="O1158">
        <v>64</v>
      </c>
      <c r="P1158" t="s">
        <v>1752</v>
      </c>
      <c r="Q1158" t="s">
        <v>1753</v>
      </c>
      <c r="R1158" t="s">
        <v>1828</v>
      </c>
    </row>
    <row r="1159" spans="1:18" x14ac:dyDescent="0.25">
      <c r="A1159" t="s">
        <v>3518</v>
      </c>
      <c r="B1159" t="s">
        <v>1945</v>
      </c>
      <c r="C1159" t="s">
        <v>6</v>
      </c>
      <c r="D1159" t="s">
        <v>175</v>
      </c>
      <c r="E1159" s="2">
        <v>42419</v>
      </c>
      <c r="F1159">
        <v>3192</v>
      </c>
      <c r="G1159" t="s">
        <v>1746</v>
      </c>
      <c r="H1159" t="s">
        <v>1798</v>
      </c>
      <c r="I1159" t="b">
        <v>0</v>
      </c>
      <c r="J1159" t="s">
        <v>1748</v>
      </c>
      <c r="K1159" t="s">
        <v>1826</v>
      </c>
      <c r="L1159" t="s">
        <v>1750</v>
      </c>
      <c r="M1159">
        <v>224</v>
      </c>
      <c r="N1159" t="b">
        <v>1</v>
      </c>
      <c r="O1159">
        <v>80</v>
      </c>
      <c r="P1159" t="s">
        <v>1752</v>
      </c>
      <c r="Q1159" t="s">
        <v>1753</v>
      </c>
      <c r="R1159" t="s">
        <v>2028</v>
      </c>
    </row>
    <row r="1160" spans="1:18" x14ac:dyDescent="0.25">
      <c r="A1160" t="s">
        <v>3520</v>
      </c>
      <c r="B1160" t="s">
        <v>2871</v>
      </c>
      <c r="C1160" t="s">
        <v>4</v>
      </c>
      <c r="D1160" t="s">
        <v>3519</v>
      </c>
      <c r="E1160" s="2">
        <v>45175</v>
      </c>
      <c r="F1160">
        <v>436</v>
      </c>
      <c r="G1160" t="s">
        <v>1746</v>
      </c>
      <c r="H1160" t="s">
        <v>1747</v>
      </c>
      <c r="I1160" t="b">
        <v>0</v>
      </c>
      <c r="J1160" t="s">
        <v>1748</v>
      </c>
      <c r="K1160" t="s">
        <v>1774</v>
      </c>
      <c r="L1160" t="s">
        <v>1817</v>
      </c>
      <c r="M1160">
        <v>223</v>
      </c>
      <c r="N1160" t="b">
        <v>1</v>
      </c>
      <c r="O1160">
        <v>500</v>
      </c>
      <c r="P1160" t="s">
        <v>1819</v>
      </c>
      <c r="Q1160" t="s">
        <v>1753</v>
      </c>
      <c r="R1160" t="s">
        <v>1759</v>
      </c>
    </row>
    <row r="1161" spans="1:18" x14ac:dyDescent="0.25">
      <c r="A1161" t="s">
        <v>3522</v>
      </c>
      <c r="B1161" t="s">
        <v>1840</v>
      </c>
      <c r="C1161" t="s">
        <v>4</v>
      </c>
      <c r="D1161" t="s">
        <v>3521</v>
      </c>
      <c r="E1161" s="2">
        <v>39367</v>
      </c>
      <c r="F1161">
        <v>6244</v>
      </c>
      <c r="G1161" t="s">
        <v>1746</v>
      </c>
      <c r="H1161" t="s">
        <v>1747</v>
      </c>
      <c r="I1161" t="b">
        <v>1</v>
      </c>
      <c r="J1161" t="s">
        <v>1761</v>
      </c>
      <c r="K1161" t="s">
        <v>1757</v>
      </c>
      <c r="L1161" t="s">
        <v>1750</v>
      </c>
      <c r="M1161">
        <v>222</v>
      </c>
      <c r="N1161" t="b">
        <v>0</v>
      </c>
      <c r="O1161">
        <v>29</v>
      </c>
      <c r="P1161" t="s">
        <v>1752</v>
      </c>
      <c r="Q1161" t="s">
        <v>1753</v>
      </c>
      <c r="R1161" t="s">
        <v>1759</v>
      </c>
    </row>
    <row r="1162" spans="1:18" x14ac:dyDescent="0.25">
      <c r="A1162" t="s">
        <v>3523</v>
      </c>
      <c r="B1162" t="s">
        <v>1829</v>
      </c>
      <c r="C1162" t="s">
        <v>6</v>
      </c>
      <c r="D1162" t="s">
        <v>1191</v>
      </c>
      <c r="E1162" s="2">
        <v>42489</v>
      </c>
      <c r="F1162">
        <v>3122</v>
      </c>
      <c r="G1162" t="s">
        <v>1746</v>
      </c>
      <c r="H1162" t="s">
        <v>1798</v>
      </c>
      <c r="I1162" t="b">
        <v>0</v>
      </c>
      <c r="J1162" t="s">
        <v>1748</v>
      </c>
      <c r="K1162" t="s">
        <v>1846</v>
      </c>
      <c r="L1162" t="s">
        <v>1817</v>
      </c>
      <c r="M1162">
        <v>222</v>
      </c>
      <c r="N1162" t="b">
        <v>0</v>
      </c>
      <c r="O1162">
        <v>629</v>
      </c>
      <c r="P1162" t="s">
        <v>1819</v>
      </c>
      <c r="Q1162" t="s">
        <v>1753</v>
      </c>
      <c r="R1162" t="s">
        <v>1772</v>
      </c>
    </row>
    <row r="1163" spans="1:18" x14ac:dyDescent="0.25">
      <c r="A1163" t="s">
        <v>3525</v>
      </c>
      <c r="B1163" t="s">
        <v>1907</v>
      </c>
      <c r="C1163" t="s">
        <v>572</v>
      </c>
      <c r="D1163" t="s">
        <v>3524</v>
      </c>
      <c r="E1163" s="2">
        <v>44008</v>
      </c>
      <c r="F1163">
        <v>1603</v>
      </c>
      <c r="G1163" t="s">
        <v>1746</v>
      </c>
      <c r="H1163" t="s">
        <v>1798</v>
      </c>
      <c r="I1163" t="b">
        <v>0</v>
      </c>
      <c r="J1163" t="s">
        <v>1761</v>
      </c>
      <c r="K1163" t="s">
        <v>1755</v>
      </c>
      <c r="L1163" t="s">
        <v>1750</v>
      </c>
      <c r="M1163">
        <v>222</v>
      </c>
      <c r="N1163" t="b">
        <v>1</v>
      </c>
      <c r="O1163">
        <v>196</v>
      </c>
      <c r="P1163" t="s">
        <v>1752</v>
      </c>
      <c r="Q1163" t="s">
        <v>1753</v>
      </c>
      <c r="R1163" t="s">
        <v>1828</v>
      </c>
    </row>
    <row r="1164" spans="1:18" x14ac:dyDescent="0.25">
      <c r="A1164" t="s">
        <v>3527</v>
      </c>
      <c r="B1164" t="s">
        <v>2177</v>
      </c>
      <c r="C1164" t="s">
        <v>4</v>
      </c>
      <c r="D1164" t="s">
        <v>3526</v>
      </c>
      <c r="E1164" s="2">
        <v>44726</v>
      </c>
      <c r="F1164">
        <v>885</v>
      </c>
      <c r="G1164" t="s">
        <v>1833</v>
      </c>
      <c r="H1164" t="s">
        <v>1805</v>
      </c>
      <c r="I1164" t="b">
        <v>0</v>
      </c>
      <c r="J1164" t="s">
        <v>1748</v>
      </c>
      <c r="K1164" t="s">
        <v>1776</v>
      </c>
      <c r="L1164" t="s">
        <v>1750</v>
      </c>
      <c r="M1164">
        <v>222</v>
      </c>
      <c r="N1164" t="b">
        <v>0</v>
      </c>
      <c r="O1164">
        <v>165</v>
      </c>
      <c r="P1164" t="s">
        <v>1752</v>
      </c>
      <c r="Q1164" t="s">
        <v>1753</v>
      </c>
    </row>
    <row r="1165" spans="1:18" x14ac:dyDescent="0.25">
      <c r="A1165" t="s">
        <v>3528</v>
      </c>
      <c r="B1165" t="s">
        <v>1945</v>
      </c>
      <c r="C1165" t="s">
        <v>6</v>
      </c>
      <c r="D1165" t="s">
        <v>59</v>
      </c>
      <c r="E1165" s="2">
        <v>41198</v>
      </c>
      <c r="F1165">
        <v>4413</v>
      </c>
      <c r="G1165" t="s">
        <v>1746</v>
      </c>
      <c r="H1165" t="s">
        <v>1798</v>
      </c>
      <c r="I1165" t="b">
        <v>0</v>
      </c>
      <c r="J1165" t="s">
        <v>1748</v>
      </c>
      <c r="K1165" t="s">
        <v>1950</v>
      </c>
      <c r="L1165" t="s">
        <v>1766</v>
      </c>
      <c r="M1165">
        <v>221</v>
      </c>
      <c r="N1165" t="b">
        <v>0</v>
      </c>
      <c r="P1165" t="s">
        <v>1752</v>
      </c>
      <c r="Q1165" t="s">
        <v>1753</v>
      </c>
    </row>
    <row r="1166" spans="1:18" x14ac:dyDescent="0.25">
      <c r="A1166" t="s">
        <v>3530</v>
      </c>
      <c r="B1166" t="s">
        <v>2150</v>
      </c>
      <c r="C1166" t="s">
        <v>4</v>
      </c>
      <c r="D1166" t="s">
        <v>3529</v>
      </c>
      <c r="E1166" s="2">
        <v>44280</v>
      </c>
      <c r="F1166">
        <v>1331</v>
      </c>
      <c r="G1166" t="s">
        <v>1833</v>
      </c>
      <c r="H1166" t="s">
        <v>1805</v>
      </c>
      <c r="I1166" t="b">
        <v>0</v>
      </c>
      <c r="J1166" t="s">
        <v>1748</v>
      </c>
      <c r="K1166" t="s">
        <v>1868</v>
      </c>
      <c r="L1166" t="s">
        <v>1750</v>
      </c>
      <c r="M1166">
        <v>221</v>
      </c>
      <c r="N1166" t="b">
        <v>1</v>
      </c>
      <c r="O1166">
        <v>158</v>
      </c>
      <c r="P1166" t="s">
        <v>1819</v>
      </c>
      <c r="Q1166" t="s">
        <v>1753</v>
      </c>
      <c r="R1166" t="s">
        <v>1772</v>
      </c>
    </row>
    <row r="1167" spans="1:18" x14ac:dyDescent="0.25">
      <c r="A1167" t="s">
        <v>3532</v>
      </c>
      <c r="B1167" t="s">
        <v>2032</v>
      </c>
      <c r="C1167" t="s">
        <v>4</v>
      </c>
      <c r="D1167" t="s">
        <v>3531</v>
      </c>
      <c r="E1167" s="2">
        <v>40805</v>
      </c>
      <c r="F1167">
        <v>4806</v>
      </c>
      <c r="G1167" t="s">
        <v>1746</v>
      </c>
      <c r="H1167" t="s">
        <v>1747</v>
      </c>
      <c r="I1167" t="b">
        <v>0</v>
      </c>
      <c r="J1167" t="s">
        <v>1748</v>
      </c>
      <c r="K1167" t="s">
        <v>1917</v>
      </c>
      <c r="L1167" t="s">
        <v>1817</v>
      </c>
      <c r="M1167">
        <v>220</v>
      </c>
      <c r="N1167" t="b">
        <v>0</v>
      </c>
      <c r="O1167">
        <v>99</v>
      </c>
      <c r="P1167" t="s">
        <v>1819</v>
      </c>
      <c r="Q1167" t="s">
        <v>1753</v>
      </c>
      <c r="R1167" t="s">
        <v>1772</v>
      </c>
    </row>
    <row r="1168" spans="1:18" x14ac:dyDescent="0.25">
      <c r="A1168" t="s">
        <v>3533</v>
      </c>
      <c r="B1168" t="s">
        <v>1860</v>
      </c>
      <c r="C1168" t="s">
        <v>4</v>
      </c>
      <c r="D1168" t="s">
        <v>1219</v>
      </c>
      <c r="E1168" s="2">
        <v>44266</v>
      </c>
      <c r="F1168">
        <v>1345</v>
      </c>
      <c r="G1168" t="s">
        <v>1746</v>
      </c>
      <c r="H1168" t="s">
        <v>2001</v>
      </c>
      <c r="I1168" t="b">
        <v>0</v>
      </c>
      <c r="J1168" t="s">
        <v>1748</v>
      </c>
      <c r="K1168" t="s">
        <v>1774</v>
      </c>
      <c r="L1168" t="s">
        <v>1750</v>
      </c>
      <c r="M1168">
        <v>219</v>
      </c>
      <c r="N1168" t="b">
        <v>1</v>
      </c>
      <c r="O1168">
        <v>69</v>
      </c>
      <c r="P1168" t="s">
        <v>1752</v>
      </c>
      <c r="Q1168" t="s">
        <v>1753</v>
      </c>
    </row>
    <row r="1169" spans="1:18" x14ac:dyDescent="0.25">
      <c r="A1169" t="s">
        <v>3534</v>
      </c>
      <c r="B1169" t="s">
        <v>1829</v>
      </c>
      <c r="C1169" t="s">
        <v>4</v>
      </c>
      <c r="D1169" t="s">
        <v>398</v>
      </c>
      <c r="E1169" s="2">
        <v>43053</v>
      </c>
      <c r="F1169">
        <v>2558</v>
      </c>
      <c r="G1169" t="s">
        <v>1746</v>
      </c>
      <c r="H1169" t="s">
        <v>1798</v>
      </c>
      <c r="I1169" t="b">
        <v>1</v>
      </c>
      <c r="J1169" t="s">
        <v>1761</v>
      </c>
      <c r="K1169" t="s">
        <v>1822</v>
      </c>
      <c r="L1169" t="s">
        <v>1817</v>
      </c>
      <c r="M1169">
        <v>219</v>
      </c>
      <c r="N1169" t="b">
        <v>0</v>
      </c>
      <c r="O1169">
        <v>1884</v>
      </c>
      <c r="P1169" t="s">
        <v>1819</v>
      </c>
      <c r="Q1169" t="s">
        <v>1753</v>
      </c>
      <c r="R1169" t="s">
        <v>1759</v>
      </c>
    </row>
    <row r="1170" spans="1:18" x14ac:dyDescent="0.25">
      <c r="A1170" t="s">
        <v>3535</v>
      </c>
      <c r="B1170" t="s">
        <v>1754</v>
      </c>
      <c r="C1170" t="s">
        <v>4</v>
      </c>
      <c r="D1170" t="s">
        <v>1077</v>
      </c>
      <c r="E1170" s="2">
        <v>42192</v>
      </c>
      <c r="F1170">
        <v>3419</v>
      </c>
      <c r="G1170" t="s">
        <v>1746</v>
      </c>
      <c r="H1170" t="s">
        <v>1747</v>
      </c>
      <c r="I1170" t="b">
        <v>1</v>
      </c>
      <c r="J1170" t="s">
        <v>1748</v>
      </c>
      <c r="K1170" t="s">
        <v>1824</v>
      </c>
      <c r="L1170" t="s">
        <v>1750</v>
      </c>
      <c r="M1170">
        <v>219</v>
      </c>
      <c r="N1170" t="b">
        <v>0</v>
      </c>
      <c r="O1170">
        <v>38</v>
      </c>
      <c r="P1170" t="s">
        <v>1752</v>
      </c>
      <c r="Q1170" t="s">
        <v>1753</v>
      </c>
    </row>
    <row r="1171" spans="1:18" x14ac:dyDescent="0.25">
      <c r="A1171" t="s">
        <v>3536</v>
      </c>
      <c r="B1171" t="s">
        <v>1754</v>
      </c>
      <c r="C1171" t="s">
        <v>4</v>
      </c>
      <c r="D1171" t="s">
        <v>726</v>
      </c>
      <c r="E1171" s="2">
        <v>41204</v>
      </c>
      <c r="F1171">
        <v>4407</v>
      </c>
      <c r="G1171" t="s">
        <v>1746</v>
      </c>
      <c r="H1171" t="s">
        <v>1798</v>
      </c>
      <c r="I1171" t="b">
        <v>1</v>
      </c>
      <c r="J1171" t="s">
        <v>1761</v>
      </c>
      <c r="K1171" t="s">
        <v>1776</v>
      </c>
      <c r="L1171" t="s">
        <v>1817</v>
      </c>
      <c r="M1171">
        <v>218</v>
      </c>
      <c r="N1171" t="b">
        <v>1</v>
      </c>
      <c r="O1171">
        <v>1827</v>
      </c>
      <c r="P1171" t="s">
        <v>1819</v>
      </c>
      <c r="Q1171" t="s">
        <v>1753</v>
      </c>
      <c r="R1171" t="s">
        <v>1759</v>
      </c>
    </row>
    <row r="1172" spans="1:18" x14ac:dyDescent="0.25">
      <c r="A1172" t="s">
        <v>3537</v>
      </c>
      <c r="B1172" t="s">
        <v>1754</v>
      </c>
      <c r="C1172" t="s">
        <v>4</v>
      </c>
      <c r="D1172" t="s">
        <v>653</v>
      </c>
      <c r="E1172" s="2">
        <v>38674</v>
      </c>
      <c r="F1172">
        <v>6937</v>
      </c>
      <c r="G1172" t="s">
        <v>1746</v>
      </c>
      <c r="H1172" t="s">
        <v>1747</v>
      </c>
      <c r="I1172" t="b">
        <v>0</v>
      </c>
      <c r="J1172" t="s">
        <v>1761</v>
      </c>
      <c r="K1172" t="s">
        <v>1835</v>
      </c>
      <c r="L1172" t="s">
        <v>1750</v>
      </c>
      <c r="M1172">
        <v>218</v>
      </c>
      <c r="N1172" t="b">
        <v>0</v>
      </c>
      <c r="O1172">
        <v>53</v>
      </c>
      <c r="P1172" t="s">
        <v>1752</v>
      </c>
      <c r="Q1172" t="s">
        <v>1753</v>
      </c>
    </row>
    <row r="1173" spans="1:18" x14ac:dyDescent="0.25">
      <c r="A1173" t="s">
        <v>469</v>
      </c>
      <c r="B1173" t="s">
        <v>2060</v>
      </c>
      <c r="C1173" t="s">
        <v>4</v>
      </c>
      <c r="D1173" t="s">
        <v>470</v>
      </c>
      <c r="E1173" s="2">
        <v>39903</v>
      </c>
      <c r="F1173">
        <v>5708</v>
      </c>
      <c r="G1173" t="s">
        <v>1746</v>
      </c>
      <c r="H1173" t="s">
        <v>1747</v>
      </c>
      <c r="I1173" t="b">
        <v>0</v>
      </c>
      <c r="J1173" t="s">
        <v>1748</v>
      </c>
      <c r="K1173" t="s">
        <v>1776</v>
      </c>
      <c r="L1173" t="s">
        <v>1766</v>
      </c>
      <c r="M1173">
        <v>217</v>
      </c>
      <c r="N1173" t="b">
        <v>0</v>
      </c>
      <c r="P1173" t="s">
        <v>1752</v>
      </c>
      <c r="Q1173" t="s">
        <v>1753</v>
      </c>
    </row>
    <row r="1174" spans="1:18" x14ac:dyDescent="0.25">
      <c r="A1174" t="s">
        <v>3539</v>
      </c>
      <c r="B1174" t="s">
        <v>2662</v>
      </c>
      <c r="C1174" t="s">
        <v>4</v>
      </c>
      <c r="D1174" t="s">
        <v>3538</v>
      </c>
      <c r="E1174" s="2">
        <v>44740</v>
      </c>
      <c r="F1174">
        <v>871</v>
      </c>
      <c r="G1174" t="s">
        <v>1746</v>
      </c>
      <c r="H1174" t="s">
        <v>1747</v>
      </c>
      <c r="I1174" t="b">
        <v>1</v>
      </c>
      <c r="J1174" t="s">
        <v>1748</v>
      </c>
      <c r="K1174" t="s">
        <v>1822</v>
      </c>
      <c r="L1174" t="s">
        <v>1817</v>
      </c>
      <c r="M1174">
        <v>217</v>
      </c>
      <c r="N1174" t="b">
        <v>0</v>
      </c>
      <c r="O1174">
        <v>28</v>
      </c>
      <c r="P1174" t="s">
        <v>1819</v>
      </c>
      <c r="Q1174" t="s">
        <v>1753</v>
      </c>
    </row>
    <row r="1175" spans="1:18" x14ac:dyDescent="0.25">
      <c r="A1175" t="s">
        <v>3541</v>
      </c>
      <c r="B1175" t="s">
        <v>2085</v>
      </c>
      <c r="C1175" t="s">
        <v>4</v>
      </c>
      <c r="D1175" t="s">
        <v>3540</v>
      </c>
      <c r="E1175" s="2">
        <v>43906</v>
      </c>
      <c r="F1175">
        <v>1705</v>
      </c>
      <c r="G1175" t="s">
        <v>1746</v>
      </c>
      <c r="H1175" t="s">
        <v>1805</v>
      </c>
      <c r="I1175" t="b">
        <v>0</v>
      </c>
      <c r="J1175" t="s">
        <v>1761</v>
      </c>
      <c r="K1175" t="s">
        <v>1863</v>
      </c>
      <c r="L1175" t="s">
        <v>1817</v>
      </c>
      <c r="M1175">
        <v>216</v>
      </c>
      <c r="N1175" t="b">
        <v>1</v>
      </c>
      <c r="O1175">
        <v>141</v>
      </c>
      <c r="P1175" t="s">
        <v>1819</v>
      </c>
      <c r="Q1175" t="s">
        <v>1753</v>
      </c>
      <c r="R1175" t="s">
        <v>1759</v>
      </c>
    </row>
    <row r="1176" spans="1:18" x14ac:dyDescent="0.25">
      <c r="A1176" t="s">
        <v>3542</v>
      </c>
      <c r="B1176" t="s">
        <v>1876</v>
      </c>
      <c r="C1176" t="s">
        <v>4</v>
      </c>
      <c r="D1176" t="s">
        <v>217</v>
      </c>
      <c r="E1176" s="2">
        <v>44166</v>
      </c>
      <c r="F1176">
        <v>1445</v>
      </c>
      <c r="G1176" t="s">
        <v>1833</v>
      </c>
      <c r="H1176" t="s">
        <v>2001</v>
      </c>
      <c r="I1176" t="b">
        <v>0</v>
      </c>
      <c r="J1176" t="s">
        <v>1748</v>
      </c>
      <c r="K1176" t="s">
        <v>1776</v>
      </c>
      <c r="L1176" t="s">
        <v>1750</v>
      </c>
      <c r="M1176">
        <v>215</v>
      </c>
      <c r="N1176" t="b">
        <v>1</v>
      </c>
      <c r="O1176">
        <v>140</v>
      </c>
      <c r="P1176" t="s">
        <v>1752</v>
      </c>
      <c r="Q1176" t="s">
        <v>1753</v>
      </c>
    </row>
    <row r="1177" spans="1:18" x14ac:dyDescent="0.25">
      <c r="A1177" t="s">
        <v>3544</v>
      </c>
      <c r="B1177" t="s">
        <v>2173</v>
      </c>
      <c r="C1177" t="s">
        <v>4</v>
      </c>
      <c r="D1177" t="s">
        <v>3543</v>
      </c>
      <c r="E1177" s="2">
        <v>45530</v>
      </c>
      <c r="F1177">
        <v>81</v>
      </c>
      <c r="G1177" t="s">
        <v>1746</v>
      </c>
      <c r="H1177" t="s">
        <v>2231</v>
      </c>
      <c r="I1177" t="b">
        <v>0</v>
      </c>
      <c r="J1177" t="s">
        <v>1748</v>
      </c>
      <c r="K1177" t="s">
        <v>1770</v>
      </c>
      <c r="L1177" t="s">
        <v>1750</v>
      </c>
      <c r="M1177">
        <v>215</v>
      </c>
      <c r="N1177" t="b">
        <v>1</v>
      </c>
      <c r="O1177">
        <v>697</v>
      </c>
      <c r="P1177" t="s">
        <v>1752</v>
      </c>
      <c r="Q1177" t="s">
        <v>1753</v>
      </c>
      <c r="R1177" t="s">
        <v>1759</v>
      </c>
    </row>
    <row r="1178" spans="1:18" x14ac:dyDescent="0.25">
      <c r="A1178" t="s">
        <v>3546</v>
      </c>
      <c r="B1178" t="s">
        <v>1907</v>
      </c>
      <c r="C1178" t="s">
        <v>4</v>
      </c>
      <c r="D1178" t="s">
        <v>3545</v>
      </c>
      <c r="E1178" s="2">
        <v>44775</v>
      </c>
      <c r="F1178">
        <v>836</v>
      </c>
      <c r="G1178" t="s">
        <v>1746</v>
      </c>
      <c r="H1178" t="s">
        <v>1798</v>
      </c>
      <c r="I1178" t="b">
        <v>0</v>
      </c>
      <c r="J1178" t="s">
        <v>1748</v>
      </c>
      <c r="K1178" t="s">
        <v>1822</v>
      </c>
      <c r="L1178" t="s">
        <v>1750</v>
      </c>
      <c r="M1178">
        <v>215</v>
      </c>
      <c r="N1178" t="b">
        <v>1</v>
      </c>
      <c r="O1178">
        <v>316</v>
      </c>
      <c r="P1178" t="s">
        <v>1752</v>
      </c>
      <c r="Q1178" t="s">
        <v>1753</v>
      </c>
    </row>
    <row r="1179" spans="1:18" x14ac:dyDescent="0.25">
      <c r="A1179" t="s">
        <v>3548</v>
      </c>
      <c r="B1179" t="s">
        <v>2847</v>
      </c>
      <c r="C1179" t="s">
        <v>11</v>
      </c>
      <c r="D1179" t="s">
        <v>3547</v>
      </c>
      <c r="E1179" s="2">
        <v>39875</v>
      </c>
      <c r="F1179">
        <v>5736</v>
      </c>
      <c r="G1179" t="s">
        <v>1746</v>
      </c>
      <c r="H1179" t="s">
        <v>1798</v>
      </c>
      <c r="I1179" t="b">
        <v>0</v>
      </c>
      <c r="J1179" t="s">
        <v>1748</v>
      </c>
      <c r="K1179" t="s">
        <v>1853</v>
      </c>
      <c r="L1179" t="s">
        <v>1766</v>
      </c>
      <c r="M1179">
        <v>215</v>
      </c>
      <c r="N1179" t="b">
        <v>0</v>
      </c>
      <c r="P1179" t="s">
        <v>1752</v>
      </c>
      <c r="Q1179" t="s">
        <v>1753</v>
      </c>
      <c r="R1179" t="s">
        <v>1828</v>
      </c>
    </row>
    <row r="1180" spans="1:18" x14ac:dyDescent="0.25">
      <c r="A1180" t="s">
        <v>3550</v>
      </c>
      <c r="B1180" t="s">
        <v>2965</v>
      </c>
      <c r="C1180" t="s">
        <v>4</v>
      </c>
      <c r="D1180" t="s">
        <v>3549</v>
      </c>
      <c r="E1180" s="2">
        <v>44496</v>
      </c>
      <c r="F1180">
        <v>1115</v>
      </c>
      <c r="G1180" t="s">
        <v>1746</v>
      </c>
      <c r="H1180" t="s">
        <v>1747</v>
      </c>
      <c r="I1180" t="b">
        <v>0</v>
      </c>
      <c r="J1180" t="s">
        <v>1748</v>
      </c>
      <c r="K1180" t="s">
        <v>1776</v>
      </c>
      <c r="L1180" t="s">
        <v>1750</v>
      </c>
      <c r="M1180">
        <v>215</v>
      </c>
      <c r="N1180" t="b">
        <v>1</v>
      </c>
      <c r="O1180">
        <v>167</v>
      </c>
      <c r="P1180" t="s">
        <v>1752</v>
      </c>
      <c r="Q1180" t="s">
        <v>1753</v>
      </c>
      <c r="R1180" t="s">
        <v>1759</v>
      </c>
    </row>
    <row r="1181" spans="1:18" x14ac:dyDescent="0.25">
      <c r="A1181" t="s">
        <v>3552</v>
      </c>
      <c r="B1181" t="s">
        <v>1803</v>
      </c>
      <c r="C1181" t="s">
        <v>572</v>
      </c>
      <c r="D1181" t="s">
        <v>3551</v>
      </c>
      <c r="E1181" s="2">
        <v>37445</v>
      </c>
      <c r="F1181">
        <v>8166</v>
      </c>
      <c r="G1181" t="s">
        <v>1746</v>
      </c>
      <c r="H1181" t="s">
        <v>1798</v>
      </c>
      <c r="I1181" t="b">
        <v>0</v>
      </c>
      <c r="J1181" t="s">
        <v>1761</v>
      </c>
      <c r="K1181" t="s">
        <v>1912</v>
      </c>
      <c r="L1181" t="s">
        <v>1750</v>
      </c>
      <c r="M1181">
        <v>213</v>
      </c>
      <c r="N1181" t="b">
        <v>0</v>
      </c>
      <c r="O1181">
        <v>28</v>
      </c>
      <c r="P1181" t="s">
        <v>1752</v>
      </c>
      <c r="Q1181" t="s">
        <v>1753</v>
      </c>
      <c r="R1181" t="s">
        <v>1828</v>
      </c>
    </row>
    <row r="1182" spans="1:18" x14ac:dyDescent="0.25">
      <c r="A1182" t="s">
        <v>3554</v>
      </c>
      <c r="B1182" t="s">
        <v>2085</v>
      </c>
      <c r="C1182" t="s">
        <v>4</v>
      </c>
      <c r="D1182" t="s">
        <v>3553</v>
      </c>
      <c r="E1182" s="2">
        <v>43027</v>
      </c>
      <c r="F1182">
        <v>2584</v>
      </c>
      <c r="G1182" t="s">
        <v>1746</v>
      </c>
      <c r="H1182" t="s">
        <v>1747</v>
      </c>
      <c r="I1182" t="b">
        <v>1</v>
      </c>
      <c r="J1182" t="s">
        <v>1748</v>
      </c>
      <c r="K1182" t="s">
        <v>1755</v>
      </c>
      <c r="L1182" t="s">
        <v>1750</v>
      </c>
      <c r="M1182">
        <v>213</v>
      </c>
      <c r="N1182" t="b">
        <v>0</v>
      </c>
      <c r="O1182">
        <v>103</v>
      </c>
      <c r="P1182" t="s">
        <v>1752</v>
      </c>
      <c r="Q1182" t="s">
        <v>1753</v>
      </c>
    </row>
    <row r="1183" spans="1:18" x14ac:dyDescent="0.25">
      <c r="A1183" t="s">
        <v>3556</v>
      </c>
      <c r="B1183" t="s">
        <v>2173</v>
      </c>
      <c r="C1183" t="s">
        <v>6</v>
      </c>
      <c r="D1183" t="s">
        <v>3555</v>
      </c>
      <c r="E1183" s="2">
        <v>41722</v>
      </c>
      <c r="F1183">
        <v>3889</v>
      </c>
      <c r="G1183" t="s">
        <v>1746</v>
      </c>
      <c r="H1183" t="s">
        <v>2231</v>
      </c>
      <c r="I1183" t="b">
        <v>0</v>
      </c>
      <c r="J1183" t="s">
        <v>1748</v>
      </c>
      <c r="K1183" t="s">
        <v>1822</v>
      </c>
      <c r="L1183" t="s">
        <v>1817</v>
      </c>
      <c r="M1183">
        <v>213</v>
      </c>
      <c r="N1183" t="b">
        <v>1</v>
      </c>
      <c r="O1183">
        <v>3956</v>
      </c>
      <c r="P1183" t="s">
        <v>1819</v>
      </c>
      <c r="Q1183" t="s">
        <v>1753</v>
      </c>
      <c r="R1183" t="s">
        <v>1759</v>
      </c>
    </row>
    <row r="1184" spans="1:18" x14ac:dyDescent="0.25">
      <c r="A1184" t="s">
        <v>3558</v>
      </c>
      <c r="B1184" t="s">
        <v>1803</v>
      </c>
      <c r="C1184" t="s">
        <v>572</v>
      </c>
      <c r="D1184" t="s">
        <v>3557</v>
      </c>
      <c r="E1184" s="2">
        <v>42220</v>
      </c>
      <c r="F1184">
        <v>3391</v>
      </c>
      <c r="G1184" t="s">
        <v>1746</v>
      </c>
      <c r="H1184" t="s">
        <v>1798</v>
      </c>
      <c r="I1184" t="b">
        <v>0</v>
      </c>
      <c r="J1184" t="s">
        <v>1761</v>
      </c>
      <c r="K1184" t="s">
        <v>2021</v>
      </c>
      <c r="L1184" t="s">
        <v>1750</v>
      </c>
      <c r="M1184">
        <v>213</v>
      </c>
      <c r="N1184" t="b">
        <v>1</v>
      </c>
      <c r="O1184">
        <v>30</v>
      </c>
      <c r="P1184" t="s">
        <v>1752</v>
      </c>
      <c r="Q1184" t="s">
        <v>1753</v>
      </c>
      <c r="R1184" t="s">
        <v>1828</v>
      </c>
    </row>
    <row r="1185" spans="1:18" x14ac:dyDescent="0.25">
      <c r="A1185" t="s">
        <v>3559</v>
      </c>
      <c r="B1185" t="s">
        <v>1814</v>
      </c>
      <c r="C1185" t="s">
        <v>6</v>
      </c>
      <c r="D1185" t="s">
        <v>856</v>
      </c>
      <c r="E1185" s="2">
        <v>42473</v>
      </c>
      <c r="F1185">
        <v>3138</v>
      </c>
      <c r="G1185" t="s">
        <v>1746</v>
      </c>
      <c r="H1185" t="s">
        <v>1798</v>
      </c>
      <c r="I1185" t="b">
        <v>0</v>
      </c>
      <c r="J1185" t="s">
        <v>1748</v>
      </c>
      <c r="K1185" t="s">
        <v>1776</v>
      </c>
      <c r="L1185" t="s">
        <v>1766</v>
      </c>
      <c r="M1185">
        <v>212</v>
      </c>
      <c r="N1185" t="b">
        <v>0</v>
      </c>
      <c r="P1185" t="s">
        <v>1819</v>
      </c>
      <c r="Q1185" t="s">
        <v>1753</v>
      </c>
      <c r="R1185" t="s">
        <v>1828</v>
      </c>
    </row>
    <row r="1186" spans="1:18" x14ac:dyDescent="0.25">
      <c r="A1186" t="s">
        <v>3561</v>
      </c>
      <c r="B1186" t="s">
        <v>2150</v>
      </c>
      <c r="C1186" t="s">
        <v>4</v>
      </c>
      <c r="D1186" t="s">
        <v>3560</v>
      </c>
      <c r="E1186" s="2">
        <v>43958</v>
      </c>
      <c r="F1186">
        <v>1653</v>
      </c>
      <c r="G1186" t="s">
        <v>1746</v>
      </c>
      <c r="H1186" t="s">
        <v>1805</v>
      </c>
      <c r="I1186" t="b">
        <v>0</v>
      </c>
      <c r="J1186" t="s">
        <v>1761</v>
      </c>
      <c r="K1186" t="s">
        <v>1793</v>
      </c>
      <c r="L1186" t="s">
        <v>1750</v>
      </c>
      <c r="M1186">
        <v>212</v>
      </c>
      <c r="N1186" t="b">
        <v>1</v>
      </c>
      <c r="O1186">
        <v>197</v>
      </c>
      <c r="P1186" t="s">
        <v>1752</v>
      </c>
      <c r="Q1186" t="s">
        <v>1753</v>
      </c>
    </row>
    <row r="1187" spans="1:18" x14ac:dyDescent="0.25">
      <c r="A1187" t="s">
        <v>3562</v>
      </c>
      <c r="B1187" t="s">
        <v>1936</v>
      </c>
      <c r="C1187" t="s">
        <v>4</v>
      </c>
      <c r="D1187" t="s">
        <v>1390</v>
      </c>
      <c r="E1187" s="2">
        <v>44623</v>
      </c>
      <c r="F1187">
        <v>988</v>
      </c>
      <c r="G1187" t="s">
        <v>1746</v>
      </c>
      <c r="H1187" t="s">
        <v>1747</v>
      </c>
      <c r="I1187" t="b">
        <v>0</v>
      </c>
      <c r="J1187" t="s">
        <v>1748</v>
      </c>
      <c r="K1187" t="s">
        <v>1856</v>
      </c>
      <c r="L1187" t="s">
        <v>2102</v>
      </c>
      <c r="M1187">
        <v>212</v>
      </c>
      <c r="N1187" t="b">
        <v>0</v>
      </c>
      <c r="P1187" t="s">
        <v>2070</v>
      </c>
      <c r="Q1187" t="s">
        <v>1779</v>
      </c>
    </row>
    <row r="1188" spans="1:18" x14ac:dyDescent="0.25">
      <c r="A1188" t="s">
        <v>3564</v>
      </c>
      <c r="B1188" t="s">
        <v>2133</v>
      </c>
      <c r="C1188" t="s">
        <v>4</v>
      </c>
      <c r="D1188" t="s">
        <v>3563</v>
      </c>
      <c r="E1188" s="2">
        <v>44503</v>
      </c>
      <c r="F1188">
        <v>1108</v>
      </c>
      <c r="G1188" t="s">
        <v>1746</v>
      </c>
      <c r="H1188" t="s">
        <v>1747</v>
      </c>
      <c r="I1188" t="b">
        <v>1</v>
      </c>
      <c r="J1188" t="s">
        <v>1761</v>
      </c>
      <c r="K1188" t="s">
        <v>1770</v>
      </c>
      <c r="L1188" t="s">
        <v>1750</v>
      </c>
      <c r="M1188">
        <v>211</v>
      </c>
      <c r="N1188" t="b">
        <v>0</v>
      </c>
      <c r="O1188">
        <v>1294</v>
      </c>
      <c r="P1188" t="s">
        <v>1752</v>
      </c>
      <c r="Q1188" t="s">
        <v>1753</v>
      </c>
      <c r="R1188" t="s">
        <v>1772</v>
      </c>
    </row>
    <row r="1189" spans="1:18" x14ac:dyDescent="0.25">
      <c r="A1189" t="s">
        <v>3566</v>
      </c>
      <c r="B1189" t="s">
        <v>2173</v>
      </c>
      <c r="C1189" t="s">
        <v>6</v>
      </c>
      <c r="D1189" t="s">
        <v>3565</v>
      </c>
      <c r="E1189" s="2">
        <v>43999</v>
      </c>
      <c r="F1189">
        <v>1612</v>
      </c>
      <c r="G1189" t="s">
        <v>1746</v>
      </c>
      <c r="H1189" t="s">
        <v>2231</v>
      </c>
      <c r="I1189" t="b">
        <v>1</v>
      </c>
      <c r="J1189" t="s">
        <v>1748</v>
      </c>
      <c r="K1189" t="s">
        <v>1824</v>
      </c>
      <c r="L1189" t="s">
        <v>1750</v>
      </c>
      <c r="M1189">
        <v>211</v>
      </c>
      <c r="N1189" t="b">
        <v>0</v>
      </c>
      <c r="O1189">
        <v>198</v>
      </c>
      <c r="P1189" t="s">
        <v>1752</v>
      </c>
      <c r="Q1189" t="s">
        <v>1753</v>
      </c>
    </row>
    <row r="1190" spans="1:18" x14ac:dyDescent="0.25">
      <c r="A1190" t="s">
        <v>3567</v>
      </c>
      <c r="B1190" t="s">
        <v>2269</v>
      </c>
      <c r="C1190" t="s">
        <v>4</v>
      </c>
      <c r="D1190" t="s">
        <v>1699</v>
      </c>
      <c r="E1190" s="2">
        <v>42429</v>
      </c>
      <c r="F1190">
        <v>3182</v>
      </c>
      <c r="G1190" t="s">
        <v>1746</v>
      </c>
      <c r="H1190" t="s">
        <v>1798</v>
      </c>
      <c r="I1190" t="b">
        <v>1</v>
      </c>
      <c r="J1190" t="s">
        <v>1761</v>
      </c>
      <c r="K1190" t="s">
        <v>1943</v>
      </c>
      <c r="L1190" t="s">
        <v>1817</v>
      </c>
      <c r="M1190">
        <v>210</v>
      </c>
      <c r="N1190" t="b">
        <v>0</v>
      </c>
      <c r="O1190">
        <v>2986</v>
      </c>
      <c r="P1190" t="s">
        <v>1819</v>
      </c>
      <c r="Q1190" t="s">
        <v>1753</v>
      </c>
      <c r="R1190" t="s">
        <v>1759</v>
      </c>
    </row>
    <row r="1191" spans="1:18" x14ac:dyDescent="0.25">
      <c r="A1191" t="s">
        <v>3569</v>
      </c>
      <c r="B1191" t="s">
        <v>2096</v>
      </c>
      <c r="C1191" t="s">
        <v>4</v>
      </c>
      <c r="D1191" t="s">
        <v>3568</v>
      </c>
      <c r="E1191" s="2">
        <v>45250</v>
      </c>
      <c r="F1191">
        <v>361</v>
      </c>
      <c r="G1191" t="s">
        <v>1746</v>
      </c>
      <c r="H1191" t="s">
        <v>1798</v>
      </c>
      <c r="I1191" t="b">
        <v>0</v>
      </c>
      <c r="J1191" t="s">
        <v>1761</v>
      </c>
      <c r="K1191" t="s">
        <v>1774</v>
      </c>
      <c r="L1191" t="s">
        <v>1817</v>
      </c>
      <c r="M1191">
        <v>209</v>
      </c>
      <c r="N1191" t="b">
        <v>1</v>
      </c>
      <c r="O1191">
        <v>373</v>
      </c>
      <c r="P1191" t="s">
        <v>1819</v>
      </c>
      <c r="Q1191" t="s">
        <v>1753</v>
      </c>
      <c r="R1191" t="s">
        <v>1759</v>
      </c>
    </row>
    <row r="1192" spans="1:18" x14ac:dyDescent="0.25">
      <c r="A1192" t="s">
        <v>3570</v>
      </c>
      <c r="B1192" t="s">
        <v>1781</v>
      </c>
      <c r="C1192" t="s">
        <v>4</v>
      </c>
      <c r="D1192" t="s">
        <v>366</v>
      </c>
      <c r="E1192" s="2">
        <v>44733</v>
      </c>
      <c r="F1192">
        <v>878</v>
      </c>
      <c r="G1192" t="s">
        <v>1746</v>
      </c>
      <c r="H1192" t="s">
        <v>1747</v>
      </c>
      <c r="I1192" t="b">
        <v>0</v>
      </c>
      <c r="J1192" t="s">
        <v>1748</v>
      </c>
      <c r="K1192" t="s">
        <v>1863</v>
      </c>
      <c r="L1192" t="s">
        <v>1750</v>
      </c>
      <c r="M1192">
        <v>209</v>
      </c>
      <c r="N1192" t="b">
        <v>0</v>
      </c>
      <c r="O1192">
        <v>503</v>
      </c>
      <c r="P1192" t="s">
        <v>1752</v>
      </c>
      <c r="Q1192" t="s">
        <v>1753</v>
      </c>
    </row>
    <row r="1193" spans="1:18" x14ac:dyDescent="0.25">
      <c r="A1193" t="s">
        <v>3572</v>
      </c>
      <c r="B1193" t="s">
        <v>2662</v>
      </c>
      <c r="C1193" t="s">
        <v>4</v>
      </c>
      <c r="D1193" t="s">
        <v>3571</v>
      </c>
      <c r="E1193" s="2">
        <v>44251</v>
      </c>
      <c r="F1193">
        <v>1360</v>
      </c>
      <c r="G1193" t="s">
        <v>1746</v>
      </c>
      <c r="H1193" t="s">
        <v>1798</v>
      </c>
      <c r="I1193" t="b">
        <v>0</v>
      </c>
      <c r="J1193" t="s">
        <v>1748</v>
      </c>
      <c r="K1193" t="s">
        <v>2021</v>
      </c>
      <c r="L1193" t="s">
        <v>1750</v>
      </c>
      <c r="M1193">
        <v>209</v>
      </c>
      <c r="N1193" t="b">
        <v>0</v>
      </c>
      <c r="O1193">
        <v>103</v>
      </c>
      <c r="P1193" t="s">
        <v>1819</v>
      </c>
      <c r="Q1193" t="s">
        <v>1753</v>
      </c>
    </row>
    <row r="1194" spans="1:18" x14ac:dyDescent="0.25">
      <c r="A1194" t="s">
        <v>3573</v>
      </c>
      <c r="B1194" t="s">
        <v>1768</v>
      </c>
      <c r="C1194" t="s">
        <v>4</v>
      </c>
      <c r="D1194" t="s">
        <v>804</v>
      </c>
      <c r="E1194" s="2">
        <v>39706</v>
      </c>
      <c r="F1194">
        <v>5905</v>
      </c>
      <c r="G1194" t="s">
        <v>1746</v>
      </c>
      <c r="H1194" t="s">
        <v>1747</v>
      </c>
      <c r="I1194" t="b">
        <v>0</v>
      </c>
      <c r="J1194" t="s">
        <v>1748</v>
      </c>
      <c r="K1194" t="s">
        <v>1757</v>
      </c>
      <c r="L1194" t="s">
        <v>1750</v>
      </c>
      <c r="M1194">
        <v>208</v>
      </c>
      <c r="N1194" t="b">
        <v>0</v>
      </c>
      <c r="O1194">
        <v>33</v>
      </c>
      <c r="P1194" t="s">
        <v>1752</v>
      </c>
      <c r="Q1194" t="s">
        <v>1753</v>
      </c>
      <c r="R1194" t="s">
        <v>1759</v>
      </c>
    </row>
    <row r="1195" spans="1:18" x14ac:dyDescent="0.25">
      <c r="A1195" t="s">
        <v>3575</v>
      </c>
      <c r="B1195" t="s">
        <v>2133</v>
      </c>
      <c r="C1195" t="s">
        <v>4</v>
      </c>
      <c r="D1195" t="s">
        <v>3574</v>
      </c>
      <c r="E1195" s="2">
        <v>41373</v>
      </c>
      <c r="F1195">
        <v>4238</v>
      </c>
      <c r="G1195" t="s">
        <v>1746</v>
      </c>
      <c r="H1195" t="s">
        <v>1747</v>
      </c>
      <c r="I1195" t="b">
        <v>0</v>
      </c>
      <c r="J1195" t="s">
        <v>1748</v>
      </c>
      <c r="K1195" t="s">
        <v>1757</v>
      </c>
      <c r="L1195" t="s">
        <v>1750</v>
      </c>
      <c r="M1195">
        <v>208</v>
      </c>
      <c r="N1195" t="b">
        <v>0</v>
      </c>
      <c r="O1195">
        <v>376</v>
      </c>
      <c r="P1195" t="s">
        <v>1752</v>
      </c>
      <c r="Q1195" t="s">
        <v>1753</v>
      </c>
    </row>
    <row r="1196" spans="1:18" x14ac:dyDescent="0.25">
      <c r="A1196" t="s">
        <v>3576</v>
      </c>
      <c r="B1196" t="s">
        <v>1998</v>
      </c>
      <c r="C1196" t="s">
        <v>4</v>
      </c>
      <c r="D1196" t="s">
        <v>516</v>
      </c>
      <c r="E1196" s="2">
        <v>40163</v>
      </c>
      <c r="F1196">
        <v>5448</v>
      </c>
      <c r="G1196" t="s">
        <v>1746</v>
      </c>
      <c r="H1196" t="s">
        <v>1747</v>
      </c>
      <c r="I1196" t="b">
        <v>0</v>
      </c>
      <c r="J1196" t="s">
        <v>1748</v>
      </c>
      <c r="K1196" t="s">
        <v>1934</v>
      </c>
      <c r="L1196" t="s">
        <v>1766</v>
      </c>
      <c r="M1196">
        <v>208</v>
      </c>
      <c r="N1196" t="b">
        <v>0</v>
      </c>
      <c r="P1196" t="s">
        <v>1752</v>
      </c>
      <c r="Q1196" t="s">
        <v>1753</v>
      </c>
    </row>
    <row r="1197" spans="1:18" x14ac:dyDescent="0.25">
      <c r="A1197" t="s">
        <v>3578</v>
      </c>
      <c r="B1197" t="s">
        <v>2150</v>
      </c>
      <c r="C1197" t="s">
        <v>6</v>
      </c>
      <c r="D1197" t="s">
        <v>3577</v>
      </c>
      <c r="E1197" s="2">
        <v>44504</v>
      </c>
      <c r="F1197">
        <v>1107</v>
      </c>
      <c r="G1197" t="s">
        <v>1746</v>
      </c>
      <c r="H1197" t="s">
        <v>1805</v>
      </c>
      <c r="I1197" t="b">
        <v>0</v>
      </c>
      <c r="J1197" t="s">
        <v>1748</v>
      </c>
      <c r="K1197" t="s">
        <v>1824</v>
      </c>
      <c r="L1197" t="s">
        <v>1817</v>
      </c>
      <c r="M1197">
        <v>207</v>
      </c>
      <c r="N1197" t="b">
        <v>1</v>
      </c>
      <c r="O1197">
        <v>3199</v>
      </c>
      <c r="P1197" t="s">
        <v>1819</v>
      </c>
      <c r="Q1197" t="s">
        <v>1753</v>
      </c>
      <c r="R1197" t="s">
        <v>1759</v>
      </c>
    </row>
    <row r="1198" spans="1:18" x14ac:dyDescent="0.25">
      <c r="A1198" t="s">
        <v>3579</v>
      </c>
      <c r="B1198" t="s">
        <v>1754</v>
      </c>
      <c r="C1198" t="s">
        <v>4</v>
      </c>
      <c r="D1198" t="s">
        <v>1075</v>
      </c>
      <c r="E1198" s="2">
        <v>43327</v>
      </c>
      <c r="F1198">
        <v>2284</v>
      </c>
      <c r="G1198" t="s">
        <v>1746</v>
      </c>
      <c r="H1198" t="s">
        <v>1747</v>
      </c>
      <c r="I1198" t="b">
        <v>1</v>
      </c>
      <c r="J1198" t="s">
        <v>1748</v>
      </c>
      <c r="K1198" t="s">
        <v>1824</v>
      </c>
      <c r="L1198" t="s">
        <v>1750</v>
      </c>
      <c r="M1198">
        <v>207</v>
      </c>
      <c r="N1198" t="b">
        <v>0</v>
      </c>
      <c r="O1198">
        <v>22</v>
      </c>
      <c r="P1198" t="s">
        <v>1752</v>
      </c>
      <c r="Q1198" t="s">
        <v>1753</v>
      </c>
    </row>
    <row r="1199" spans="1:18" x14ac:dyDescent="0.25">
      <c r="A1199" t="s">
        <v>3581</v>
      </c>
      <c r="B1199" t="s">
        <v>2284</v>
      </c>
      <c r="C1199" t="s">
        <v>2338</v>
      </c>
      <c r="D1199" t="s">
        <v>3580</v>
      </c>
      <c r="E1199" s="2">
        <v>43425</v>
      </c>
      <c r="F1199">
        <v>2186</v>
      </c>
      <c r="G1199" t="s">
        <v>1746</v>
      </c>
      <c r="H1199" t="s">
        <v>1747</v>
      </c>
      <c r="I1199" t="b">
        <v>0</v>
      </c>
      <c r="J1199" t="s">
        <v>1748</v>
      </c>
      <c r="K1199" t="s">
        <v>1935</v>
      </c>
      <c r="L1199" t="s">
        <v>1775</v>
      </c>
      <c r="M1199">
        <v>207</v>
      </c>
      <c r="N1199" t="b">
        <v>0</v>
      </c>
      <c r="P1199" t="s">
        <v>2283</v>
      </c>
      <c r="Q1199" t="s">
        <v>1705</v>
      </c>
    </row>
    <row r="1200" spans="1:18" x14ac:dyDescent="0.25">
      <c r="A1200" t="s">
        <v>3583</v>
      </c>
      <c r="B1200" t="s">
        <v>1978</v>
      </c>
      <c r="C1200" t="s">
        <v>4</v>
      </c>
      <c r="D1200" t="s">
        <v>3582</v>
      </c>
      <c r="E1200" s="2">
        <v>43747</v>
      </c>
      <c r="F1200">
        <v>1864</v>
      </c>
      <c r="G1200" t="s">
        <v>1746</v>
      </c>
      <c r="H1200" t="s">
        <v>1747</v>
      </c>
      <c r="I1200" t="b">
        <v>1</v>
      </c>
      <c r="J1200" t="s">
        <v>1748</v>
      </c>
      <c r="K1200" t="s">
        <v>1822</v>
      </c>
      <c r="L1200" t="s">
        <v>1756</v>
      </c>
      <c r="M1200">
        <v>207</v>
      </c>
      <c r="N1200" t="b">
        <v>0</v>
      </c>
      <c r="O1200">
        <v>10057</v>
      </c>
      <c r="P1200" t="s">
        <v>1819</v>
      </c>
      <c r="Q1200" t="s">
        <v>1753</v>
      </c>
      <c r="R1200" t="s">
        <v>1759</v>
      </c>
    </row>
    <row r="1201" spans="1:18" x14ac:dyDescent="0.25">
      <c r="A1201" t="s">
        <v>3584</v>
      </c>
      <c r="B1201" t="s">
        <v>1754</v>
      </c>
      <c r="C1201" t="s">
        <v>6</v>
      </c>
      <c r="D1201" t="s">
        <v>1196</v>
      </c>
      <c r="E1201" s="2">
        <v>42234</v>
      </c>
      <c r="F1201">
        <v>3377</v>
      </c>
      <c r="G1201" t="s">
        <v>1746</v>
      </c>
      <c r="H1201" t="s">
        <v>1798</v>
      </c>
      <c r="I1201" t="b">
        <v>0</v>
      </c>
      <c r="J1201" t="s">
        <v>1761</v>
      </c>
      <c r="K1201" t="s">
        <v>1776</v>
      </c>
      <c r="L1201" t="s">
        <v>1750</v>
      </c>
      <c r="M1201">
        <v>207</v>
      </c>
      <c r="N1201" t="b">
        <v>1</v>
      </c>
      <c r="O1201">
        <v>58</v>
      </c>
      <c r="P1201" t="s">
        <v>1752</v>
      </c>
      <c r="Q1201" t="s">
        <v>1753</v>
      </c>
      <c r="R1201" t="s">
        <v>1828</v>
      </c>
    </row>
    <row r="1202" spans="1:18" x14ac:dyDescent="0.25">
      <c r="A1202" t="s">
        <v>3585</v>
      </c>
      <c r="B1202" t="s">
        <v>2599</v>
      </c>
      <c r="C1202" t="s">
        <v>4</v>
      </c>
      <c r="D1202" t="s">
        <v>802</v>
      </c>
      <c r="E1202" s="2">
        <v>43417</v>
      </c>
      <c r="F1202">
        <v>2194</v>
      </c>
      <c r="G1202" t="s">
        <v>1746</v>
      </c>
      <c r="H1202" t="s">
        <v>1747</v>
      </c>
      <c r="I1202" t="b">
        <v>0</v>
      </c>
      <c r="J1202" t="s">
        <v>1748</v>
      </c>
      <c r="K1202" t="s">
        <v>1822</v>
      </c>
      <c r="L1202" t="s">
        <v>1750</v>
      </c>
      <c r="M1202">
        <v>207</v>
      </c>
      <c r="N1202" t="b">
        <v>1</v>
      </c>
      <c r="O1202">
        <v>1255</v>
      </c>
      <c r="P1202" t="s">
        <v>1752</v>
      </c>
      <c r="Q1202" t="s">
        <v>1753</v>
      </c>
      <c r="R1202" t="s">
        <v>1759</v>
      </c>
    </row>
    <row r="1203" spans="1:18" x14ac:dyDescent="0.25">
      <c r="A1203" t="s">
        <v>3587</v>
      </c>
      <c r="B1203" t="s">
        <v>2857</v>
      </c>
      <c r="C1203" t="s">
        <v>4</v>
      </c>
      <c r="D1203" t="s">
        <v>3586</v>
      </c>
      <c r="E1203" s="2">
        <v>42108</v>
      </c>
      <c r="F1203">
        <v>3503</v>
      </c>
      <c r="G1203" t="s">
        <v>1746</v>
      </c>
      <c r="H1203" t="s">
        <v>2231</v>
      </c>
      <c r="I1203" t="b">
        <v>1</v>
      </c>
      <c r="J1203" t="s">
        <v>1761</v>
      </c>
      <c r="K1203" t="s">
        <v>1868</v>
      </c>
      <c r="L1203" t="s">
        <v>1817</v>
      </c>
      <c r="M1203">
        <v>206</v>
      </c>
      <c r="N1203" t="b">
        <v>0</v>
      </c>
      <c r="O1203">
        <v>619</v>
      </c>
      <c r="P1203" t="s">
        <v>1819</v>
      </c>
      <c r="Q1203" t="s">
        <v>1753</v>
      </c>
      <c r="R1203" t="s">
        <v>1772</v>
      </c>
    </row>
    <row r="1204" spans="1:18" x14ac:dyDescent="0.25">
      <c r="A1204" t="s">
        <v>3589</v>
      </c>
      <c r="B1204" t="s">
        <v>2871</v>
      </c>
      <c r="C1204" t="s">
        <v>6</v>
      </c>
      <c r="D1204" t="s">
        <v>3588</v>
      </c>
      <c r="E1204" s="2">
        <v>40346</v>
      </c>
      <c r="F1204">
        <v>5265</v>
      </c>
      <c r="G1204" t="s">
        <v>1746</v>
      </c>
      <c r="H1204" t="s">
        <v>2231</v>
      </c>
      <c r="I1204" t="b">
        <v>0</v>
      </c>
      <c r="J1204" t="s">
        <v>1748</v>
      </c>
      <c r="K1204" t="s">
        <v>1776</v>
      </c>
      <c r="L1204" t="s">
        <v>1766</v>
      </c>
      <c r="M1204">
        <v>206</v>
      </c>
      <c r="N1204" t="b">
        <v>0</v>
      </c>
      <c r="P1204" t="s">
        <v>1752</v>
      </c>
      <c r="Q1204" t="s">
        <v>1753</v>
      </c>
    </row>
    <row r="1205" spans="1:18" x14ac:dyDescent="0.25">
      <c r="A1205" t="s">
        <v>3590</v>
      </c>
      <c r="B1205" t="s">
        <v>1936</v>
      </c>
      <c r="C1205" t="s">
        <v>4</v>
      </c>
      <c r="D1205" t="s">
        <v>362</v>
      </c>
      <c r="E1205" s="2">
        <v>44852</v>
      </c>
      <c r="F1205">
        <v>759</v>
      </c>
      <c r="G1205" t="s">
        <v>1746</v>
      </c>
      <c r="H1205" t="s">
        <v>1747</v>
      </c>
      <c r="I1205" t="b">
        <v>0</v>
      </c>
      <c r="J1205" t="s">
        <v>1748</v>
      </c>
      <c r="K1205" t="s">
        <v>1776</v>
      </c>
      <c r="L1205" t="s">
        <v>1750</v>
      </c>
      <c r="M1205">
        <v>206</v>
      </c>
      <c r="N1205" t="b">
        <v>1</v>
      </c>
      <c r="O1205">
        <v>234</v>
      </c>
      <c r="P1205" t="s">
        <v>1752</v>
      </c>
      <c r="Q1205" t="s">
        <v>1753</v>
      </c>
      <c r="R1205" t="s">
        <v>1759</v>
      </c>
    </row>
    <row r="1206" spans="1:18" x14ac:dyDescent="0.25">
      <c r="A1206" t="s">
        <v>3592</v>
      </c>
      <c r="B1206" t="s">
        <v>1907</v>
      </c>
      <c r="C1206" t="s">
        <v>4</v>
      </c>
      <c r="D1206" t="s">
        <v>3591</v>
      </c>
      <c r="E1206" s="2">
        <v>43507</v>
      </c>
      <c r="F1206">
        <v>2104</v>
      </c>
      <c r="G1206" t="s">
        <v>1746</v>
      </c>
      <c r="H1206" t="s">
        <v>1798</v>
      </c>
      <c r="I1206" t="b">
        <v>1</v>
      </c>
      <c r="J1206" t="s">
        <v>1748</v>
      </c>
      <c r="K1206" t="s">
        <v>1809</v>
      </c>
      <c r="L1206" t="s">
        <v>1756</v>
      </c>
      <c r="M1206">
        <v>206</v>
      </c>
      <c r="N1206" t="b">
        <v>0</v>
      </c>
      <c r="O1206">
        <v>50</v>
      </c>
      <c r="P1206" t="s">
        <v>1752</v>
      </c>
      <c r="Q1206" t="s">
        <v>1753</v>
      </c>
    </row>
    <row r="1207" spans="1:18" x14ac:dyDescent="0.25">
      <c r="A1207" t="s">
        <v>3593</v>
      </c>
      <c r="B1207" t="s">
        <v>1945</v>
      </c>
      <c r="C1207" t="s">
        <v>6</v>
      </c>
      <c r="D1207" t="s">
        <v>66</v>
      </c>
      <c r="E1207" s="2">
        <v>40661</v>
      </c>
      <c r="F1207">
        <v>4950</v>
      </c>
      <c r="G1207" t="s">
        <v>1746</v>
      </c>
      <c r="H1207" t="s">
        <v>1798</v>
      </c>
      <c r="I1207" t="b">
        <v>0</v>
      </c>
      <c r="J1207" t="s">
        <v>1748</v>
      </c>
      <c r="K1207" t="s">
        <v>1755</v>
      </c>
      <c r="L1207" t="s">
        <v>1766</v>
      </c>
      <c r="M1207">
        <v>205</v>
      </c>
      <c r="N1207" t="b">
        <v>0</v>
      </c>
      <c r="P1207" t="s">
        <v>1752</v>
      </c>
      <c r="Q1207" t="s">
        <v>1753</v>
      </c>
      <c r="R1207" t="s">
        <v>3200</v>
      </c>
    </row>
    <row r="1208" spans="1:18" x14ac:dyDescent="0.25">
      <c r="A1208" t="s">
        <v>3595</v>
      </c>
      <c r="B1208" t="s">
        <v>1803</v>
      </c>
      <c r="C1208" t="s">
        <v>572</v>
      </c>
      <c r="D1208" t="s">
        <v>3594</v>
      </c>
      <c r="E1208" s="2">
        <v>39521</v>
      </c>
      <c r="F1208">
        <v>6090</v>
      </c>
      <c r="G1208" t="s">
        <v>1746</v>
      </c>
      <c r="H1208" t="s">
        <v>1798</v>
      </c>
      <c r="I1208" t="b">
        <v>0</v>
      </c>
      <c r="J1208" t="s">
        <v>1761</v>
      </c>
      <c r="K1208" t="s">
        <v>1757</v>
      </c>
      <c r="L1208" t="s">
        <v>1750</v>
      </c>
      <c r="M1208">
        <v>204</v>
      </c>
      <c r="N1208" t="b">
        <v>0</v>
      </c>
      <c r="O1208">
        <v>20</v>
      </c>
      <c r="P1208" t="s">
        <v>1752</v>
      </c>
      <c r="Q1208" t="s">
        <v>1753</v>
      </c>
      <c r="R1208" t="s">
        <v>1828</v>
      </c>
    </row>
    <row r="1209" spans="1:18" x14ac:dyDescent="0.25">
      <c r="A1209" t="s">
        <v>3596</v>
      </c>
      <c r="B1209" t="s">
        <v>1876</v>
      </c>
      <c r="C1209" t="s">
        <v>4</v>
      </c>
      <c r="D1209" t="s">
        <v>784</v>
      </c>
      <c r="E1209" s="2">
        <v>44146</v>
      </c>
      <c r="F1209">
        <v>1465</v>
      </c>
      <c r="G1209" t="s">
        <v>1746</v>
      </c>
      <c r="H1209" t="s">
        <v>1747</v>
      </c>
      <c r="I1209" t="b">
        <v>0</v>
      </c>
      <c r="J1209" t="s">
        <v>1748</v>
      </c>
      <c r="K1209" t="s">
        <v>1830</v>
      </c>
      <c r="L1209" t="s">
        <v>1750</v>
      </c>
      <c r="M1209">
        <v>203</v>
      </c>
      <c r="N1209" t="b">
        <v>1</v>
      </c>
      <c r="O1209">
        <v>42</v>
      </c>
      <c r="P1209" t="s">
        <v>1752</v>
      </c>
      <c r="Q1209" t="s">
        <v>1753</v>
      </c>
      <c r="R1209" t="s">
        <v>1759</v>
      </c>
    </row>
    <row r="1210" spans="1:18" x14ac:dyDescent="0.25">
      <c r="A1210" t="s">
        <v>3598</v>
      </c>
      <c r="B1210" t="s">
        <v>2235</v>
      </c>
      <c r="C1210" t="s">
        <v>2338</v>
      </c>
      <c r="D1210" t="s">
        <v>3597</v>
      </c>
      <c r="E1210" s="2">
        <v>44741</v>
      </c>
      <c r="F1210">
        <v>870</v>
      </c>
      <c r="G1210" t="s">
        <v>1746</v>
      </c>
      <c r="H1210" t="s">
        <v>1747</v>
      </c>
      <c r="I1210" t="b">
        <v>0</v>
      </c>
      <c r="J1210" t="s">
        <v>1748</v>
      </c>
      <c r="K1210" t="s">
        <v>1943</v>
      </c>
      <c r="L1210" t="s">
        <v>1775</v>
      </c>
      <c r="M1210">
        <v>203</v>
      </c>
      <c r="N1210" t="b">
        <v>0</v>
      </c>
      <c r="P1210" t="s">
        <v>2283</v>
      </c>
      <c r="Q1210" t="s">
        <v>1705</v>
      </c>
    </row>
    <row r="1211" spans="1:18" x14ac:dyDescent="0.25">
      <c r="A1211" t="s">
        <v>3599</v>
      </c>
      <c r="B1211" t="s">
        <v>1945</v>
      </c>
      <c r="C1211" t="s">
        <v>6</v>
      </c>
      <c r="D1211" t="s">
        <v>174</v>
      </c>
      <c r="E1211" s="2">
        <v>42426</v>
      </c>
      <c r="F1211">
        <v>3185</v>
      </c>
      <c r="G1211" t="s">
        <v>1746</v>
      </c>
      <c r="H1211" t="s">
        <v>1798</v>
      </c>
      <c r="I1211" t="b">
        <v>0</v>
      </c>
      <c r="J1211" t="s">
        <v>1748</v>
      </c>
      <c r="K1211" t="s">
        <v>1824</v>
      </c>
      <c r="L1211" t="s">
        <v>1750</v>
      </c>
      <c r="M1211">
        <v>203</v>
      </c>
      <c r="N1211" t="b">
        <v>1</v>
      </c>
      <c r="O1211">
        <v>483</v>
      </c>
      <c r="P1211" t="s">
        <v>1752</v>
      </c>
      <c r="Q1211" t="s">
        <v>1753</v>
      </c>
      <c r="R1211" t="s">
        <v>2092</v>
      </c>
    </row>
    <row r="1212" spans="1:18" x14ac:dyDescent="0.25">
      <c r="A1212" t="s">
        <v>3601</v>
      </c>
      <c r="B1212" t="s">
        <v>1785</v>
      </c>
      <c r="C1212" t="s">
        <v>4</v>
      </c>
      <c r="D1212" t="s">
        <v>3600</v>
      </c>
      <c r="E1212" s="2">
        <v>41037</v>
      </c>
      <c r="F1212">
        <v>4574</v>
      </c>
      <c r="G1212" t="s">
        <v>1746</v>
      </c>
      <c r="H1212" t="s">
        <v>1798</v>
      </c>
      <c r="I1212" t="b">
        <v>1</v>
      </c>
      <c r="J1212" t="s">
        <v>1761</v>
      </c>
      <c r="K1212" t="s">
        <v>1755</v>
      </c>
      <c r="L1212" t="s">
        <v>1817</v>
      </c>
      <c r="M1212">
        <v>203</v>
      </c>
      <c r="N1212" t="b">
        <v>0</v>
      </c>
      <c r="O1212">
        <v>65</v>
      </c>
      <c r="P1212" t="s">
        <v>1819</v>
      </c>
      <c r="Q1212" t="s">
        <v>1753</v>
      </c>
    </row>
    <row r="1213" spans="1:18" x14ac:dyDescent="0.25">
      <c r="A1213" t="s">
        <v>3603</v>
      </c>
      <c r="B1213" t="s">
        <v>2564</v>
      </c>
      <c r="C1213" t="s">
        <v>11</v>
      </c>
      <c r="D1213" t="s">
        <v>3602</v>
      </c>
      <c r="E1213" s="2">
        <v>41533</v>
      </c>
      <c r="F1213">
        <v>4078</v>
      </c>
      <c r="G1213" t="s">
        <v>1746</v>
      </c>
      <c r="H1213" t="s">
        <v>1747</v>
      </c>
      <c r="I1213" t="b">
        <v>0</v>
      </c>
      <c r="J1213" t="s">
        <v>1761</v>
      </c>
      <c r="K1213" t="s">
        <v>1774</v>
      </c>
      <c r="L1213" t="s">
        <v>1766</v>
      </c>
      <c r="M1213">
        <v>202</v>
      </c>
      <c r="N1213" t="b">
        <v>0</v>
      </c>
      <c r="P1213" t="s">
        <v>1752</v>
      </c>
      <c r="Q1213" t="s">
        <v>1753</v>
      </c>
    </row>
    <row r="1214" spans="1:18" x14ac:dyDescent="0.25">
      <c r="A1214" t="s">
        <v>327</v>
      </c>
      <c r="B1214" t="s">
        <v>1876</v>
      </c>
      <c r="C1214" t="s">
        <v>4</v>
      </c>
      <c r="D1214" t="s">
        <v>328</v>
      </c>
      <c r="E1214" s="2">
        <v>43986</v>
      </c>
      <c r="F1214">
        <v>1625</v>
      </c>
      <c r="G1214" t="s">
        <v>1746</v>
      </c>
      <c r="H1214" t="s">
        <v>1747</v>
      </c>
      <c r="I1214" t="b">
        <v>0</v>
      </c>
      <c r="J1214" t="s">
        <v>1748</v>
      </c>
      <c r="K1214" t="s">
        <v>1770</v>
      </c>
      <c r="L1214" t="s">
        <v>1750</v>
      </c>
      <c r="M1214">
        <v>202</v>
      </c>
      <c r="N1214" t="b">
        <v>1</v>
      </c>
      <c r="O1214">
        <v>228</v>
      </c>
      <c r="P1214" t="s">
        <v>1752</v>
      </c>
      <c r="Q1214" t="s">
        <v>1753</v>
      </c>
    </row>
    <row r="1215" spans="1:18" x14ac:dyDescent="0.25">
      <c r="A1215" t="s">
        <v>3605</v>
      </c>
      <c r="B1215" t="s">
        <v>2177</v>
      </c>
      <c r="C1215" t="s">
        <v>4</v>
      </c>
      <c r="D1215" t="s">
        <v>3604</v>
      </c>
      <c r="E1215" s="2">
        <v>44168</v>
      </c>
      <c r="F1215">
        <v>1443</v>
      </c>
      <c r="G1215" t="s">
        <v>1746</v>
      </c>
      <c r="H1215" t="s">
        <v>1805</v>
      </c>
      <c r="I1215" t="b">
        <v>0</v>
      </c>
      <c r="J1215" t="s">
        <v>1761</v>
      </c>
      <c r="K1215" t="s">
        <v>1863</v>
      </c>
      <c r="L1215" t="s">
        <v>1756</v>
      </c>
      <c r="M1215">
        <v>202</v>
      </c>
      <c r="N1215" t="b">
        <v>1</v>
      </c>
      <c r="O1215">
        <v>487</v>
      </c>
      <c r="P1215" t="s">
        <v>1819</v>
      </c>
      <c r="Q1215" t="s">
        <v>1753</v>
      </c>
      <c r="R1215" t="s">
        <v>1759</v>
      </c>
    </row>
    <row r="1216" spans="1:18" x14ac:dyDescent="0.25">
      <c r="A1216" t="s">
        <v>3607</v>
      </c>
      <c r="B1216" t="s">
        <v>1907</v>
      </c>
      <c r="C1216" t="s">
        <v>4</v>
      </c>
      <c r="D1216" t="s">
        <v>3606</v>
      </c>
      <c r="E1216" s="2">
        <v>45147</v>
      </c>
      <c r="F1216">
        <v>464</v>
      </c>
      <c r="G1216" t="s">
        <v>1833</v>
      </c>
      <c r="H1216" t="s">
        <v>1798</v>
      </c>
      <c r="I1216" t="b">
        <v>0</v>
      </c>
      <c r="J1216" t="s">
        <v>1748</v>
      </c>
      <c r="K1216" t="s">
        <v>1776</v>
      </c>
      <c r="L1216" t="s">
        <v>1756</v>
      </c>
      <c r="M1216">
        <v>201</v>
      </c>
      <c r="N1216" t="b">
        <v>1</v>
      </c>
      <c r="O1216">
        <v>290</v>
      </c>
      <c r="P1216" t="s">
        <v>1752</v>
      </c>
      <c r="Q1216" t="s">
        <v>1753</v>
      </c>
      <c r="R1216" t="s">
        <v>1759</v>
      </c>
    </row>
    <row r="1217" spans="1:18" x14ac:dyDescent="0.25">
      <c r="A1217" t="s">
        <v>3608</v>
      </c>
      <c r="B1217" t="s">
        <v>2060</v>
      </c>
      <c r="C1217" t="s">
        <v>6</v>
      </c>
      <c r="D1217" t="s">
        <v>902</v>
      </c>
      <c r="E1217" s="2">
        <v>43164</v>
      </c>
      <c r="F1217">
        <v>2447</v>
      </c>
      <c r="G1217" t="s">
        <v>1746</v>
      </c>
      <c r="H1217" t="s">
        <v>1747</v>
      </c>
      <c r="I1217" t="b">
        <v>0</v>
      </c>
      <c r="J1217" t="s">
        <v>1748</v>
      </c>
      <c r="K1217" t="s">
        <v>1774</v>
      </c>
      <c r="L1217" t="s">
        <v>1766</v>
      </c>
      <c r="M1217">
        <v>201</v>
      </c>
      <c r="N1217" t="b">
        <v>0</v>
      </c>
      <c r="P1217" t="s">
        <v>1752</v>
      </c>
      <c r="Q1217" t="s">
        <v>1753</v>
      </c>
      <c r="R1217" t="s">
        <v>2028</v>
      </c>
    </row>
    <row r="1218" spans="1:18" x14ac:dyDescent="0.25">
      <c r="A1218" t="s">
        <v>3609</v>
      </c>
      <c r="B1218" t="s">
        <v>1876</v>
      </c>
      <c r="C1218" t="s">
        <v>4</v>
      </c>
      <c r="D1218" t="s">
        <v>794</v>
      </c>
      <c r="E1218" s="2">
        <v>44168</v>
      </c>
      <c r="F1218">
        <v>1443</v>
      </c>
      <c r="G1218" t="s">
        <v>1746</v>
      </c>
      <c r="H1218" t="s">
        <v>1747</v>
      </c>
      <c r="I1218" t="b">
        <v>0</v>
      </c>
      <c r="J1218" t="s">
        <v>1761</v>
      </c>
      <c r="K1218" t="s">
        <v>1776</v>
      </c>
      <c r="L1218" t="s">
        <v>1756</v>
      </c>
      <c r="M1218">
        <v>200</v>
      </c>
      <c r="N1218" t="b">
        <v>1</v>
      </c>
      <c r="O1218">
        <v>257</v>
      </c>
      <c r="P1218" t="s">
        <v>1819</v>
      </c>
      <c r="Q1218" t="s">
        <v>1753</v>
      </c>
      <c r="R1218" t="s">
        <v>1772</v>
      </c>
    </row>
    <row r="1219" spans="1:18" x14ac:dyDescent="0.25">
      <c r="A1219" t="s">
        <v>3611</v>
      </c>
      <c r="B1219" t="s">
        <v>2133</v>
      </c>
      <c r="C1219" t="s">
        <v>4</v>
      </c>
      <c r="D1219" t="s">
        <v>3610</v>
      </c>
      <c r="E1219" s="2">
        <v>45028</v>
      </c>
      <c r="F1219">
        <v>583</v>
      </c>
      <c r="G1219" t="s">
        <v>1746</v>
      </c>
      <c r="H1219" t="s">
        <v>1798</v>
      </c>
      <c r="I1219" t="b">
        <v>0</v>
      </c>
      <c r="J1219" t="s">
        <v>1748</v>
      </c>
      <c r="K1219" t="s">
        <v>1824</v>
      </c>
      <c r="L1219" t="s">
        <v>1750</v>
      </c>
      <c r="M1219">
        <v>200</v>
      </c>
      <c r="N1219" t="b">
        <v>1</v>
      </c>
      <c r="O1219">
        <v>168</v>
      </c>
      <c r="P1219" t="s">
        <v>1752</v>
      </c>
      <c r="Q1219" t="s">
        <v>1753</v>
      </c>
      <c r="R1219" t="s">
        <v>1828</v>
      </c>
    </row>
    <row r="1220" spans="1:18" x14ac:dyDescent="0.25">
      <c r="A1220" t="s">
        <v>3613</v>
      </c>
      <c r="B1220" t="s">
        <v>1907</v>
      </c>
      <c r="C1220" t="s">
        <v>6</v>
      </c>
      <c r="D1220" t="s">
        <v>3612</v>
      </c>
      <c r="E1220" s="2">
        <v>44258</v>
      </c>
      <c r="F1220">
        <v>1353</v>
      </c>
      <c r="G1220" t="s">
        <v>1746</v>
      </c>
      <c r="H1220" t="s">
        <v>1747</v>
      </c>
      <c r="I1220" t="b">
        <v>0</v>
      </c>
      <c r="J1220" t="s">
        <v>1761</v>
      </c>
      <c r="K1220" t="s">
        <v>1880</v>
      </c>
      <c r="L1220" t="s">
        <v>1766</v>
      </c>
      <c r="M1220">
        <v>200</v>
      </c>
      <c r="N1220" t="b">
        <v>1</v>
      </c>
      <c r="P1220" t="s">
        <v>1752</v>
      </c>
      <c r="Q1220" t="s">
        <v>1753</v>
      </c>
      <c r="R1220" t="s">
        <v>2028</v>
      </c>
    </row>
    <row r="1221" spans="1:18" x14ac:dyDescent="0.25">
      <c r="A1221" t="s">
        <v>3615</v>
      </c>
      <c r="B1221" t="s">
        <v>2483</v>
      </c>
      <c r="C1221" t="s">
        <v>6</v>
      </c>
      <c r="D1221" t="s">
        <v>3614</v>
      </c>
      <c r="E1221" s="2">
        <v>45379</v>
      </c>
      <c r="F1221">
        <v>232</v>
      </c>
      <c r="G1221" t="s">
        <v>1746</v>
      </c>
      <c r="H1221" t="s">
        <v>1747</v>
      </c>
      <c r="I1221" t="b">
        <v>1</v>
      </c>
      <c r="J1221" t="s">
        <v>1761</v>
      </c>
      <c r="K1221" t="s">
        <v>1822</v>
      </c>
      <c r="L1221" t="s">
        <v>1750</v>
      </c>
      <c r="M1221">
        <v>199</v>
      </c>
      <c r="N1221" t="b">
        <v>1</v>
      </c>
      <c r="O1221">
        <v>95</v>
      </c>
      <c r="P1221" t="s">
        <v>1752</v>
      </c>
      <c r="Q1221" t="s">
        <v>1753</v>
      </c>
      <c r="R1221" t="s">
        <v>2028</v>
      </c>
    </row>
    <row r="1222" spans="1:18" x14ac:dyDescent="0.25">
      <c r="A1222" t="s">
        <v>1377</v>
      </c>
      <c r="B1222" t="s">
        <v>1874</v>
      </c>
      <c r="C1222" t="s">
        <v>4</v>
      </c>
      <c r="D1222" t="s">
        <v>1378</v>
      </c>
      <c r="E1222" s="2">
        <v>44221</v>
      </c>
      <c r="F1222">
        <v>1390</v>
      </c>
      <c r="G1222" t="s">
        <v>1746</v>
      </c>
      <c r="H1222" t="s">
        <v>1747</v>
      </c>
      <c r="I1222" t="b">
        <v>0</v>
      </c>
      <c r="J1222" t="s">
        <v>1748</v>
      </c>
      <c r="K1222" t="s">
        <v>1856</v>
      </c>
      <c r="L1222" t="s">
        <v>1750</v>
      </c>
      <c r="M1222">
        <v>197</v>
      </c>
      <c r="N1222" t="b">
        <v>1</v>
      </c>
      <c r="O1222">
        <v>24</v>
      </c>
      <c r="P1222" t="s">
        <v>1752</v>
      </c>
      <c r="Q1222" t="s">
        <v>1753</v>
      </c>
      <c r="R1222" t="s">
        <v>1759</v>
      </c>
    </row>
    <row r="1223" spans="1:18" x14ac:dyDescent="0.25">
      <c r="A1223" t="s">
        <v>3617</v>
      </c>
      <c r="B1223" t="s">
        <v>1704</v>
      </c>
      <c r="C1223" t="s">
        <v>6</v>
      </c>
      <c r="D1223" t="s">
        <v>3616</v>
      </c>
      <c r="E1223" s="2">
        <v>45433</v>
      </c>
      <c r="F1223">
        <v>178</v>
      </c>
      <c r="G1223" t="s">
        <v>1746</v>
      </c>
      <c r="H1223" t="s">
        <v>1747</v>
      </c>
      <c r="I1223" t="b">
        <v>0</v>
      </c>
      <c r="J1223" t="s">
        <v>1748</v>
      </c>
      <c r="K1223" t="s">
        <v>1770</v>
      </c>
      <c r="L1223" t="s">
        <v>1817</v>
      </c>
      <c r="M1223">
        <v>197</v>
      </c>
      <c r="N1223" t="b">
        <v>1</v>
      </c>
      <c r="O1223">
        <v>1643</v>
      </c>
      <c r="P1223" t="s">
        <v>1819</v>
      </c>
      <c r="Q1223" t="s">
        <v>1753</v>
      </c>
      <c r="R1223" t="s">
        <v>1759</v>
      </c>
    </row>
    <row r="1224" spans="1:18" x14ac:dyDescent="0.25">
      <c r="A1224" t="s">
        <v>3619</v>
      </c>
      <c r="B1224" t="s">
        <v>2096</v>
      </c>
      <c r="C1224" t="s">
        <v>6</v>
      </c>
      <c r="D1224" t="s">
        <v>3618</v>
      </c>
      <c r="E1224" s="2">
        <v>45175</v>
      </c>
      <c r="F1224">
        <v>436</v>
      </c>
      <c r="G1224" t="s">
        <v>1746</v>
      </c>
      <c r="H1224" t="s">
        <v>1798</v>
      </c>
      <c r="I1224" t="b">
        <v>0</v>
      </c>
      <c r="J1224" t="s">
        <v>1748</v>
      </c>
      <c r="K1224" t="s">
        <v>1822</v>
      </c>
      <c r="L1224" t="s">
        <v>1750</v>
      </c>
      <c r="M1224">
        <v>197</v>
      </c>
      <c r="N1224" t="b">
        <v>1</v>
      </c>
      <c r="O1224">
        <v>447</v>
      </c>
      <c r="P1224" t="s">
        <v>1819</v>
      </c>
      <c r="Q1224" t="s">
        <v>1753</v>
      </c>
      <c r="R1224" t="s">
        <v>1759</v>
      </c>
    </row>
    <row r="1225" spans="1:18" x14ac:dyDescent="0.25">
      <c r="A1225" t="s">
        <v>3621</v>
      </c>
      <c r="B1225" t="s">
        <v>1803</v>
      </c>
      <c r="C1225" t="s">
        <v>572</v>
      </c>
      <c r="D1225" t="s">
        <v>3620</v>
      </c>
      <c r="E1225" s="2">
        <v>37006</v>
      </c>
      <c r="F1225">
        <v>8605</v>
      </c>
      <c r="G1225" t="s">
        <v>1746</v>
      </c>
      <c r="H1225" t="s">
        <v>1798</v>
      </c>
      <c r="I1225" t="b">
        <v>0</v>
      </c>
      <c r="J1225" t="s">
        <v>1761</v>
      </c>
      <c r="K1225" t="s">
        <v>1912</v>
      </c>
      <c r="L1225" t="s">
        <v>1750</v>
      </c>
      <c r="M1225">
        <v>197</v>
      </c>
      <c r="N1225" t="b">
        <v>0</v>
      </c>
      <c r="O1225">
        <v>31</v>
      </c>
      <c r="P1225" t="s">
        <v>1752</v>
      </c>
      <c r="Q1225" t="s">
        <v>1753</v>
      </c>
      <c r="R1225" t="s">
        <v>1828</v>
      </c>
    </row>
    <row r="1226" spans="1:18" x14ac:dyDescent="0.25">
      <c r="A1226" t="s">
        <v>3623</v>
      </c>
      <c r="B1226" t="s">
        <v>1840</v>
      </c>
      <c r="C1226" t="s">
        <v>4</v>
      </c>
      <c r="D1226" t="s">
        <v>3622</v>
      </c>
      <c r="E1226" s="2">
        <v>39995</v>
      </c>
      <c r="F1226">
        <v>5616</v>
      </c>
      <c r="G1226" t="s">
        <v>1746</v>
      </c>
      <c r="H1226" t="s">
        <v>1805</v>
      </c>
      <c r="I1226" t="b">
        <v>1</v>
      </c>
      <c r="J1226" t="s">
        <v>1748</v>
      </c>
      <c r="K1226" t="s">
        <v>1807</v>
      </c>
      <c r="L1226" t="s">
        <v>1756</v>
      </c>
      <c r="M1226">
        <v>197</v>
      </c>
      <c r="N1226" t="b">
        <v>0</v>
      </c>
      <c r="O1226">
        <v>229</v>
      </c>
      <c r="P1226" t="s">
        <v>1752</v>
      </c>
      <c r="Q1226" t="s">
        <v>1753</v>
      </c>
    </row>
    <row r="1227" spans="1:18" x14ac:dyDescent="0.25">
      <c r="A1227" t="s">
        <v>3624</v>
      </c>
      <c r="B1227" t="s">
        <v>1876</v>
      </c>
      <c r="C1227" t="s">
        <v>4</v>
      </c>
      <c r="D1227" t="s">
        <v>748</v>
      </c>
      <c r="E1227" s="2">
        <v>43440</v>
      </c>
      <c r="F1227">
        <v>2171</v>
      </c>
      <c r="G1227" t="s">
        <v>1833</v>
      </c>
      <c r="H1227" t="s">
        <v>1798</v>
      </c>
      <c r="I1227" t="b">
        <v>0</v>
      </c>
      <c r="J1227" t="s">
        <v>1748</v>
      </c>
      <c r="K1227" t="s">
        <v>1961</v>
      </c>
      <c r="L1227" t="s">
        <v>1817</v>
      </c>
      <c r="M1227">
        <v>196</v>
      </c>
      <c r="N1227" t="b">
        <v>1</v>
      </c>
      <c r="O1227">
        <v>287</v>
      </c>
      <c r="P1227" t="s">
        <v>1819</v>
      </c>
      <c r="Q1227" t="s">
        <v>1753</v>
      </c>
      <c r="R1227" t="s">
        <v>1759</v>
      </c>
    </row>
    <row r="1228" spans="1:18" x14ac:dyDescent="0.25">
      <c r="A1228" t="s">
        <v>3626</v>
      </c>
      <c r="B1228" t="s">
        <v>1907</v>
      </c>
      <c r="C1228" t="s">
        <v>6</v>
      </c>
      <c r="D1228" t="s">
        <v>3625</v>
      </c>
      <c r="E1228" s="2">
        <v>44993</v>
      </c>
      <c r="F1228">
        <v>618</v>
      </c>
      <c r="G1228" t="s">
        <v>1746</v>
      </c>
      <c r="H1228" t="s">
        <v>1798</v>
      </c>
      <c r="I1228" t="b">
        <v>1</v>
      </c>
      <c r="J1228" t="s">
        <v>1761</v>
      </c>
      <c r="K1228" t="s">
        <v>1749</v>
      </c>
      <c r="L1228" t="s">
        <v>1750</v>
      </c>
      <c r="M1228">
        <v>196</v>
      </c>
      <c r="N1228" t="b">
        <v>0</v>
      </c>
      <c r="O1228">
        <v>601</v>
      </c>
      <c r="P1228" t="s">
        <v>1752</v>
      </c>
      <c r="Q1228" t="s">
        <v>1753</v>
      </c>
      <c r="R1228" t="s">
        <v>1828</v>
      </c>
    </row>
    <row r="1229" spans="1:18" x14ac:dyDescent="0.25">
      <c r="A1229" t="s">
        <v>3628</v>
      </c>
      <c r="B1229" t="s">
        <v>3629</v>
      </c>
      <c r="C1229" t="s">
        <v>11</v>
      </c>
      <c r="D1229" t="s">
        <v>3627</v>
      </c>
      <c r="E1229" s="2">
        <v>38418</v>
      </c>
      <c r="F1229">
        <v>7193</v>
      </c>
      <c r="G1229" t="s">
        <v>1746</v>
      </c>
      <c r="H1229" t="s">
        <v>1798</v>
      </c>
      <c r="I1229" t="b">
        <v>0</v>
      </c>
      <c r="J1229" t="s">
        <v>1761</v>
      </c>
      <c r="K1229" t="s">
        <v>1776</v>
      </c>
      <c r="L1229" t="s">
        <v>1750</v>
      </c>
      <c r="M1229">
        <v>196</v>
      </c>
      <c r="N1229" t="b">
        <v>1</v>
      </c>
      <c r="O1229">
        <v>40</v>
      </c>
      <c r="P1229" t="s">
        <v>1752</v>
      </c>
      <c r="Q1229" t="s">
        <v>1753</v>
      </c>
    </row>
    <row r="1230" spans="1:18" x14ac:dyDescent="0.25">
      <c r="A1230" t="s">
        <v>3631</v>
      </c>
      <c r="B1230" t="s">
        <v>2173</v>
      </c>
      <c r="C1230" t="s">
        <v>4</v>
      </c>
      <c r="D1230" t="s">
        <v>3630</v>
      </c>
      <c r="E1230" s="2">
        <v>43642</v>
      </c>
      <c r="F1230">
        <v>1969</v>
      </c>
      <c r="G1230" t="s">
        <v>1746</v>
      </c>
      <c r="H1230" t="s">
        <v>2231</v>
      </c>
      <c r="I1230" t="b">
        <v>1</v>
      </c>
      <c r="J1230" t="s">
        <v>1748</v>
      </c>
      <c r="K1230" t="s">
        <v>1776</v>
      </c>
      <c r="L1230" t="s">
        <v>1817</v>
      </c>
      <c r="M1230">
        <v>196</v>
      </c>
      <c r="N1230" t="b">
        <v>0</v>
      </c>
      <c r="O1230">
        <v>2802</v>
      </c>
      <c r="P1230" t="s">
        <v>1819</v>
      </c>
      <c r="Q1230" t="s">
        <v>1753</v>
      </c>
      <c r="R1230" t="s">
        <v>1759</v>
      </c>
    </row>
    <row r="1231" spans="1:18" x14ac:dyDescent="0.25">
      <c r="A1231" t="s">
        <v>3632</v>
      </c>
      <c r="B1231" t="s">
        <v>1810</v>
      </c>
      <c r="C1231" t="s">
        <v>4</v>
      </c>
      <c r="D1231" t="s">
        <v>684</v>
      </c>
      <c r="E1231" s="2">
        <v>39920</v>
      </c>
      <c r="F1231">
        <v>5691</v>
      </c>
      <c r="G1231" t="s">
        <v>1746</v>
      </c>
      <c r="H1231" t="s">
        <v>1747</v>
      </c>
      <c r="I1231" t="b">
        <v>1</v>
      </c>
      <c r="J1231" t="s">
        <v>1761</v>
      </c>
      <c r="K1231" t="s">
        <v>2042</v>
      </c>
      <c r="L1231" t="s">
        <v>1750</v>
      </c>
      <c r="M1231">
        <v>196</v>
      </c>
      <c r="N1231" t="b">
        <v>0</v>
      </c>
      <c r="O1231">
        <v>105</v>
      </c>
      <c r="P1231" t="s">
        <v>1752</v>
      </c>
      <c r="Q1231" t="s">
        <v>1753</v>
      </c>
      <c r="R1231" t="s">
        <v>2028</v>
      </c>
    </row>
    <row r="1232" spans="1:18" x14ac:dyDescent="0.25">
      <c r="A1232" t="s">
        <v>3633</v>
      </c>
      <c r="B1232" t="s">
        <v>1876</v>
      </c>
      <c r="C1232" t="s">
        <v>4</v>
      </c>
      <c r="D1232" t="s">
        <v>773</v>
      </c>
      <c r="E1232" s="2">
        <v>43558</v>
      </c>
      <c r="F1232">
        <v>2053</v>
      </c>
      <c r="G1232" t="s">
        <v>1833</v>
      </c>
      <c r="H1232" t="s">
        <v>1747</v>
      </c>
      <c r="I1232" t="b">
        <v>0</v>
      </c>
      <c r="J1232" t="s">
        <v>1748</v>
      </c>
      <c r="K1232" t="s">
        <v>1770</v>
      </c>
      <c r="L1232" t="s">
        <v>1750</v>
      </c>
      <c r="M1232">
        <v>195</v>
      </c>
      <c r="N1232" t="b">
        <v>0</v>
      </c>
      <c r="O1232">
        <v>304</v>
      </c>
      <c r="P1232" t="s">
        <v>1819</v>
      </c>
      <c r="Q1232" t="s">
        <v>1753</v>
      </c>
      <c r="R1232" t="s">
        <v>1759</v>
      </c>
    </row>
    <row r="1233" spans="1:18" x14ac:dyDescent="0.25">
      <c r="A1233" t="s">
        <v>342</v>
      </c>
      <c r="B1233" t="s">
        <v>1874</v>
      </c>
      <c r="C1233" t="s">
        <v>4</v>
      </c>
      <c r="D1233" t="s">
        <v>343</v>
      </c>
      <c r="E1233" s="2">
        <v>40330</v>
      </c>
      <c r="F1233">
        <v>5281</v>
      </c>
      <c r="G1233" t="s">
        <v>1746</v>
      </c>
      <c r="H1233" t="s">
        <v>1798</v>
      </c>
      <c r="I1233" t="b">
        <v>1</v>
      </c>
      <c r="J1233" t="s">
        <v>1761</v>
      </c>
      <c r="K1233" t="s">
        <v>1822</v>
      </c>
      <c r="L1233" t="s">
        <v>1750</v>
      </c>
      <c r="M1233">
        <v>194</v>
      </c>
      <c r="N1233" t="b">
        <v>0</v>
      </c>
      <c r="O1233">
        <v>415</v>
      </c>
      <c r="P1233" t="s">
        <v>1752</v>
      </c>
      <c r="Q1233" t="s">
        <v>1753</v>
      </c>
      <c r="R1233" t="s">
        <v>1828</v>
      </c>
    </row>
    <row r="1234" spans="1:18" x14ac:dyDescent="0.25">
      <c r="A1234" t="s">
        <v>3635</v>
      </c>
      <c r="B1234" t="s">
        <v>1803</v>
      </c>
      <c r="C1234" t="s">
        <v>572</v>
      </c>
      <c r="D1234" t="s">
        <v>3634</v>
      </c>
      <c r="E1234" s="2">
        <v>39888</v>
      </c>
      <c r="F1234">
        <v>5723</v>
      </c>
      <c r="G1234" t="s">
        <v>1746</v>
      </c>
      <c r="H1234" t="s">
        <v>1798</v>
      </c>
      <c r="I1234" t="b">
        <v>0</v>
      </c>
      <c r="J1234" t="s">
        <v>1761</v>
      </c>
      <c r="K1234" t="s">
        <v>1824</v>
      </c>
      <c r="L1234" t="s">
        <v>1750</v>
      </c>
      <c r="M1234">
        <v>193</v>
      </c>
      <c r="N1234" t="b">
        <v>0</v>
      </c>
      <c r="O1234">
        <v>15</v>
      </c>
      <c r="P1234" t="s">
        <v>1819</v>
      </c>
      <c r="Q1234" t="s">
        <v>1753</v>
      </c>
    </row>
    <row r="1235" spans="1:18" x14ac:dyDescent="0.25">
      <c r="A1235" t="s">
        <v>3637</v>
      </c>
      <c r="B1235" t="s">
        <v>2857</v>
      </c>
      <c r="C1235" t="s">
        <v>4</v>
      </c>
      <c r="D1235" t="s">
        <v>3636</v>
      </c>
      <c r="E1235" s="2">
        <v>43216</v>
      </c>
      <c r="F1235">
        <v>2395</v>
      </c>
      <c r="G1235" t="s">
        <v>1746</v>
      </c>
      <c r="H1235" t="s">
        <v>2231</v>
      </c>
      <c r="I1235" t="b">
        <v>1</v>
      </c>
      <c r="J1235" t="s">
        <v>1748</v>
      </c>
      <c r="K1235" t="s">
        <v>1774</v>
      </c>
      <c r="L1235" t="s">
        <v>1750</v>
      </c>
      <c r="M1235">
        <v>193</v>
      </c>
      <c r="N1235" t="b">
        <v>0</v>
      </c>
      <c r="O1235">
        <v>593</v>
      </c>
      <c r="P1235" t="s">
        <v>1752</v>
      </c>
      <c r="Q1235" t="s">
        <v>1753</v>
      </c>
    </row>
    <row r="1236" spans="1:18" x14ac:dyDescent="0.25">
      <c r="A1236" t="s">
        <v>3638</v>
      </c>
      <c r="B1236" t="s">
        <v>1781</v>
      </c>
      <c r="C1236" t="s">
        <v>6</v>
      </c>
      <c r="D1236" t="s">
        <v>53</v>
      </c>
      <c r="E1236" s="2">
        <v>43761</v>
      </c>
      <c r="F1236">
        <v>1850</v>
      </c>
      <c r="G1236" t="s">
        <v>1746</v>
      </c>
      <c r="H1236" t="s">
        <v>1798</v>
      </c>
      <c r="I1236" t="b">
        <v>0</v>
      </c>
      <c r="J1236" t="s">
        <v>1761</v>
      </c>
      <c r="K1236" t="s">
        <v>1770</v>
      </c>
      <c r="L1236" t="s">
        <v>1750</v>
      </c>
      <c r="M1236">
        <v>193</v>
      </c>
      <c r="N1236" t="b">
        <v>1</v>
      </c>
      <c r="O1236">
        <v>105</v>
      </c>
      <c r="P1236" t="s">
        <v>1752</v>
      </c>
      <c r="Q1236" t="s">
        <v>1753</v>
      </c>
      <c r="R1236" t="s">
        <v>1828</v>
      </c>
    </row>
    <row r="1237" spans="1:18" x14ac:dyDescent="0.25">
      <c r="A1237" t="s">
        <v>3640</v>
      </c>
      <c r="C1237" t="s">
        <v>11</v>
      </c>
      <c r="D1237" t="s">
        <v>3639</v>
      </c>
      <c r="E1237" s="2">
        <v>38736</v>
      </c>
      <c r="F1237">
        <v>6875</v>
      </c>
      <c r="G1237" t="s">
        <v>1746</v>
      </c>
      <c r="H1237" t="s">
        <v>1798</v>
      </c>
      <c r="I1237" t="b">
        <v>0</v>
      </c>
      <c r="J1237" t="s">
        <v>1761</v>
      </c>
      <c r="K1237" t="s">
        <v>1853</v>
      </c>
      <c r="L1237" t="s">
        <v>1750</v>
      </c>
      <c r="M1237">
        <v>192</v>
      </c>
      <c r="N1237" t="b">
        <v>0</v>
      </c>
      <c r="O1237">
        <v>36</v>
      </c>
      <c r="P1237" t="s">
        <v>1752</v>
      </c>
      <c r="Q1237" t="s">
        <v>1753</v>
      </c>
    </row>
    <row r="1238" spans="1:18" x14ac:dyDescent="0.25">
      <c r="A1238" t="s">
        <v>3642</v>
      </c>
      <c r="B1238" t="s">
        <v>1785</v>
      </c>
      <c r="C1238" t="s">
        <v>4</v>
      </c>
      <c r="D1238" t="s">
        <v>3641</v>
      </c>
      <c r="E1238" s="2">
        <v>43200</v>
      </c>
      <c r="F1238">
        <v>2411</v>
      </c>
      <c r="G1238" t="s">
        <v>1746</v>
      </c>
      <c r="H1238" t="s">
        <v>1798</v>
      </c>
      <c r="I1238" t="b">
        <v>1</v>
      </c>
      <c r="J1238" t="s">
        <v>1761</v>
      </c>
      <c r="K1238" t="s">
        <v>1913</v>
      </c>
      <c r="L1238" t="s">
        <v>1817</v>
      </c>
      <c r="M1238">
        <v>191</v>
      </c>
      <c r="N1238" t="b">
        <v>0</v>
      </c>
      <c r="O1238">
        <v>218</v>
      </c>
      <c r="P1238" t="s">
        <v>1819</v>
      </c>
      <c r="Q1238" t="s">
        <v>1753</v>
      </c>
      <c r="R1238" t="s">
        <v>1759</v>
      </c>
    </row>
    <row r="1239" spans="1:18" x14ac:dyDescent="0.25">
      <c r="A1239" t="s">
        <v>3643</v>
      </c>
      <c r="B1239" t="s">
        <v>1876</v>
      </c>
      <c r="C1239" t="s">
        <v>4</v>
      </c>
      <c r="D1239" t="s">
        <v>1478</v>
      </c>
      <c r="E1239" s="2">
        <v>44748</v>
      </c>
      <c r="F1239">
        <v>863</v>
      </c>
      <c r="G1239" t="s">
        <v>1746</v>
      </c>
      <c r="H1239" t="s">
        <v>1747</v>
      </c>
      <c r="I1239" t="b">
        <v>0</v>
      </c>
      <c r="J1239" t="s">
        <v>1748</v>
      </c>
      <c r="K1239" t="s">
        <v>1776</v>
      </c>
      <c r="L1239" t="s">
        <v>1756</v>
      </c>
      <c r="M1239">
        <v>190</v>
      </c>
      <c r="N1239" t="b">
        <v>1</v>
      </c>
      <c r="O1239">
        <v>710</v>
      </c>
      <c r="P1239" t="s">
        <v>1819</v>
      </c>
      <c r="Q1239" t="s">
        <v>1753</v>
      </c>
      <c r="R1239" t="s">
        <v>1759</v>
      </c>
    </row>
    <row r="1240" spans="1:18" x14ac:dyDescent="0.25">
      <c r="A1240" t="s">
        <v>3645</v>
      </c>
      <c r="B1240" t="s">
        <v>2085</v>
      </c>
      <c r="C1240" t="s">
        <v>6</v>
      </c>
      <c r="D1240" t="s">
        <v>3644</v>
      </c>
      <c r="E1240" s="2">
        <v>42507</v>
      </c>
      <c r="F1240">
        <v>3104</v>
      </c>
      <c r="G1240" t="s">
        <v>1746</v>
      </c>
      <c r="H1240" t="s">
        <v>1747</v>
      </c>
      <c r="I1240" t="b">
        <v>1</v>
      </c>
      <c r="J1240" t="s">
        <v>1761</v>
      </c>
      <c r="K1240" t="s">
        <v>1985</v>
      </c>
      <c r="L1240" t="s">
        <v>1750</v>
      </c>
      <c r="M1240">
        <v>190</v>
      </c>
      <c r="N1240" t="b">
        <v>0</v>
      </c>
      <c r="O1240">
        <v>12</v>
      </c>
      <c r="P1240" t="s">
        <v>1819</v>
      </c>
      <c r="Q1240" t="s">
        <v>1753</v>
      </c>
    </row>
    <row r="1241" spans="1:18" x14ac:dyDescent="0.25">
      <c r="A1241" t="s">
        <v>3647</v>
      </c>
      <c r="B1241" t="s">
        <v>1907</v>
      </c>
      <c r="C1241" t="s">
        <v>6</v>
      </c>
      <c r="D1241" t="s">
        <v>3646</v>
      </c>
      <c r="E1241" s="2">
        <v>43845</v>
      </c>
      <c r="F1241">
        <v>1766</v>
      </c>
      <c r="G1241" t="s">
        <v>1746</v>
      </c>
      <c r="H1241" t="s">
        <v>2001</v>
      </c>
      <c r="I1241" t="b">
        <v>1</v>
      </c>
      <c r="J1241" t="s">
        <v>1748</v>
      </c>
      <c r="K1241" t="s">
        <v>1765</v>
      </c>
      <c r="L1241" t="s">
        <v>1750</v>
      </c>
      <c r="M1241">
        <v>190</v>
      </c>
      <c r="N1241" t="b">
        <v>0</v>
      </c>
      <c r="O1241">
        <v>300</v>
      </c>
      <c r="P1241" t="s">
        <v>1752</v>
      </c>
      <c r="Q1241" t="s">
        <v>1753</v>
      </c>
    </row>
    <row r="1242" spans="1:18" x14ac:dyDescent="0.25">
      <c r="A1242" t="s">
        <v>3648</v>
      </c>
      <c r="B1242" t="s">
        <v>1810</v>
      </c>
      <c r="C1242" t="s">
        <v>6</v>
      </c>
      <c r="D1242" t="s">
        <v>1167</v>
      </c>
      <c r="E1242" s="2">
        <v>43672</v>
      </c>
      <c r="F1242">
        <v>1939</v>
      </c>
      <c r="G1242" t="s">
        <v>1746</v>
      </c>
      <c r="H1242" t="s">
        <v>1747</v>
      </c>
      <c r="I1242" t="b">
        <v>0</v>
      </c>
      <c r="J1242" t="s">
        <v>1761</v>
      </c>
      <c r="K1242" t="s">
        <v>1853</v>
      </c>
      <c r="L1242" t="s">
        <v>1750</v>
      </c>
      <c r="M1242">
        <v>190</v>
      </c>
      <c r="N1242" t="b">
        <v>1</v>
      </c>
      <c r="O1242">
        <v>425</v>
      </c>
      <c r="P1242" t="s">
        <v>1752</v>
      </c>
      <c r="Q1242" t="s">
        <v>1753</v>
      </c>
    </row>
    <row r="1243" spans="1:18" x14ac:dyDescent="0.25">
      <c r="A1243" t="s">
        <v>3649</v>
      </c>
      <c r="B1243" t="s">
        <v>1936</v>
      </c>
      <c r="C1243" t="s">
        <v>4</v>
      </c>
      <c r="D1243" t="s">
        <v>335</v>
      </c>
      <c r="E1243" s="2">
        <v>44754</v>
      </c>
      <c r="F1243">
        <v>857</v>
      </c>
      <c r="G1243" t="s">
        <v>1746</v>
      </c>
      <c r="H1243" t="s">
        <v>1747</v>
      </c>
      <c r="I1243" t="b">
        <v>1</v>
      </c>
      <c r="J1243" t="s">
        <v>1748</v>
      </c>
      <c r="K1243" t="s">
        <v>1846</v>
      </c>
      <c r="L1243" t="s">
        <v>1750</v>
      </c>
      <c r="M1243">
        <v>189</v>
      </c>
      <c r="N1243" t="b">
        <v>0</v>
      </c>
      <c r="O1243">
        <v>599</v>
      </c>
      <c r="P1243" t="s">
        <v>1752</v>
      </c>
      <c r="Q1243" t="s">
        <v>1753</v>
      </c>
    </row>
    <row r="1244" spans="1:18" x14ac:dyDescent="0.25">
      <c r="A1244" t="s">
        <v>3651</v>
      </c>
      <c r="B1244" t="s">
        <v>1866</v>
      </c>
      <c r="C1244" t="s">
        <v>572</v>
      </c>
      <c r="D1244" t="s">
        <v>3650</v>
      </c>
      <c r="E1244" s="2">
        <v>42472</v>
      </c>
      <c r="F1244">
        <v>3139</v>
      </c>
      <c r="G1244" t="s">
        <v>1833</v>
      </c>
      <c r="H1244" t="s">
        <v>1798</v>
      </c>
      <c r="I1244" t="b">
        <v>0</v>
      </c>
      <c r="J1244" t="s">
        <v>1761</v>
      </c>
      <c r="K1244" t="s">
        <v>1818</v>
      </c>
      <c r="L1244" t="s">
        <v>1750</v>
      </c>
      <c r="M1244">
        <v>189</v>
      </c>
      <c r="N1244" t="b">
        <v>0</v>
      </c>
      <c r="O1244">
        <v>1465</v>
      </c>
      <c r="P1244" t="s">
        <v>1752</v>
      </c>
      <c r="Q1244" t="s">
        <v>1753</v>
      </c>
      <c r="R1244" t="s">
        <v>1759</v>
      </c>
    </row>
    <row r="1245" spans="1:18" x14ac:dyDescent="0.25">
      <c r="A1245" t="s">
        <v>3653</v>
      </c>
      <c r="B1245" t="s">
        <v>2085</v>
      </c>
      <c r="C1245" t="s">
        <v>4</v>
      </c>
      <c r="D1245" t="s">
        <v>3652</v>
      </c>
      <c r="E1245" s="2">
        <v>40704</v>
      </c>
      <c r="F1245">
        <v>4907</v>
      </c>
      <c r="G1245" t="s">
        <v>1833</v>
      </c>
      <c r="H1245" t="s">
        <v>1805</v>
      </c>
      <c r="I1245" t="b">
        <v>0</v>
      </c>
      <c r="J1245" t="s">
        <v>1761</v>
      </c>
      <c r="K1245" t="s">
        <v>1809</v>
      </c>
      <c r="L1245" t="s">
        <v>1756</v>
      </c>
      <c r="M1245">
        <v>189</v>
      </c>
      <c r="N1245" t="b">
        <v>0</v>
      </c>
      <c r="O1245">
        <v>218</v>
      </c>
      <c r="P1245" t="s">
        <v>1827</v>
      </c>
      <c r="Q1245" t="s">
        <v>1753</v>
      </c>
    </row>
    <row r="1246" spans="1:18" x14ac:dyDescent="0.25">
      <c r="A1246" t="s">
        <v>3655</v>
      </c>
      <c r="B1246" t="s">
        <v>2173</v>
      </c>
      <c r="C1246" t="s">
        <v>4</v>
      </c>
      <c r="D1246" t="s">
        <v>3654</v>
      </c>
      <c r="E1246" s="2">
        <v>40527</v>
      </c>
      <c r="F1246">
        <v>5084</v>
      </c>
      <c r="G1246" t="s">
        <v>1746</v>
      </c>
      <c r="H1246" t="s">
        <v>1747</v>
      </c>
      <c r="I1246" t="b">
        <v>0</v>
      </c>
      <c r="J1246" t="s">
        <v>1748</v>
      </c>
      <c r="K1246" t="s">
        <v>1809</v>
      </c>
      <c r="L1246" t="s">
        <v>2102</v>
      </c>
      <c r="M1246">
        <v>188</v>
      </c>
      <c r="N1246" t="b">
        <v>0</v>
      </c>
      <c r="P1246" t="s">
        <v>1752</v>
      </c>
      <c r="Q1246" t="s">
        <v>1753</v>
      </c>
    </row>
    <row r="1247" spans="1:18" x14ac:dyDescent="0.25">
      <c r="A1247" t="s">
        <v>3657</v>
      </c>
      <c r="B1247" t="s">
        <v>2620</v>
      </c>
      <c r="C1247" t="s">
        <v>4</v>
      </c>
      <c r="D1247" t="s">
        <v>3656</v>
      </c>
      <c r="E1247" s="2">
        <v>43440</v>
      </c>
      <c r="F1247">
        <v>2171</v>
      </c>
      <c r="G1247" t="s">
        <v>1746</v>
      </c>
      <c r="H1247" t="s">
        <v>1747</v>
      </c>
      <c r="I1247" t="b">
        <v>1</v>
      </c>
      <c r="J1247" t="s">
        <v>1761</v>
      </c>
      <c r="K1247" t="s">
        <v>1774</v>
      </c>
      <c r="L1247" t="s">
        <v>1756</v>
      </c>
      <c r="M1247">
        <v>188</v>
      </c>
      <c r="N1247" t="b">
        <v>0</v>
      </c>
      <c r="O1247">
        <v>1059</v>
      </c>
      <c r="P1247" t="s">
        <v>1752</v>
      </c>
      <c r="Q1247" t="s">
        <v>1753</v>
      </c>
    </row>
    <row r="1248" spans="1:18" x14ac:dyDescent="0.25">
      <c r="A1248" t="s">
        <v>3658</v>
      </c>
      <c r="B1248" t="s">
        <v>1768</v>
      </c>
      <c r="C1248" t="s">
        <v>4</v>
      </c>
      <c r="D1248" t="s">
        <v>821</v>
      </c>
      <c r="E1248" s="2">
        <v>39706</v>
      </c>
      <c r="F1248">
        <v>5905</v>
      </c>
      <c r="G1248" t="s">
        <v>1746</v>
      </c>
      <c r="H1248" t="s">
        <v>1747</v>
      </c>
      <c r="I1248" t="b">
        <v>0</v>
      </c>
      <c r="J1248" t="s">
        <v>1748</v>
      </c>
      <c r="K1248" t="s">
        <v>1853</v>
      </c>
      <c r="L1248" t="s">
        <v>1756</v>
      </c>
      <c r="M1248">
        <v>187</v>
      </c>
      <c r="N1248" t="b">
        <v>0</v>
      </c>
      <c r="O1248">
        <v>1035</v>
      </c>
      <c r="P1248" t="s">
        <v>1752</v>
      </c>
      <c r="Q1248" t="s">
        <v>1753</v>
      </c>
    </row>
    <row r="1249" spans="1:18" x14ac:dyDescent="0.25">
      <c r="A1249" t="s">
        <v>3659</v>
      </c>
      <c r="B1249" t="s">
        <v>1810</v>
      </c>
      <c r="C1249" t="s">
        <v>6</v>
      </c>
      <c r="D1249" t="s">
        <v>1488</v>
      </c>
      <c r="E1249" s="2">
        <v>39252</v>
      </c>
      <c r="F1249">
        <v>6359</v>
      </c>
      <c r="G1249" t="s">
        <v>1746</v>
      </c>
      <c r="H1249" t="s">
        <v>1747</v>
      </c>
      <c r="I1249" t="b">
        <v>1</v>
      </c>
      <c r="J1249" t="s">
        <v>1748</v>
      </c>
      <c r="K1249" t="s">
        <v>2042</v>
      </c>
      <c r="L1249" t="s">
        <v>1750</v>
      </c>
      <c r="M1249">
        <v>186</v>
      </c>
      <c r="N1249" t="b">
        <v>0</v>
      </c>
      <c r="O1249">
        <v>50</v>
      </c>
      <c r="P1249" t="s">
        <v>1752</v>
      </c>
      <c r="Q1249" t="s">
        <v>1753</v>
      </c>
    </row>
    <row r="1250" spans="1:18" x14ac:dyDescent="0.25">
      <c r="A1250" t="s">
        <v>3661</v>
      </c>
      <c r="B1250" t="s">
        <v>1907</v>
      </c>
      <c r="C1250" t="s">
        <v>572</v>
      </c>
      <c r="D1250" t="s">
        <v>3660</v>
      </c>
      <c r="E1250" s="2">
        <v>44008</v>
      </c>
      <c r="F1250">
        <v>1603</v>
      </c>
      <c r="G1250" t="s">
        <v>1746</v>
      </c>
      <c r="H1250" t="s">
        <v>1798</v>
      </c>
      <c r="I1250" t="b">
        <v>0</v>
      </c>
      <c r="J1250" t="s">
        <v>1761</v>
      </c>
      <c r="K1250" t="s">
        <v>1755</v>
      </c>
      <c r="L1250" t="s">
        <v>1750</v>
      </c>
      <c r="M1250">
        <v>186</v>
      </c>
      <c r="N1250" t="b">
        <v>1</v>
      </c>
      <c r="O1250">
        <v>47</v>
      </c>
      <c r="P1250" t="s">
        <v>1752</v>
      </c>
      <c r="Q1250" t="s">
        <v>1753</v>
      </c>
    </row>
    <row r="1251" spans="1:18" x14ac:dyDescent="0.25">
      <c r="A1251" t="s">
        <v>3663</v>
      </c>
      <c r="B1251" t="s">
        <v>2173</v>
      </c>
      <c r="C1251" t="s">
        <v>4</v>
      </c>
      <c r="D1251" t="s">
        <v>3662</v>
      </c>
      <c r="E1251" s="2">
        <v>45156</v>
      </c>
      <c r="F1251">
        <v>455</v>
      </c>
      <c r="G1251" t="s">
        <v>1746</v>
      </c>
      <c r="H1251" t="s">
        <v>2231</v>
      </c>
      <c r="I1251" t="b">
        <v>0</v>
      </c>
      <c r="J1251" t="s">
        <v>1748</v>
      </c>
      <c r="K1251" t="s">
        <v>1880</v>
      </c>
      <c r="L1251" t="s">
        <v>1766</v>
      </c>
      <c r="M1251">
        <v>185</v>
      </c>
      <c r="N1251" t="b">
        <v>0</v>
      </c>
      <c r="P1251" t="s">
        <v>2070</v>
      </c>
      <c r="Q1251" t="s">
        <v>1753</v>
      </c>
    </row>
    <row r="1252" spans="1:18" x14ac:dyDescent="0.25">
      <c r="A1252" t="s">
        <v>3664</v>
      </c>
      <c r="B1252" t="s">
        <v>1810</v>
      </c>
      <c r="C1252" t="s">
        <v>4</v>
      </c>
      <c r="D1252" t="s">
        <v>625</v>
      </c>
      <c r="E1252" s="2">
        <v>40204</v>
      </c>
      <c r="F1252">
        <v>5407</v>
      </c>
      <c r="G1252" t="s">
        <v>1746</v>
      </c>
      <c r="H1252" t="s">
        <v>1798</v>
      </c>
      <c r="I1252" t="b">
        <v>1</v>
      </c>
      <c r="J1252" t="s">
        <v>1748</v>
      </c>
      <c r="K1252" t="s">
        <v>1787</v>
      </c>
      <c r="L1252" t="s">
        <v>1750</v>
      </c>
      <c r="M1252">
        <v>185</v>
      </c>
      <c r="N1252" t="b">
        <v>0</v>
      </c>
      <c r="O1252">
        <v>41</v>
      </c>
      <c r="P1252" t="s">
        <v>1752</v>
      </c>
      <c r="Q1252" t="s">
        <v>1753</v>
      </c>
    </row>
    <row r="1253" spans="1:18" x14ac:dyDescent="0.25">
      <c r="A1253" t="s">
        <v>3666</v>
      </c>
      <c r="B1253" t="s">
        <v>2133</v>
      </c>
      <c r="C1253" t="s">
        <v>6</v>
      </c>
      <c r="D1253" t="s">
        <v>3665</v>
      </c>
      <c r="E1253" s="2">
        <v>43761</v>
      </c>
      <c r="F1253">
        <v>1850</v>
      </c>
      <c r="G1253" t="s">
        <v>1746</v>
      </c>
      <c r="H1253" t="s">
        <v>1747</v>
      </c>
      <c r="I1253" t="b">
        <v>0</v>
      </c>
      <c r="J1253" t="s">
        <v>1761</v>
      </c>
      <c r="K1253" t="s">
        <v>1776</v>
      </c>
      <c r="L1253" t="s">
        <v>1750</v>
      </c>
      <c r="M1253">
        <v>184</v>
      </c>
      <c r="N1253" t="b">
        <v>1</v>
      </c>
      <c r="O1253">
        <v>172</v>
      </c>
      <c r="P1253" t="s">
        <v>1752</v>
      </c>
      <c r="Q1253" t="s">
        <v>1753</v>
      </c>
      <c r="R1253" t="s">
        <v>1772</v>
      </c>
    </row>
    <row r="1254" spans="1:18" x14ac:dyDescent="0.25">
      <c r="A1254" t="s">
        <v>3668</v>
      </c>
      <c r="B1254" t="s">
        <v>1803</v>
      </c>
      <c r="C1254" t="s">
        <v>572</v>
      </c>
      <c r="D1254" t="s">
        <v>3667</v>
      </c>
      <c r="E1254" s="2">
        <v>37783</v>
      </c>
      <c r="F1254">
        <v>7828</v>
      </c>
      <c r="G1254" t="s">
        <v>1746</v>
      </c>
      <c r="H1254" t="s">
        <v>1798</v>
      </c>
      <c r="I1254" t="b">
        <v>0</v>
      </c>
      <c r="J1254" t="s">
        <v>1761</v>
      </c>
      <c r="K1254" t="s">
        <v>1826</v>
      </c>
      <c r="L1254" t="s">
        <v>1817</v>
      </c>
      <c r="M1254">
        <v>183</v>
      </c>
      <c r="N1254" t="b">
        <v>0</v>
      </c>
      <c r="O1254">
        <v>21</v>
      </c>
      <c r="P1254" t="s">
        <v>1819</v>
      </c>
      <c r="Q1254" t="s">
        <v>1753</v>
      </c>
    </row>
    <row r="1255" spans="1:18" x14ac:dyDescent="0.25">
      <c r="A1255" t="s">
        <v>3670</v>
      </c>
      <c r="B1255" t="s">
        <v>2494</v>
      </c>
      <c r="C1255" t="s">
        <v>6</v>
      </c>
      <c r="D1255" t="s">
        <v>3669</v>
      </c>
      <c r="E1255" s="2">
        <v>40674</v>
      </c>
      <c r="F1255">
        <v>4937</v>
      </c>
      <c r="G1255" t="s">
        <v>1746</v>
      </c>
      <c r="H1255" t="s">
        <v>1747</v>
      </c>
      <c r="I1255" t="b">
        <v>0</v>
      </c>
      <c r="J1255" t="s">
        <v>1748</v>
      </c>
      <c r="K1255" t="s">
        <v>1755</v>
      </c>
      <c r="L1255" t="s">
        <v>1766</v>
      </c>
      <c r="M1255">
        <v>183</v>
      </c>
      <c r="N1255" t="b">
        <v>0</v>
      </c>
      <c r="P1255" t="s">
        <v>1752</v>
      </c>
      <c r="Q1255" t="s">
        <v>1753</v>
      </c>
      <c r="R1255" t="s">
        <v>3200</v>
      </c>
    </row>
    <row r="1256" spans="1:18" x14ac:dyDescent="0.25">
      <c r="A1256" t="s">
        <v>3671</v>
      </c>
      <c r="B1256" t="s">
        <v>2035</v>
      </c>
      <c r="C1256" t="s">
        <v>6</v>
      </c>
      <c r="D1256" t="s">
        <v>171</v>
      </c>
      <c r="E1256" s="2">
        <v>43172</v>
      </c>
      <c r="F1256">
        <v>2439</v>
      </c>
      <c r="G1256" t="s">
        <v>1746</v>
      </c>
      <c r="H1256" t="s">
        <v>1798</v>
      </c>
      <c r="I1256" t="b">
        <v>0</v>
      </c>
      <c r="J1256" t="s">
        <v>1761</v>
      </c>
      <c r="K1256" t="s">
        <v>1776</v>
      </c>
      <c r="L1256" t="s">
        <v>1750</v>
      </c>
      <c r="M1256">
        <v>183</v>
      </c>
      <c r="N1256" t="b">
        <v>1</v>
      </c>
      <c r="O1256">
        <v>116</v>
      </c>
      <c r="P1256" t="s">
        <v>1752</v>
      </c>
      <c r="Q1256" t="s">
        <v>1753</v>
      </c>
      <c r="R1256" t="s">
        <v>1828</v>
      </c>
    </row>
    <row r="1257" spans="1:18" x14ac:dyDescent="0.25">
      <c r="A1257" t="s">
        <v>3672</v>
      </c>
      <c r="B1257" t="s">
        <v>1810</v>
      </c>
      <c r="C1257" t="s">
        <v>6</v>
      </c>
      <c r="D1257" t="s">
        <v>1183</v>
      </c>
      <c r="E1257" s="2">
        <v>43039</v>
      </c>
      <c r="F1257">
        <v>2572</v>
      </c>
      <c r="G1257" t="s">
        <v>1746</v>
      </c>
      <c r="H1257" t="s">
        <v>1798</v>
      </c>
      <c r="I1257" t="b">
        <v>0</v>
      </c>
      <c r="J1257" t="s">
        <v>1761</v>
      </c>
      <c r="K1257" t="s">
        <v>1822</v>
      </c>
      <c r="L1257" t="s">
        <v>1750</v>
      </c>
      <c r="M1257">
        <v>183</v>
      </c>
      <c r="N1257" t="b">
        <v>0</v>
      </c>
      <c r="O1257">
        <v>15</v>
      </c>
      <c r="P1257" t="s">
        <v>1819</v>
      </c>
      <c r="Q1257" t="s">
        <v>1753</v>
      </c>
      <c r="R1257" t="s">
        <v>1828</v>
      </c>
    </row>
    <row r="1258" spans="1:18" x14ac:dyDescent="0.25">
      <c r="A1258" t="s">
        <v>3674</v>
      </c>
      <c r="B1258" t="s">
        <v>2150</v>
      </c>
      <c r="C1258" t="s">
        <v>4</v>
      </c>
      <c r="D1258" t="s">
        <v>3673</v>
      </c>
      <c r="E1258" s="2">
        <v>39903</v>
      </c>
      <c r="F1258">
        <v>5708</v>
      </c>
      <c r="G1258" t="s">
        <v>1746</v>
      </c>
      <c r="H1258" t="s">
        <v>1805</v>
      </c>
      <c r="I1258" t="b">
        <v>0</v>
      </c>
      <c r="J1258" t="s">
        <v>1748</v>
      </c>
      <c r="K1258" t="s">
        <v>1774</v>
      </c>
      <c r="L1258" t="s">
        <v>1766</v>
      </c>
      <c r="M1258">
        <v>182</v>
      </c>
      <c r="N1258" t="b">
        <v>0</v>
      </c>
      <c r="P1258" t="s">
        <v>1752</v>
      </c>
      <c r="Q1258" t="s">
        <v>1753</v>
      </c>
    </row>
    <row r="1259" spans="1:18" x14ac:dyDescent="0.25">
      <c r="A1259" t="s">
        <v>3676</v>
      </c>
      <c r="B1259" t="s">
        <v>2096</v>
      </c>
      <c r="C1259" t="s">
        <v>4</v>
      </c>
      <c r="D1259" t="s">
        <v>3675</v>
      </c>
      <c r="E1259" s="2">
        <v>45250</v>
      </c>
      <c r="F1259">
        <v>361</v>
      </c>
      <c r="G1259" t="s">
        <v>1746</v>
      </c>
      <c r="H1259" t="s">
        <v>1798</v>
      </c>
      <c r="I1259" t="b">
        <v>0</v>
      </c>
      <c r="J1259" t="s">
        <v>1761</v>
      </c>
      <c r="K1259" t="s">
        <v>1774</v>
      </c>
      <c r="L1259" t="s">
        <v>1817</v>
      </c>
      <c r="M1259">
        <v>182</v>
      </c>
      <c r="N1259" t="b">
        <v>1</v>
      </c>
      <c r="O1259">
        <v>374</v>
      </c>
      <c r="P1259" t="s">
        <v>1819</v>
      </c>
      <c r="Q1259" t="s">
        <v>1753</v>
      </c>
      <c r="R1259" t="s">
        <v>1759</v>
      </c>
    </row>
    <row r="1260" spans="1:18" x14ac:dyDescent="0.25">
      <c r="A1260" t="s">
        <v>3678</v>
      </c>
      <c r="B1260" t="s">
        <v>2085</v>
      </c>
      <c r="C1260" t="s">
        <v>4</v>
      </c>
      <c r="D1260" t="s">
        <v>3677</v>
      </c>
      <c r="E1260" s="2">
        <v>43200</v>
      </c>
      <c r="F1260">
        <v>2411</v>
      </c>
      <c r="G1260" t="s">
        <v>1746</v>
      </c>
      <c r="H1260" t="s">
        <v>1747</v>
      </c>
      <c r="I1260" t="b">
        <v>1</v>
      </c>
      <c r="J1260" t="s">
        <v>1748</v>
      </c>
      <c r="K1260" t="s">
        <v>1868</v>
      </c>
      <c r="L1260" t="s">
        <v>1817</v>
      </c>
      <c r="M1260">
        <v>182</v>
      </c>
      <c r="N1260" t="b">
        <v>0</v>
      </c>
      <c r="O1260">
        <v>218</v>
      </c>
      <c r="P1260" t="s">
        <v>1819</v>
      </c>
      <c r="Q1260" t="s">
        <v>1753</v>
      </c>
      <c r="R1260" t="s">
        <v>1759</v>
      </c>
    </row>
    <row r="1261" spans="1:18" x14ac:dyDescent="0.25">
      <c r="A1261" t="s">
        <v>3679</v>
      </c>
      <c r="B1261" t="s">
        <v>1881</v>
      </c>
      <c r="C1261" t="s">
        <v>6</v>
      </c>
      <c r="D1261" t="s">
        <v>1195</v>
      </c>
      <c r="E1261" s="2">
        <v>42277</v>
      </c>
      <c r="F1261">
        <v>3334</v>
      </c>
      <c r="G1261" t="s">
        <v>1746</v>
      </c>
      <c r="H1261" t="s">
        <v>1798</v>
      </c>
      <c r="I1261" t="b">
        <v>0</v>
      </c>
      <c r="J1261" t="s">
        <v>1748</v>
      </c>
      <c r="K1261" t="s">
        <v>1826</v>
      </c>
      <c r="L1261" t="s">
        <v>1817</v>
      </c>
      <c r="M1261">
        <v>181</v>
      </c>
      <c r="N1261" t="b">
        <v>1</v>
      </c>
      <c r="O1261">
        <v>448</v>
      </c>
      <c r="P1261" t="s">
        <v>1819</v>
      </c>
      <c r="Q1261" t="s">
        <v>1753</v>
      </c>
    </row>
    <row r="1262" spans="1:18" x14ac:dyDescent="0.25">
      <c r="A1262" t="s">
        <v>3680</v>
      </c>
      <c r="B1262" t="s">
        <v>2384</v>
      </c>
      <c r="C1262" t="s">
        <v>4</v>
      </c>
      <c r="D1262" t="s">
        <v>1288</v>
      </c>
      <c r="E1262" s="2">
        <v>44789</v>
      </c>
      <c r="F1262">
        <v>822</v>
      </c>
      <c r="G1262" t="s">
        <v>1746</v>
      </c>
      <c r="H1262" t="s">
        <v>1747</v>
      </c>
      <c r="I1262" t="b">
        <v>0</v>
      </c>
      <c r="J1262" t="s">
        <v>1748</v>
      </c>
      <c r="K1262" t="s">
        <v>1774</v>
      </c>
      <c r="L1262" t="s">
        <v>1756</v>
      </c>
      <c r="M1262">
        <v>181</v>
      </c>
      <c r="N1262" t="b">
        <v>1</v>
      </c>
      <c r="O1262">
        <v>1471</v>
      </c>
      <c r="P1262" t="s">
        <v>1752</v>
      </c>
      <c r="Q1262" t="s">
        <v>1753</v>
      </c>
      <c r="R1262" t="s">
        <v>2092</v>
      </c>
    </row>
    <row r="1263" spans="1:18" x14ac:dyDescent="0.25">
      <c r="A1263" t="s">
        <v>3681</v>
      </c>
      <c r="B1263" t="s">
        <v>2046</v>
      </c>
      <c r="C1263" t="s">
        <v>6</v>
      </c>
      <c r="D1263" t="s">
        <v>1174</v>
      </c>
      <c r="E1263" s="2">
        <v>44000</v>
      </c>
      <c r="F1263">
        <v>1611</v>
      </c>
      <c r="G1263" t="s">
        <v>1746</v>
      </c>
      <c r="H1263" t="s">
        <v>1798</v>
      </c>
      <c r="I1263" t="b">
        <v>1</v>
      </c>
      <c r="J1263" t="s">
        <v>1748</v>
      </c>
      <c r="K1263" t="s">
        <v>1891</v>
      </c>
      <c r="L1263" t="s">
        <v>1750</v>
      </c>
      <c r="M1263">
        <v>181</v>
      </c>
      <c r="N1263" t="b">
        <v>0</v>
      </c>
      <c r="O1263">
        <v>46</v>
      </c>
      <c r="P1263" t="s">
        <v>1752</v>
      </c>
      <c r="Q1263" t="s">
        <v>1753</v>
      </c>
    </row>
    <row r="1264" spans="1:18" x14ac:dyDescent="0.25">
      <c r="A1264" t="s">
        <v>3683</v>
      </c>
      <c r="B1264" t="s">
        <v>1840</v>
      </c>
      <c r="C1264" t="s">
        <v>4</v>
      </c>
      <c r="D1264" t="s">
        <v>3682</v>
      </c>
      <c r="E1264" s="2">
        <v>42185</v>
      </c>
      <c r="F1264">
        <v>3426</v>
      </c>
      <c r="G1264" t="s">
        <v>1746</v>
      </c>
      <c r="H1264" t="s">
        <v>1747</v>
      </c>
      <c r="I1264" t="b">
        <v>1</v>
      </c>
      <c r="J1264" t="s">
        <v>1748</v>
      </c>
      <c r="K1264" t="s">
        <v>1800</v>
      </c>
      <c r="L1264" t="s">
        <v>1750</v>
      </c>
      <c r="M1264">
        <v>181</v>
      </c>
      <c r="N1264" t="b">
        <v>0</v>
      </c>
      <c r="O1264">
        <v>222</v>
      </c>
      <c r="P1264" t="s">
        <v>1752</v>
      </c>
      <c r="Q1264" t="s">
        <v>1753</v>
      </c>
      <c r="R1264" t="s">
        <v>1828</v>
      </c>
    </row>
    <row r="1265" spans="1:18" x14ac:dyDescent="0.25">
      <c r="A1265" t="s">
        <v>3685</v>
      </c>
      <c r="B1265" t="s">
        <v>2032</v>
      </c>
      <c r="C1265" t="s">
        <v>6</v>
      </c>
      <c r="D1265" t="s">
        <v>3684</v>
      </c>
      <c r="E1265" s="2">
        <v>40277</v>
      </c>
      <c r="F1265">
        <v>5334</v>
      </c>
      <c r="G1265" t="s">
        <v>1746</v>
      </c>
      <c r="H1265" t="s">
        <v>1747</v>
      </c>
      <c r="I1265" t="b">
        <v>0</v>
      </c>
      <c r="J1265" t="s">
        <v>1748</v>
      </c>
      <c r="K1265" t="s">
        <v>1771</v>
      </c>
      <c r="L1265" t="s">
        <v>1766</v>
      </c>
      <c r="M1265">
        <v>181</v>
      </c>
      <c r="N1265" t="b">
        <v>0</v>
      </c>
      <c r="P1265" t="s">
        <v>2070</v>
      </c>
      <c r="Q1265" t="s">
        <v>1753</v>
      </c>
    </row>
    <row r="1266" spans="1:18" x14ac:dyDescent="0.25">
      <c r="A1266" t="s">
        <v>3686</v>
      </c>
      <c r="B1266" t="s">
        <v>2997</v>
      </c>
      <c r="C1266" t="s">
        <v>6</v>
      </c>
      <c r="D1266" t="s">
        <v>954</v>
      </c>
      <c r="E1266" s="2">
        <v>42769</v>
      </c>
      <c r="F1266">
        <v>2842</v>
      </c>
      <c r="G1266" t="s">
        <v>1746</v>
      </c>
      <c r="H1266" t="s">
        <v>1798</v>
      </c>
      <c r="I1266" t="b">
        <v>0</v>
      </c>
      <c r="J1266" t="s">
        <v>1761</v>
      </c>
      <c r="K1266" t="s">
        <v>1822</v>
      </c>
      <c r="L1266" t="s">
        <v>1750</v>
      </c>
      <c r="M1266">
        <v>179</v>
      </c>
      <c r="N1266" t="b">
        <v>0</v>
      </c>
      <c r="O1266">
        <v>86</v>
      </c>
      <c r="P1266" t="s">
        <v>1819</v>
      </c>
      <c r="Q1266" t="s">
        <v>1753</v>
      </c>
    </row>
    <row r="1267" spans="1:18" x14ac:dyDescent="0.25">
      <c r="A1267" t="s">
        <v>3687</v>
      </c>
      <c r="B1267" t="s">
        <v>1754</v>
      </c>
      <c r="C1267" t="s">
        <v>4</v>
      </c>
      <c r="D1267" t="s">
        <v>1212</v>
      </c>
      <c r="E1267" s="2">
        <v>42242</v>
      </c>
      <c r="F1267">
        <v>3369</v>
      </c>
      <c r="G1267" t="s">
        <v>1746</v>
      </c>
      <c r="H1267" t="s">
        <v>1747</v>
      </c>
      <c r="I1267" t="b">
        <v>0</v>
      </c>
      <c r="J1267" t="s">
        <v>1761</v>
      </c>
      <c r="K1267" t="s">
        <v>1776</v>
      </c>
      <c r="L1267" t="s">
        <v>1750</v>
      </c>
      <c r="M1267">
        <v>179</v>
      </c>
      <c r="N1267" t="b">
        <v>1</v>
      </c>
      <c r="O1267">
        <v>126</v>
      </c>
      <c r="P1267" t="s">
        <v>1752</v>
      </c>
      <c r="Q1267" t="s">
        <v>1753</v>
      </c>
    </row>
    <row r="1268" spans="1:18" x14ac:dyDescent="0.25">
      <c r="A1268" t="s">
        <v>3689</v>
      </c>
      <c r="B1268" t="s">
        <v>2150</v>
      </c>
      <c r="C1268" t="s">
        <v>4</v>
      </c>
      <c r="D1268" t="s">
        <v>3688</v>
      </c>
      <c r="E1268" s="2">
        <v>44168</v>
      </c>
      <c r="F1268">
        <v>1443</v>
      </c>
      <c r="G1268" t="s">
        <v>1746</v>
      </c>
      <c r="H1268" t="s">
        <v>1805</v>
      </c>
      <c r="I1268" t="b">
        <v>0</v>
      </c>
      <c r="J1268" t="s">
        <v>1761</v>
      </c>
      <c r="K1268" t="s">
        <v>1985</v>
      </c>
      <c r="L1268" t="s">
        <v>1756</v>
      </c>
      <c r="M1268">
        <v>178</v>
      </c>
      <c r="N1268" t="b">
        <v>0</v>
      </c>
      <c r="O1268">
        <v>20</v>
      </c>
      <c r="P1268" t="s">
        <v>1819</v>
      </c>
      <c r="Q1268" t="s">
        <v>1753</v>
      </c>
    </row>
    <row r="1269" spans="1:18" x14ac:dyDescent="0.25">
      <c r="A1269" t="s">
        <v>3690</v>
      </c>
      <c r="B1269" t="s">
        <v>1814</v>
      </c>
      <c r="C1269" t="s">
        <v>6</v>
      </c>
      <c r="D1269" t="s">
        <v>895</v>
      </c>
      <c r="E1269" s="2">
        <v>39106</v>
      </c>
      <c r="F1269">
        <v>6505</v>
      </c>
      <c r="G1269" t="s">
        <v>1746</v>
      </c>
      <c r="H1269" t="s">
        <v>1798</v>
      </c>
      <c r="I1269" t="b">
        <v>0</v>
      </c>
      <c r="J1269" t="s">
        <v>1748</v>
      </c>
      <c r="K1269" t="s">
        <v>1757</v>
      </c>
      <c r="L1269" t="s">
        <v>1766</v>
      </c>
      <c r="M1269">
        <v>177</v>
      </c>
      <c r="N1269" t="b">
        <v>0</v>
      </c>
      <c r="P1269" t="s">
        <v>1752</v>
      </c>
      <c r="Q1269" t="s">
        <v>1753</v>
      </c>
    </row>
    <row r="1270" spans="1:18" x14ac:dyDescent="0.25">
      <c r="A1270" t="s">
        <v>3692</v>
      </c>
      <c r="B1270" t="s">
        <v>2144</v>
      </c>
      <c r="C1270" t="s">
        <v>6</v>
      </c>
      <c r="D1270" t="s">
        <v>3691</v>
      </c>
      <c r="E1270" s="2">
        <v>44253</v>
      </c>
      <c r="F1270">
        <v>1358</v>
      </c>
      <c r="G1270" t="s">
        <v>1746</v>
      </c>
      <c r="H1270" t="s">
        <v>2231</v>
      </c>
      <c r="I1270" t="b">
        <v>0</v>
      </c>
      <c r="J1270" t="s">
        <v>1748</v>
      </c>
      <c r="K1270" t="s">
        <v>1846</v>
      </c>
      <c r="L1270" t="s">
        <v>1750</v>
      </c>
      <c r="M1270">
        <v>177</v>
      </c>
      <c r="N1270" t="b">
        <v>1</v>
      </c>
      <c r="O1270">
        <v>58</v>
      </c>
      <c r="P1270" t="s">
        <v>1752</v>
      </c>
      <c r="Q1270" t="s">
        <v>1753</v>
      </c>
    </row>
    <row r="1271" spans="1:18" x14ac:dyDescent="0.25">
      <c r="A1271" t="s">
        <v>1030</v>
      </c>
      <c r="B1271" t="s">
        <v>1814</v>
      </c>
      <c r="C1271" t="s">
        <v>4</v>
      </c>
      <c r="D1271" t="s">
        <v>1031</v>
      </c>
      <c r="E1271" s="2">
        <v>41978</v>
      </c>
      <c r="F1271">
        <v>3633</v>
      </c>
      <c r="G1271" t="s">
        <v>1746</v>
      </c>
      <c r="H1271" t="s">
        <v>1798</v>
      </c>
      <c r="I1271" t="b">
        <v>1</v>
      </c>
      <c r="J1271" t="s">
        <v>1748</v>
      </c>
      <c r="K1271" t="s">
        <v>1770</v>
      </c>
      <c r="L1271" t="s">
        <v>1750</v>
      </c>
      <c r="M1271">
        <v>176</v>
      </c>
      <c r="N1271" t="b">
        <v>0</v>
      </c>
      <c r="O1271">
        <v>37</v>
      </c>
      <c r="P1271" t="s">
        <v>1752</v>
      </c>
      <c r="Q1271" t="s">
        <v>1753</v>
      </c>
      <c r="R1271" t="s">
        <v>1828</v>
      </c>
    </row>
    <row r="1272" spans="1:18" x14ac:dyDescent="0.25">
      <c r="A1272" t="s">
        <v>3694</v>
      </c>
      <c r="B1272" t="s">
        <v>1866</v>
      </c>
      <c r="C1272" t="s">
        <v>4</v>
      </c>
      <c r="D1272" t="s">
        <v>3693</v>
      </c>
      <c r="E1272" s="2">
        <v>42846</v>
      </c>
      <c r="F1272">
        <v>2765</v>
      </c>
      <c r="G1272" t="s">
        <v>1746</v>
      </c>
      <c r="H1272" t="s">
        <v>1798</v>
      </c>
      <c r="I1272" t="b">
        <v>1</v>
      </c>
      <c r="J1272" t="s">
        <v>1748</v>
      </c>
      <c r="K1272" t="s">
        <v>1880</v>
      </c>
      <c r="L1272" t="s">
        <v>1756</v>
      </c>
      <c r="M1272">
        <v>175</v>
      </c>
      <c r="N1272" t="b">
        <v>0</v>
      </c>
      <c r="O1272">
        <v>262</v>
      </c>
      <c r="P1272" t="s">
        <v>1752</v>
      </c>
      <c r="Q1272" t="s">
        <v>1753</v>
      </c>
      <c r="R1272" t="s">
        <v>1759</v>
      </c>
    </row>
    <row r="1273" spans="1:18" x14ac:dyDescent="0.25">
      <c r="A1273" t="s">
        <v>3695</v>
      </c>
      <c r="B1273" t="s">
        <v>1810</v>
      </c>
      <c r="C1273" t="s">
        <v>4</v>
      </c>
      <c r="D1273" t="s">
        <v>1004</v>
      </c>
      <c r="E1273" s="2">
        <v>41536</v>
      </c>
      <c r="F1273">
        <v>4075</v>
      </c>
      <c r="G1273" t="s">
        <v>1746</v>
      </c>
      <c r="H1273" t="s">
        <v>1747</v>
      </c>
      <c r="I1273" t="b">
        <v>0</v>
      </c>
      <c r="J1273" t="s">
        <v>1761</v>
      </c>
      <c r="K1273" t="s">
        <v>1853</v>
      </c>
      <c r="L1273" t="s">
        <v>1817</v>
      </c>
      <c r="M1273">
        <v>174</v>
      </c>
      <c r="N1273" t="b">
        <v>1</v>
      </c>
      <c r="O1273">
        <v>658</v>
      </c>
      <c r="P1273" t="s">
        <v>1819</v>
      </c>
      <c r="Q1273" t="s">
        <v>1753</v>
      </c>
      <c r="R1273" t="s">
        <v>1759</v>
      </c>
    </row>
    <row r="1274" spans="1:18" x14ac:dyDescent="0.25">
      <c r="A1274" t="s">
        <v>2022</v>
      </c>
      <c r="B1274" t="s">
        <v>1785</v>
      </c>
      <c r="C1274" t="s">
        <v>4</v>
      </c>
      <c r="D1274" t="s">
        <v>3696</v>
      </c>
      <c r="E1274" s="2">
        <v>43027</v>
      </c>
      <c r="F1274">
        <v>2584</v>
      </c>
      <c r="G1274" t="s">
        <v>1746</v>
      </c>
      <c r="H1274" t="s">
        <v>1747</v>
      </c>
      <c r="I1274" t="b">
        <v>1</v>
      </c>
      <c r="J1274" t="s">
        <v>1761</v>
      </c>
      <c r="K1274" t="s">
        <v>2021</v>
      </c>
      <c r="L1274" t="s">
        <v>1756</v>
      </c>
      <c r="M1274">
        <v>174</v>
      </c>
      <c r="N1274" t="b">
        <v>1</v>
      </c>
      <c r="O1274">
        <v>151</v>
      </c>
      <c r="P1274" t="s">
        <v>1752</v>
      </c>
      <c r="Q1274" t="s">
        <v>1753</v>
      </c>
      <c r="R1274" t="s">
        <v>1759</v>
      </c>
    </row>
    <row r="1275" spans="1:18" x14ac:dyDescent="0.25">
      <c r="A1275" t="s">
        <v>3698</v>
      </c>
      <c r="B1275" t="s">
        <v>2150</v>
      </c>
      <c r="C1275" t="s">
        <v>6</v>
      </c>
      <c r="D1275" t="s">
        <v>3697</v>
      </c>
      <c r="E1275" s="2">
        <v>44019</v>
      </c>
      <c r="F1275">
        <v>1592</v>
      </c>
      <c r="G1275" t="s">
        <v>1746</v>
      </c>
      <c r="H1275" t="s">
        <v>1805</v>
      </c>
      <c r="I1275" t="b">
        <v>1</v>
      </c>
      <c r="J1275" t="s">
        <v>1761</v>
      </c>
      <c r="K1275" t="s">
        <v>1765</v>
      </c>
      <c r="L1275" t="s">
        <v>1750</v>
      </c>
      <c r="M1275">
        <v>174</v>
      </c>
      <c r="N1275" t="b">
        <v>0</v>
      </c>
      <c r="O1275">
        <v>151</v>
      </c>
      <c r="P1275" t="s">
        <v>1752</v>
      </c>
      <c r="Q1275" t="s">
        <v>1753</v>
      </c>
    </row>
    <row r="1276" spans="1:18" x14ac:dyDescent="0.25">
      <c r="A1276" t="s">
        <v>3699</v>
      </c>
      <c r="B1276" t="s">
        <v>1810</v>
      </c>
      <c r="C1276" t="s">
        <v>4</v>
      </c>
      <c r="D1276" t="s">
        <v>504</v>
      </c>
      <c r="E1276" s="2">
        <v>43476</v>
      </c>
      <c r="F1276">
        <v>2135</v>
      </c>
      <c r="G1276" t="s">
        <v>1746</v>
      </c>
      <c r="H1276" t="s">
        <v>1747</v>
      </c>
      <c r="I1276" t="b">
        <v>1</v>
      </c>
      <c r="J1276" t="s">
        <v>1761</v>
      </c>
      <c r="K1276" t="s">
        <v>1985</v>
      </c>
      <c r="L1276" t="s">
        <v>1817</v>
      </c>
      <c r="M1276">
        <v>174</v>
      </c>
      <c r="N1276" t="b">
        <v>0</v>
      </c>
      <c r="O1276">
        <v>95</v>
      </c>
      <c r="P1276" t="s">
        <v>1819</v>
      </c>
      <c r="Q1276" t="s">
        <v>1753</v>
      </c>
    </row>
    <row r="1277" spans="1:18" x14ac:dyDescent="0.25">
      <c r="A1277" t="s">
        <v>3701</v>
      </c>
      <c r="B1277" t="s">
        <v>1803</v>
      </c>
      <c r="C1277" t="s">
        <v>572</v>
      </c>
      <c r="D1277" t="s">
        <v>3700</v>
      </c>
      <c r="E1277" s="2">
        <v>38909</v>
      </c>
      <c r="F1277">
        <v>6702</v>
      </c>
      <c r="G1277" t="s">
        <v>1746</v>
      </c>
      <c r="H1277" t="s">
        <v>1798</v>
      </c>
      <c r="I1277" t="b">
        <v>0</v>
      </c>
      <c r="J1277" t="s">
        <v>1761</v>
      </c>
      <c r="K1277" t="s">
        <v>1824</v>
      </c>
      <c r="L1277" t="s">
        <v>1817</v>
      </c>
      <c r="M1277">
        <v>173</v>
      </c>
      <c r="N1277" t="b">
        <v>0</v>
      </c>
      <c r="O1277">
        <v>25</v>
      </c>
      <c r="P1277" t="s">
        <v>1819</v>
      </c>
      <c r="Q1277" t="s">
        <v>1753</v>
      </c>
      <c r="R1277" t="s">
        <v>1828</v>
      </c>
    </row>
    <row r="1278" spans="1:18" x14ac:dyDescent="0.25">
      <c r="A1278" t="s">
        <v>3703</v>
      </c>
      <c r="B1278" t="s">
        <v>2173</v>
      </c>
      <c r="C1278" t="s">
        <v>4</v>
      </c>
      <c r="D1278" t="s">
        <v>3702</v>
      </c>
      <c r="E1278" s="2">
        <v>43258</v>
      </c>
      <c r="F1278">
        <v>2353</v>
      </c>
      <c r="G1278" t="s">
        <v>1746</v>
      </c>
      <c r="H1278" t="s">
        <v>1805</v>
      </c>
      <c r="I1278" t="b">
        <v>0</v>
      </c>
      <c r="J1278" t="s">
        <v>1748</v>
      </c>
      <c r="K1278" t="s">
        <v>1909</v>
      </c>
      <c r="L1278" t="s">
        <v>1756</v>
      </c>
      <c r="M1278">
        <v>172</v>
      </c>
      <c r="N1278" t="b">
        <v>1</v>
      </c>
      <c r="O1278">
        <v>1911</v>
      </c>
      <c r="P1278" t="s">
        <v>1752</v>
      </c>
      <c r="Q1278" t="s">
        <v>1753</v>
      </c>
      <c r="R1278" t="s">
        <v>1759</v>
      </c>
    </row>
    <row r="1279" spans="1:18" x14ac:dyDescent="0.25">
      <c r="A1279" t="s">
        <v>3704</v>
      </c>
      <c r="B1279" t="s">
        <v>1810</v>
      </c>
      <c r="C1279" t="s">
        <v>4</v>
      </c>
      <c r="D1279" t="s">
        <v>758</v>
      </c>
      <c r="E1279" s="2">
        <v>43655</v>
      </c>
      <c r="F1279">
        <v>1956</v>
      </c>
      <c r="G1279" t="s">
        <v>1746</v>
      </c>
      <c r="H1279" t="s">
        <v>1747</v>
      </c>
      <c r="I1279" t="b">
        <v>0</v>
      </c>
      <c r="J1279" t="s">
        <v>1748</v>
      </c>
      <c r="K1279" t="s">
        <v>1755</v>
      </c>
      <c r="L1279" t="s">
        <v>1750</v>
      </c>
      <c r="M1279">
        <v>172</v>
      </c>
      <c r="N1279" t="b">
        <v>0</v>
      </c>
      <c r="O1279">
        <v>499</v>
      </c>
      <c r="P1279" t="s">
        <v>1752</v>
      </c>
      <c r="Q1279" t="s">
        <v>1753</v>
      </c>
      <c r="R1279" t="s">
        <v>1759</v>
      </c>
    </row>
    <row r="1280" spans="1:18" x14ac:dyDescent="0.25">
      <c r="A1280" t="s">
        <v>3706</v>
      </c>
      <c r="B1280" t="s">
        <v>2269</v>
      </c>
      <c r="C1280" t="s">
        <v>6</v>
      </c>
      <c r="D1280" t="s">
        <v>3705</v>
      </c>
      <c r="E1280" s="2">
        <v>43410</v>
      </c>
      <c r="F1280">
        <v>2201</v>
      </c>
      <c r="G1280" t="s">
        <v>1746</v>
      </c>
      <c r="H1280" t="s">
        <v>1798</v>
      </c>
      <c r="I1280" t="b">
        <v>1</v>
      </c>
      <c r="J1280" t="s">
        <v>1761</v>
      </c>
      <c r="K1280" t="s">
        <v>1809</v>
      </c>
      <c r="L1280" t="s">
        <v>1750</v>
      </c>
      <c r="M1280">
        <v>172</v>
      </c>
      <c r="N1280" t="b">
        <v>0</v>
      </c>
      <c r="O1280">
        <v>225</v>
      </c>
      <c r="P1280" t="s">
        <v>1752</v>
      </c>
      <c r="Q1280" t="s">
        <v>1753</v>
      </c>
    </row>
    <row r="1281" spans="1:18" x14ac:dyDescent="0.25">
      <c r="A1281" t="s">
        <v>3708</v>
      </c>
      <c r="B1281" t="s">
        <v>1785</v>
      </c>
      <c r="C1281" t="s">
        <v>4</v>
      </c>
      <c r="D1281" t="s">
        <v>3707</v>
      </c>
      <c r="E1281" s="2">
        <v>42814</v>
      </c>
      <c r="F1281">
        <v>2797</v>
      </c>
      <c r="G1281" t="s">
        <v>1746</v>
      </c>
      <c r="H1281" t="s">
        <v>1747</v>
      </c>
      <c r="I1281" t="b">
        <v>1</v>
      </c>
      <c r="J1281" t="s">
        <v>1748</v>
      </c>
      <c r="K1281" t="s">
        <v>1824</v>
      </c>
      <c r="L1281" t="s">
        <v>1750</v>
      </c>
      <c r="M1281">
        <v>171</v>
      </c>
      <c r="N1281" t="b">
        <v>0</v>
      </c>
      <c r="O1281">
        <v>28</v>
      </c>
      <c r="P1281" t="s">
        <v>1752</v>
      </c>
      <c r="Q1281" t="s">
        <v>1753</v>
      </c>
    </row>
    <row r="1282" spans="1:18" x14ac:dyDescent="0.25">
      <c r="A1282" t="s">
        <v>3709</v>
      </c>
      <c r="B1282" t="s">
        <v>1876</v>
      </c>
      <c r="C1282" t="s">
        <v>4</v>
      </c>
      <c r="D1282" t="s">
        <v>290</v>
      </c>
      <c r="E1282" s="2">
        <v>44607</v>
      </c>
      <c r="F1282">
        <v>1004</v>
      </c>
      <c r="G1282" t="s">
        <v>1746</v>
      </c>
      <c r="H1282" t="s">
        <v>1747</v>
      </c>
      <c r="I1282" t="b">
        <v>1</v>
      </c>
      <c r="J1282" t="s">
        <v>1761</v>
      </c>
      <c r="K1282" t="s">
        <v>1856</v>
      </c>
      <c r="L1282" t="s">
        <v>1750</v>
      </c>
      <c r="M1282">
        <v>171</v>
      </c>
      <c r="N1282" t="b">
        <v>0</v>
      </c>
      <c r="O1282">
        <v>96</v>
      </c>
      <c r="P1282" t="s">
        <v>1752</v>
      </c>
      <c r="Q1282" t="s">
        <v>1753</v>
      </c>
      <c r="R1282" t="s">
        <v>1759</v>
      </c>
    </row>
    <row r="1283" spans="1:18" x14ac:dyDescent="0.25">
      <c r="A1283" t="s">
        <v>3710</v>
      </c>
      <c r="B1283" t="s">
        <v>1876</v>
      </c>
      <c r="C1283" t="s">
        <v>4</v>
      </c>
      <c r="D1283" t="s">
        <v>332</v>
      </c>
      <c r="E1283" s="2">
        <v>43308</v>
      </c>
      <c r="F1283">
        <v>2303</v>
      </c>
      <c r="G1283" t="s">
        <v>1746</v>
      </c>
      <c r="H1283" t="s">
        <v>1747</v>
      </c>
      <c r="I1283" t="b">
        <v>1</v>
      </c>
      <c r="J1283" t="s">
        <v>1761</v>
      </c>
      <c r="K1283" t="s">
        <v>1853</v>
      </c>
      <c r="L1283" t="s">
        <v>1750</v>
      </c>
      <c r="M1283">
        <v>169</v>
      </c>
      <c r="N1283" t="b">
        <v>0</v>
      </c>
      <c r="O1283">
        <v>432</v>
      </c>
      <c r="P1283" t="s">
        <v>1752</v>
      </c>
      <c r="Q1283" t="s">
        <v>1753</v>
      </c>
    </row>
    <row r="1284" spans="1:18" x14ac:dyDescent="0.25">
      <c r="A1284" t="s">
        <v>3711</v>
      </c>
      <c r="B1284" t="s">
        <v>1810</v>
      </c>
      <c r="C1284" t="s">
        <v>4</v>
      </c>
      <c r="D1284" t="s">
        <v>983</v>
      </c>
      <c r="E1284" s="2">
        <v>41513</v>
      </c>
      <c r="F1284">
        <v>4098</v>
      </c>
      <c r="G1284" t="s">
        <v>1746</v>
      </c>
      <c r="H1284" t="s">
        <v>1747</v>
      </c>
      <c r="I1284" t="b">
        <v>1</v>
      </c>
      <c r="J1284" t="s">
        <v>1761</v>
      </c>
      <c r="K1284" t="s">
        <v>1774</v>
      </c>
      <c r="L1284" t="s">
        <v>1817</v>
      </c>
      <c r="M1284">
        <v>169</v>
      </c>
      <c r="N1284" t="b">
        <v>0</v>
      </c>
      <c r="O1284">
        <v>1245</v>
      </c>
      <c r="P1284" t="s">
        <v>1819</v>
      </c>
      <c r="Q1284" t="s">
        <v>1753</v>
      </c>
      <c r="R1284" t="s">
        <v>1759</v>
      </c>
    </row>
    <row r="1285" spans="1:18" x14ac:dyDescent="0.25">
      <c r="A1285" t="s">
        <v>3712</v>
      </c>
      <c r="B1285" t="s">
        <v>1829</v>
      </c>
      <c r="C1285" t="s">
        <v>6</v>
      </c>
      <c r="D1285" t="s">
        <v>897</v>
      </c>
      <c r="E1285" s="2">
        <v>45118</v>
      </c>
      <c r="F1285">
        <v>493</v>
      </c>
      <c r="G1285" t="s">
        <v>1746</v>
      </c>
      <c r="H1285" t="s">
        <v>1798</v>
      </c>
      <c r="I1285" t="b">
        <v>1</v>
      </c>
      <c r="J1285" t="s">
        <v>1761</v>
      </c>
      <c r="K1285" t="s">
        <v>1757</v>
      </c>
      <c r="L1285" t="s">
        <v>1750</v>
      </c>
      <c r="M1285">
        <v>169</v>
      </c>
      <c r="N1285" t="b">
        <v>1</v>
      </c>
      <c r="O1285">
        <v>181</v>
      </c>
      <c r="P1285" t="s">
        <v>1752</v>
      </c>
      <c r="Q1285" t="s">
        <v>1753</v>
      </c>
    </row>
    <row r="1286" spans="1:18" x14ac:dyDescent="0.25">
      <c r="A1286" t="s">
        <v>3714</v>
      </c>
      <c r="B1286" t="s">
        <v>2949</v>
      </c>
      <c r="C1286" t="s">
        <v>6</v>
      </c>
      <c r="D1286" t="s">
        <v>3713</v>
      </c>
      <c r="E1286" s="2">
        <v>40280</v>
      </c>
      <c r="F1286">
        <v>5331</v>
      </c>
      <c r="G1286" t="s">
        <v>1746</v>
      </c>
      <c r="H1286" t="s">
        <v>1798</v>
      </c>
      <c r="I1286" t="b">
        <v>1</v>
      </c>
      <c r="J1286" t="s">
        <v>1761</v>
      </c>
      <c r="K1286" t="s">
        <v>1776</v>
      </c>
      <c r="L1286" t="s">
        <v>1750</v>
      </c>
      <c r="M1286">
        <v>169</v>
      </c>
      <c r="N1286" t="b">
        <v>1</v>
      </c>
      <c r="O1286">
        <v>40</v>
      </c>
      <c r="P1286" t="s">
        <v>1752</v>
      </c>
      <c r="Q1286" t="s">
        <v>1753</v>
      </c>
    </row>
    <row r="1287" spans="1:18" x14ac:dyDescent="0.25">
      <c r="A1287" t="s">
        <v>3716</v>
      </c>
      <c r="B1287" t="s">
        <v>3629</v>
      </c>
      <c r="C1287" t="s">
        <v>6</v>
      </c>
      <c r="D1287" t="s">
        <v>3715</v>
      </c>
      <c r="E1287" s="2">
        <v>44208</v>
      </c>
      <c r="F1287">
        <v>1403</v>
      </c>
      <c r="G1287" t="s">
        <v>1746</v>
      </c>
      <c r="H1287" t="s">
        <v>1798</v>
      </c>
      <c r="I1287" t="b">
        <v>0</v>
      </c>
      <c r="J1287" t="s">
        <v>1748</v>
      </c>
      <c r="K1287" t="s">
        <v>1755</v>
      </c>
      <c r="L1287" t="s">
        <v>1750</v>
      </c>
      <c r="M1287">
        <v>168</v>
      </c>
      <c r="N1287" t="b">
        <v>1</v>
      </c>
      <c r="O1287">
        <v>38</v>
      </c>
      <c r="P1287" t="s">
        <v>1752</v>
      </c>
      <c r="Q1287" t="s">
        <v>1753</v>
      </c>
    </row>
    <row r="1288" spans="1:18" x14ac:dyDescent="0.25">
      <c r="A1288" t="s">
        <v>3718</v>
      </c>
      <c r="B1288" t="s">
        <v>2173</v>
      </c>
      <c r="C1288" t="s">
        <v>6</v>
      </c>
      <c r="D1288" t="s">
        <v>3717</v>
      </c>
      <c r="E1288" s="2">
        <v>43861</v>
      </c>
      <c r="F1288">
        <v>1750</v>
      </c>
      <c r="G1288" t="s">
        <v>1746</v>
      </c>
      <c r="H1288" t="s">
        <v>2231</v>
      </c>
      <c r="I1288" t="b">
        <v>0</v>
      </c>
      <c r="J1288" t="s">
        <v>1748</v>
      </c>
      <c r="K1288" t="s">
        <v>1770</v>
      </c>
      <c r="L1288" t="s">
        <v>1817</v>
      </c>
      <c r="M1288">
        <v>168</v>
      </c>
      <c r="N1288" t="b">
        <v>1</v>
      </c>
      <c r="O1288">
        <v>1299</v>
      </c>
      <c r="P1288" t="s">
        <v>1819</v>
      </c>
      <c r="Q1288" t="s">
        <v>1753</v>
      </c>
      <c r="R1288" t="s">
        <v>1759</v>
      </c>
    </row>
    <row r="1289" spans="1:18" x14ac:dyDescent="0.25">
      <c r="A1289" t="s">
        <v>3720</v>
      </c>
      <c r="B1289" t="s">
        <v>2150</v>
      </c>
      <c r="C1289" t="s">
        <v>6</v>
      </c>
      <c r="D1289" t="s">
        <v>3719</v>
      </c>
      <c r="E1289" s="2">
        <v>40872</v>
      </c>
      <c r="F1289">
        <v>4739</v>
      </c>
      <c r="G1289" t="s">
        <v>1746</v>
      </c>
      <c r="H1289" t="s">
        <v>1805</v>
      </c>
      <c r="I1289" t="b">
        <v>1</v>
      </c>
      <c r="J1289" t="s">
        <v>1761</v>
      </c>
      <c r="K1289" t="s">
        <v>1776</v>
      </c>
      <c r="L1289" t="s">
        <v>1817</v>
      </c>
      <c r="M1289">
        <v>168</v>
      </c>
      <c r="N1289" t="b">
        <v>0</v>
      </c>
      <c r="O1289">
        <v>154</v>
      </c>
      <c r="P1289" t="s">
        <v>1819</v>
      </c>
      <c r="Q1289" t="s">
        <v>1753</v>
      </c>
      <c r="R1289" t="s">
        <v>1759</v>
      </c>
    </row>
    <row r="1290" spans="1:18" x14ac:dyDescent="0.25">
      <c r="A1290" t="s">
        <v>3722</v>
      </c>
      <c r="B1290" t="s">
        <v>2857</v>
      </c>
      <c r="C1290" t="s">
        <v>4</v>
      </c>
      <c r="D1290" t="s">
        <v>3721</v>
      </c>
      <c r="E1290" s="2">
        <v>41243</v>
      </c>
      <c r="F1290">
        <v>4368</v>
      </c>
      <c r="G1290" t="s">
        <v>1746</v>
      </c>
      <c r="H1290" t="s">
        <v>2231</v>
      </c>
      <c r="I1290" t="b">
        <v>1</v>
      </c>
      <c r="J1290" t="s">
        <v>1748</v>
      </c>
      <c r="K1290" t="s">
        <v>1905</v>
      </c>
      <c r="L1290" t="s">
        <v>1756</v>
      </c>
      <c r="M1290">
        <v>168</v>
      </c>
      <c r="N1290" t="b">
        <v>0</v>
      </c>
      <c r="O1290">
        <v>198</v>
      </c>
      <c r="P1290" t="s">
        <v>1752</v>
      </c>
      <c r="Q1290" t="s">
        <v>1753</v>
      </c>
    </row>
    <row r="1291" spans="1:18" x14ac:dyDescent="0.25">
      <c r="A1291" t="s">
        <v>3723</v>
      </c>
      <c r="B1291" t="s">
        <v>2269</v>
      </c>
      <c r="C1291" t="s">
        <v>6</v>
      </c>
      <c r="D1291" t="s">
        <v>1541</v>
      </c>
      <c r="E1291" s="2">
        <v>39574</v>
      </c>
      <c r="F1291">
        <v>6037</v>
      </c>
      <c r="G1291" t="s">
        <v>1746</v>
      </c>
      <c r="H1291" t="s">
        <v>1798</v>
      </c>
      <c r="I1291" t="b">
        <v>1</v>
      </c>
      <c r="J1291" t="s">
        <v>1748</v>
      </c>
      <c r="K1291" t="s">
        <v>2021</v>
      </c>
      <c r="L1291" t="s">
        <v>1817</v>
      </c>
      <c r="M1291">
        <v>168</v>
      </c>
      <c r="N1291" t="b">
        <v>0</v>
      </c>
      <c r="O1291">
        <v>526</v>
      </c>
      <c r="P1291" t="s">
        <v>1819</v>
      </c>
      <c r="Q1291" t="s">
        <v>1753</v>
      </c>
      <c r="R1291" t="s">
        <v>1772</v>
      </c>
    </row>
    <row r="1292" spans="1:18" x14ac:dyDescent="0.25">
      <c r="A1292" t="s">
        <v>3724</v>
      </c>
      <c r="B1292" t="s">
        <v>1814</v>
      </c>
      <c r="C1292" t="s">
        <v>6</v>
      </c>
      <c r="D1292" t="s">
        <v>916</v>
      </c>
      <c r="E1292" s="2">
        <v>38986</v>
      </c>
      <c r="F1292">
        <v>6625</v>
      </c>
      <c r="G1292" t="s">
        <v>1746</v>
      </c>
      <c r="H1292" t="s">
        <v>1798</v>
      </c>
      <c r="I1292" t="b">
        <v>0</v>
      </c>
      <c r="J1292" t="s">
        <v>1748</v>
      </c>
      <c r="K1292" t="s">
        <v>1856</v>
      </c>
      <c r="L1292" t="s">
        <v>1766</v>
      </c>
      <c r="M1292">
        <v>168</v>
      </c>
      <c r="N1292" t="b">
        <v>0</v>
      </c>
      <c r="P1292" t="s">
        <v>1752</v>
      </c>
      <c r="Q1292" t="s">
        <v>1753</v>
      </c>
    </row>
    <row r="1293" spans="1:18" x14ac:dyDescent="0.25">
      <c r="A1293" t="s">
        <v>3725</v>
      </c>
      <c r="B1293" t="s">
        <v>1876</v>
      </c>
      <c r="C1293" t="s">
        <v>6</v>
      </c>
      <c r="D1293" t="s">
        <v>1131</v>
      </c>
      <c r="E1293" s="2">
        <v>44253</v>
      </c>
      <c r="F1293">
        <v>1358</v>
      </c>
      <c r="G1293" t="s">
        <v>1746</v>
      </c>
      <c r="H1293" t="s">
        <v>1798</v>
      </c>
      <c r="I1293" t="b">
        <v>0</v>
      </c>
      <c r="J1293" t="s">
        <v>1748</v>
      </c>
      <c r="K1293" t="s">
        <v>1770</v>
      </c>
      <c r="L1293" t="s">
        <v>1750</v>
      </c>
      <c r="M1293">
        <v>168</v>
      </c>
      <c r="N1293" t="b">
        <v>1</v>
      </c>
      <c r="O1293">
        <v>118</v>
      </c>
      <c r="P1293" t="s">
        <v>1752</v>
      </c>
      <c r="Q1293" t="s">
        <v>1753</v>
      </c>
      <c r="R1293" t="s">
        <v>1828</v>
      </c>
    </row>
    <row r="1294" spans="1:18" x14ac:dyDescent="0.25">
      <c r="A1294" t="s">
        <v>3726</v>
      </c>
      <c r="B1294" t="s">
        <v>2180</v>
      </c>
      <c r="C1294" t="s">
        <v>6</v>
      </c>
      <c r="D1294" t="s">
        <v>152</v>
      </c>
      <c r="E1294" s="2">
        <v>44088</v>
      </c>
      <c r="F1294">
        <v>1523</v>
      </c>
      <c r="G1294" t="s">
        <v>1746</v>
      </c>
      <c r="H1294" t="s">
        <v>1798</v>
      </c>
      <c r="I1294" t="b">
        <v>0</v>
      </c>
      <c r="J1294" t="s">
        <v>1748</v>
      </c>
      <c r="K1294" t="s">
        <v>1853</v>
      </c>
      <c r="L1294" t="s">
        <v>1750</v>
      </c>
      <c r="M1294">
        <v>168</v>
      </c>
      <c r="N1294" t="b">
        <v>1</v>
      </c>
      <c r="O1294">
        <v>50</v>
      </c>
      <c r="P1294" t="s">
        <v>1752</v>
      </c>
      <c r="Q1294" t="s">
        <v>1753</v>
      </c>
      <c r="R1294" t="s">
        <v>1759</v>
      </c>
    </row>
    <row r="1295" spans="1:18" x14ac:dyDescent="0.25">
      <c r="A1295" t="s">
        <v>3727</v>
      </c>
      <c r="B1295" t="s">
        <v>2269</v>
      </c>
      <c r="C1295" t="s">
        <v>4</v>
      </c>
      <c r="D1295" t="s">
        <v>463</v>
      </c>
      <c r="E1295" s="2">
        <v>43677</v>
      </c>
      <c r="F1295">
        <v>1934</v>
      </c>
      <c r="G1295" t="s">
        <v>1833</v>
      </c>
      <c r="H1295" t="s">
        <v>1798</v>
      </c>
      <c r="I1295" t="b">
        <v>0</v>
      </c>
      <c r="J1295" t="s">
        <v>1748</v>
      </c>
      <c r="K1295" t="s">
        <v>1853</v>
      </c>
      <c r="L1295" t="s">
        <v>1750</v>
      </c>
      <c r="M1295">
        <v>168</v>
      </c>
      <c r="N1295" t="b">
        <v>1</v>
      </c>
      <c r="O1295">
        <v>199</v>
      </c>
      <c r="P1295" t="s">
        <v>1752</v>
      </c>
      <c r="Q1295" t="s">
        <v>1753</v>
      </c>
      <c r="R1295" t="s">
        <v>1759</v>
      </c>
    </row>
    <row r="1296" spans="1:18" x14ac:dyDescent="0.25">
      <c r="A1296" t="s">
        <v>3728</v>
      </c>
      <c r="B1296" t="s">
        <v>1810</v>
      </c>
      <c r="C1296" t="s">
        <v>4</v>
      </c>
      <c r="D1296" t="s">
        <v>1074</v>
      </c>
      <c r="E1296" s="2">
        <v>41408</v>
      </c>
      <c r="F1296">
        <v>4203</v>
      </c>
      <c r="G1296" t="s">
        <v>1746</v>
      </c>
      <c r="H1296" t="s">
        <v>1747</v>
      </c>
      <c r="I1296" t="b">
        <v>1</v>
      </c>
      <c r="J1296" t="s">
        <v>1761</v>
      </c>
      <c r="K1296" t="s">
        <v>1913</v>
      </c>
      <c r="L1296" t="s">
        <v>1750</v>
      </c>
      <c r="M1296">
        <v>167</v>
      </c>
      <c r="N1296" t="b">
        <v>0</v>
      </c>
      <c r="O1296">
        <v>96</v>
      </c>
      <c r="P1296" t="s">
        <v>1752</v>
      </c>
      <c r="Q1296" t="s">
        <v>1753</v>
      </c>
      <c r="R1296" t="s">
        <v>2028</v>
      </c>
    </row>
    <row r="1297" spans="1:18" x14ac:dyDescent="0.25">
      <c r="A1297" t="s">
        <v>3729</v>
      </c>
      <c r="B1297" t="s">
        <v>2071</v>
      </c>
      <c r="C1297" t="s">
        <v>6</v>
      </c>
      <c r="D1297" t="s">
        <v>953</v>
      </c>
      <c r="E1297" s="2">
        <v>44403</v>
      </c>
      <c r="F1297">
        <v>1208</v>
      </c>
      <c r="G1297" t="s">
        <v>1746</v>
      </c>
      <c r="H1297" t="s">
        <v>1747</v>
      </c>
      <c r="I1297" t="b">
        <v>0</v>
      </c>
      <c r="J1297" t="s">
        <v>1748</v>
      </c>
      <c r="K1297" t="s">
        <v>1985</v>
      </c>
      <c r="L1297" t="s">
        <v>1750</v>
      </c>
      <c r="M1297">
        <v>167</v>
      </c>
      <c r="N1297" t="b">
        <v>0</v>
      </c>
      <c r="O1297">
        <v>86</v>
      </c>
      <c r="P1297" t="s">
        <v>1819</v>
      </c>
      <c r="Q1297" t="s">
        <v>1753</v>
      </c>
    </row>
    <row r="1298" spans="1:18" x14ac:dyDescent="0.25">
      <c r="A1298" t="s">
        <v>3731</v>
      </c>
      <c r="B1298" t="s">
        <v>1820</v>
      </c>
      <c r="C1298" t="s">
        <v>4</v>
      </c>
      <c r="D1298" t="s">
        <v>3730</v>
      </c>
      <c r="E1298" s="2">
        <v>44116</v>
      </c>
      <c r="F1298">
        <v>1495</v>
      </c>
      <c r="G1298" t="s">
        <v>1746</v>
      </c>
      <c r="H1298" t="s">
        <v>1805</v>
      </c>
      <c r="I1298" t="b">
        <v>0</v>
      </c>
      <c r="J1298" t="s">
        <v>1761</v>
      </c>
      <c r="K1298" t="s">
        <v>1891</v>
      </c>
      <c r="L1298" t="s">
        <v>1750</v>
      </c>
      <c r="M1298">
        <v>167</v>
      </c>
      <c r="N1298" t="b">
        <v>1</v>
      </c>
      <c r="O1298">
        <v>402</v>
      </c>
      <c r="P1298" t="s">
        <v>1752</v>
      </c>
      <c r="Q1298" t="s">
        <v>1753</v>
      </c>
      <c r="R1298" t="s">
        <v>1759</v>
      </c>
    </row>
    <row r="1299" spans="1:18" x14ac:dyDescent="0.25">
      <c r="A1299" t="s">
        <v>3732</v>
      </c>
      <c r="B1299" t="s">
        <v>2035</v>
      </c>
      <c r="C1299" t="s">
        <v>6</v>
      </c>
      <c r="D1299" t="s">
        <v>908</v>
      </c>
      <c r="E1299" s="2">
        <v>38443</v>
      </c>
      <c r="F1299">
        <v>7168</v>
      </c>
      <c r="G1299" t="s">
        <v>1746</v>
      </c>
      <c r="H1299" t="s">
        <v>1798</v>
      </c>
      <c r="I1299" t="b">
        <v>0</v>
      </c>
      <c r="J1299" t="s">
        <v>1761</v>
      </c>
      <c r="K1299" t="s">
        <v>2021</v>
      </c>
      <c r="L1299" t="s">
        <v>1750</v>
      </c>
      <c r="M1299">
        <v>167</v>
      </c>
      <c r="N1299" t="b">
        <v>0</v>
      </c>
      <c r="O1299">
        <v>146</v>
      </c>
      <c r="P1299" t="s">
        <v>1752</v>
      </c>
      <c r="Q1299" t="s">
        <v>1753</v>
      </c>
      <c r="R1299" t="s">
        <v>1828</v>
      </c>
    </row>
    <row r="1300" spans="1:18" x14ac:dyDescent="0.25">
      <c r="A1300" t="s">
        <v>3733</v>
      </c>
      <c r="B1300" t="s">
        <v>1945</v>
      </c>
      <c r="C1300" t="s">
        <v>6</v>
      </c>
      <c r="D1300" t="s">
        <v>123</v>
      </c>
      <c r="E1300" s="2">
        <v>42486</v>
      </c>
      <c r="F1300">
        <v>3125</v>
      </c>
      <c r="G1300" t="s">
        <v>1746</v>
      </c>
      <c r="H1300" t="s">
        <v>1798</v>
      </c>
      <c r="I1300" t="b">
        <v>0</v>
      </c>
      <c r="J1300" t="s">
        <v>1748</v>
      </c>
      <c r="K1300" t="s">
        <v>1755</v>
      </c>
      <c r="L1300" t="s">
        <v>1817</v>
      </c>
      <c r="M1300">
        <v>167</v>
      </c>
      <c r="N1300" t="b">
        <v>1</v>
      </c>
      <c r="O1300">
        <v>256</v>
      </c>
      <c r="P1300" t="s">
        <v>1819</v>
      </c>
      <c r="Q1300" t="s">
        <v>1753</v>
      </c>
      <c r="R1300" t="s">
        <v>1759</v>
      </c>
    </row>
    <row r="1301" spans="1:18" x14ac:dyDescent="0.25">
      <c r="A1301" t="s">
        <v>3735</v>
      </c>
      <c r="B1301" t="s">
        <v>2150</v>
      </c>
      <c r="C1301" t="s">
        <v>6</v>
      </c>
      <c r="D1301" t="s">
        <v>3734</v>
      </c>
      <c r="E1301" s="2">
        <v>44229</v>
      </c>
      <c r="F1301">
        <v>1382</v>
      </c>
      <c r="G1301" t="s">
        <v>1746</v>
      </c>
      <c r="H1301" t="s">
        <v>1747</v>
      </c>
      <c r="I1301" t="b">
        <v>1</v>
      </c>
      <c r="J1301" t="s">
        <v>1761</v>
      </c>
      <c r="K1301" t="s">
        <v>1770</v>
      </c>
      <c r="L1301" t="s">
        <v>1750</v>
      </c>
      <c r="M1301">
        <v>167</v>
      </c>
      <c r="N1301" t="b">
        <v>0</v>
      </c>
      <c r="O1301">
        <v>1283</v>
      </c>
      <c r="P1301" t="s">
        <v>1752</v>
      </c>
      <c r="Q1301" t="s">
        <v>1753</v>
      </c>
      <c r="R1301" t="s">
        <v>1772</v>
      </c>
    </row>
    <row r="1302" spans="1:18" x14ac:dyDescent="0.25">
      <c r="A1302" t="s">
        <v>3736</v>
      </c>
      <c r="B1302" t="s">
        <v>2667</v>
      </c>
      <c r="C1302" t="s">
        <v>6</v>
      </c>
      <c r="D1302" t="s">
        <v>372</v>
      </c>
      <c r="E1302" s="2">
        <v>42914</v>
      </c>
      <c r="F1302">
        <v>2697</v>
      </c>
      <c r="G1302" t="s">
        <v>1746</v>
      </c>
      <c r="H1302" t="s">
        <v>1798</v>
      </c>
      <c r="I1302" t="b">
        <v>0</v>
      </c>
      <c r="J1302" t="s">
        <v>1748</v>
      </c>
      <c r="K1302" t="s">
        <v>1776</v>
      </c>
      <c r="L1302" t="s">
        <v>1750</v>
      </c>
      <c r="M1302">
        <v>167</v>
      </c>
      <c r="N1302" t="b">
        <v>1</v>
      </c>
      <c r="O1302">
        <v>259</v>
      </c>
      <c r="P1302" t="s">
        <v>1752</v>
      </c>
      <c r="Q1302" t="s">
        <v>1753</v>
      </c>
      <c r="R1302" t="s">
        <v>1828</v>
      </c>
    </row>
    <row r="1303" spans="1:18" x14ac:dyDescent="0.25">
      <c r="A1303" t="s">
        <v>3738</v>
      </c>
      <c r="B1303" t="s">
        <v>2011</v>
      </c>
      <c r="C1303" t="s">
        <v>4</v>
      </c>
      <c r="D1303" t="s">
        <v>3737</v>
      </c>
      <c r="E1303" s="2">
        <v>45530</v>
      </c>
      <c r="F1303">
        <v>81</v>
      </c>
      <c r="G1303" t="s">
        <v>1746</v>
      </c>
      <c r="H1303" t="s">
        <v>1747</v>
      </c>
      <c r="I1303" t="b">
        <v>0</v>
      </c>
      <c r="J1303" t="s">
        <v>1761</v>
      </c>
      <c r="K1303" t="s">
        <v>1776</v>
      </c>
      <c r="L1303" t="s">
        <v>1750</v>
      </c>
      <c r="M1303">
        <v>167</v>
      </c>
      <c r="N1303" t="b">
        <v>1</v>
      </c>
      <c r="O1303">
        <v>329</v>
      </c>
      <c r="P1303" t="s">
        <v>2266</v>
      </c>
      <c r="Q1303" t="s">
        <v>1753</v>
      </c>
      <c r="R1303" t="s">
        <v>1759</v>
      </c>
    </row>
    <row r="1304" spans="1:18" x14ac:dyDescent="0.25">
      <c r="A1304" t="s">
        <v>3740</v>
      </c>
      <c r="B1304" t="s">
        <v>2177</v>
      </c>
      <c r="C1304" t="s">
        <v>4</v>
      </c>
      <c r="D1304" t="s">
        <v>3739</v>
      </c>
      <c r="E1304" s="2">
        <v>42996</v>
      </c>
      <c r="F1304">
        <v>2615</v>
      </c>
      <c r="G1304" t="s">
        <v>1746</v>
      </c>
      <c r="H1304" t="s">
        <v>3505</v>
      </c>
      <c r="I1304" t="b">
        <v>1</v>
      </c>
      <c r="J1304" t="s">
        <v>1761</v>
      </c>
      <c r="K1304" t="s">
        <v>2021</v>
      </c>
      <c r="L1304" t="s">
        <v>1750</v>
      </c>
      <c r="M1304">
        <v>165</v>
      </c>
      <c r="N1304" t="b">
        <v>0</v>
      </c>
      <c r="O1304">
        <v>57</v>
      </c>
      <c r="P1304" t="s">
        <v>1752</v>
      </c>
      <c r="Q1304" t="s">
        <v>1753</v>
      </c>
    </row>
    <row r="1305" spans="1:18" x14ac:dyDescent="0.25">
      <c r="A1305" t="s">
        <v>3741</v>
      </c>
      <c r="B1305" t="s">
        <v>1874</v>
      </c>
      <c r="C1305" t="s">
        <v>6</v>
      </c>
      <c r="D1305" t="s">
        <v>64</v>
      </c>
      <c r="E1305" s="2">
        <v>43885</v>
      </c>
      <c r="F1305">
        <v>1726</v>
      </c>
      <c r="G1305" t="s">
        <v>1746</v>
      </c>
      <c r="H1305" t="s">
        <v>1747</v>
      </c>
      <c r="I1305" t="b">
        <v>1</v>
      </c>
      <c r="J1305" t="s">
        <v>1748</v>
      </c>
      <c r="K1305" t="s">
        <v>1856</v>
      </c>
      <c r="L1305" t="s">
        <v>1750</v>
      </c>
      <c r="M1305">
        <v>165</v>
      </c>
      <c r="N1305" t="b">
        <v>1</v>
      </c>
      <c r="O1305">
        <v>180</v>
      </c>
      <c r="P1305" t="s">
        <v>1752</v>
      </c>
      <c r="Q1305" t="s">
        <v>1753</v>
      </c>
      <c r="R1305" t="s">
        <v>1759</v>
      </c>
    </row>
    <row r="1306" spans="1:18" x14ac:dyDescent="0.25">
      <c r="A1306" t="s">
        <v>3742</v>
      </c>
      <c r="B1306" t="s">
        <v>1881</v>
      </c>
      <c r="C1306" t="s">
        <v>6</v>
      </c>
      <c r="D1306" t="s">
        <v>155</v>
      </c>
      <c r="E1306" s="2">
        <v>42485</v>
      </c>
      <c r="F1306">
        <v>3126</v>
      </c>
      <c r="G1306" t="s">
        <v>1746</v>
      </c>
      <c r="H1306" t="s">
        <v>1798</v>
      </c>
      <c r="I1306" t="b">
        <v>0</v>
      </c>
      <c r="J1306" t="s">
        <v>1748</v>
      </c>
      <c r="K1306" t="s">
        <v>2021</v>
      </c>
      <c r="L1306" t="s">
        <v>1766</v>
      </c>
      <c r="M1306">
        <v>165</v>
      </c>
      <c r="N1306" t="b">
        <v>0</v>
      </c>
      <c r="P1306" t="s">
        <v>2070</v>
      </c>
      <c r="Q1306" t="s">
        <v>1753</v>
      </c>
    </row>
    <row r="1307" spans="1:18" x14ac:dyDescent="0.25">
      <c r="A1307" t="s">
        <v>3744</v>
      </c>
      <c r="B1307" t="s">
        <v>2836</v>
      </c>
      <c r="C1307" t="s">
        <v>4</v>
      </c>
      <c r="D1307" t="s">
        <v>3743</v>
      </c>
      <c r="E1307" s="2">
        <v>45356</v>
      </c>
      <c r="F1307">
        <v>255</v>
      </c>
      <c r="G1307" t="s">
        <v>1746</v>
      </c>
      <c r="H1307" t="s">
        <v>1747</v>
      </c>
      <c r="I1307" t="b">
        <v>0</v>
      </c>
      <c r="J1307" t="s">
        <v>1748</v>
      </c>
      <c r="K1307" t="s">
        <v>1812</v>
      </c>
      <c r="L1307" t="s">
        <v>1750</v>
      </c>
      <c r="M1307">
        <v>165</v>
      </c>
      <c r="N1307" t="b">
        <v>0</v>
      </c>
      <c r="O1307">
        <v>587</v>
      </c>
      <c r="P1307" t="s">
        <v>1752</v>
      </c>
      <c r="Q1307" t="s">
        <v>1753</v>
      </c>
    </row>
    <row r="1308" spans="1:18" x14ac:dyDescent="0.25">
      <c r="A1308" t="s">
        <v>3745</v>
      </c>
      <c r="B1308" t="s">
        <v>2057</v>
      </c>
      <c r="C1308" t="s">
        <v>6</v>
      </c>
      <c r="D1308" t="s">
        <v>1194</v>
      </c>
      <c r="E1308" s="2">
        <v>42208</v>
      </c>
      <c r="F1308">
        <v>3403</v>
      </c>
      <c r="G1308" t="s">
        <v>1746</v>
      </c>
      <c r="H1308" t="s">
        <v>1747</v>
      </c>
      <c r="I1308" t="b">
        <v>0</v>
      </c>
      <c r="J1308" t="s">
        <v>1761</v>
      </c>
      <c r="K1308" t="s">
        <v>1986</v>
      </c>
      <c r="L1308" t="s">
        <v>1817</v>
      </c>
      <c r="M1308">
        <v>164</v>
      </c>
      <c r="N1308" t="b">
        <v>1</v>
      </c>
      <c r="O1308">
        <v>448</v>
      </c>
      <c r="P1308" t="s">
        <v>1819</v>
      </c>
      <c r="Q1308" t="s">
        <v>1753</v>
      </c>
    </row>
    <row r="1309" spans="1:18" x14ac:dyDescent="0.25">
      <c r="A1309" t="s">
        <v>3747</v>
      </c>
      <c r="B1309" t="s">
        <v>2335</v>
      </c>
      <c r="C1309" t="s">
        <v>6</v>
      </c>
      <c r="D1309" t="s">
        <v>3746</v>
      </c>
      <c r="E1309" s="2">
        <v>45371</v>
      </c>
      <c r="F1309">
        <v>240</v>
      </c>
      <c r="G1309" t="s">
        <v>1746</v>
      </c>
      <c r="H1309" t="s">
        <v>1798</v>
      </c>
      <c r="I1309" t="b">
        <v>0</v>
      </c>
      <c r="J1309" t="s">
        <v>1761</v>
      </c>
      <c r="K1309" t="s">
        <v>1853</v>
      </c>
      <c r="L1309" t="s">
        <v>1750</v>
      </c>
      <c r="M1309">
        <v>164</v>
      </c>
      <c r="N1309" t="b">
        <v>1</v>
      </c>
      <c r="O1309">
        <v>99</v>
      </c>
      <c r="P1309" t="s">
        <v>1752</v>
      </c>
      <c r="Q1309" t="s">
        <v>1753</v>
      </c>
      <c r="R1309" t="s">
        <v>1828</v>
      </c>
    </row>
    <row r="1310" spans="1:18" x14ac:dyDescent="0.25">
      <c r="A1310" t="s">
        <v>3748</v>
      </c>
      <c r="B1310" t="s">
        <v>1781</v>
      </c>
      <c r="C1310" t="s">
        <v>186</v>
      </c>
      <c r="D1310" t="s">
        <v>1337</v>
      </c>
      <c r="E1310" s="2">
        <v>38987</v>
      </c>
      <c r="F1310">
        <v>6624</v>
      </c>
      <c r="G1310" t="s">
        <v>1746</v>
      </c>
      <c r="H1310" t="s">
        <v>1747</v>
      </c>
      <c r="I1310" t="b">
        <v>0</v>
      </c>
      <c r="J1310" t="s">
        <v>1748</v>
      </c>
      <c r="K1310" t="s">
        <v>1830</v>
      </c>
      <c r="L1310" t="s">
        <v>2102</v>
      </c>
      <c r="M1310">
        <v>164</v>
      </c>
      <c r="N1310" t="b">
        <v>0</v>
      </c>
      <c r="P1310" t="s">
        <v>2070</v>
      </c>
      <c r="Q1310" t="s">
        <v>1779</v>
      </c>
    </row>
    <row r="1311" spans="1:18" x14ac:dyDescent="0.25">
      <c r="A1311" t="s">
        <v>3750</v>
      </c>
      <c r="B1311" t="s">
        <v>2284</v>
      </c>
      <c r="C1311" t="s">
        <v>2709</v>
      </c>
      <c r="D1311" t="s">
        <v>3749</v>
      </c>
      <c r="E1311" s="2">
        <v>44281</v>
      </c>
      <c r="F1311">
        <v>1330</v>
      </c>
      <c r="G1311" t="s">
        <v>1746</v>
      </c>
      <c r="H1311" t="s">
        <v>1747</v>
      </c>
      <c r="I1311" t="b">
        <v>0</v>
      </c>
      <c r="J1311" t="s">
        <v>1748</v>
      </c>
      <c r="K1311" t="s">
        <v>1813</v>
      </c>
      <c r="L1311" t="s">
        <v>1775</v>
      </c>
      <c r="M1311">
        <v>163</v>
      </c>
      <c r="N1311" t="b">
        <v>0</v>
      </c>
      <c r="P1311" t="s">
        <v>2283</v>
      </c>
      <c r="Q1311" t="s">
        <v>1705</v>
      </c>
    </row>
    <row r="1312" spans="1:18" x14ac:dyDescent="0.25">
      <c r="A1312" t="s">
        <v>3751</v>
      </c>
      <c r="B1312" t="s">
        <v>1814</v>
      </c>
      <c r="C1312" t="s">
        <v>6</v>
      </c>
      <c r="D1312" t="s">
        <v>963</v>
      </c>
      <c r="E1312" s="2">
        <v>42003</v>
      </c>
      <c r="F1312">
        <v>3608</v>
      </c>
      <c r="G1312" t="s">
        <v>1746</v>
      </c>
      <c r="H1312" t="s">
        <v>1798</v>
      </c>
      <c r="I1312" t="b">
        <v>0</v>
      </c>
      <c r="J1312" t="s">
        <v>1748</v>
      </c>
      <c r="K1312" t="s">
        <v>1757</v>
      </c>
      <c r="L1312" t="s">
        <v>2102</v>
      </c>
      <c r="M1312">
        <v>163</v>
      </c>
      <c r="N1312" t="b">
        <v>0</v>
      </c>
      <c r="P1312" t="s">
        <v>1752</v>
      </c>
      <c r="Q1312" t="s">
        <v>1753</v>
      </c>
      <c r="R1312" t="s">
        <v>1828</v>
      </c>
    </row>
    <row r="1313" spans="1:18" x14ac:dyDescent="0.25">
      <c r="A1313" t="s">
        <v>3753</v>
      </c>
      <c r="B1313" t="s">
        <v>2997</v>
      </c>
      <c r="C1313" t="s">
        <v>4</v>
      </c>
      <c r="D1313" t="s">
        <v>3752</v>
      </c>
      <c r="E1313" s="2">
        <v>43942</v>
      </c>
      <c r="F1313">
        <v>1669</v>
      </c>
      <c r="G1313" t="s">
        <v>1746</v>
      </c>
      <c r="H1313" t="s">
        <v>1798</v>
      </c>
      <c r="I1313" t="b">
        <v>0</v>
      </c>
      <c r="J1313" t="s">
        <v>1748</v>
      </c>
      <c r="K1313" t="s">
        <v>1755</v>
      </c>
      <c r="L1313" t="s">
        <v>1750</v>
      </c>
      <c r="M1313">
        <v>163</v>
      </c>
      <c r="N1313" t="b">
        <v>1</v>
      </c>
      <c r="O1313">
        <v>110</v>
      </c>
      <c r="P1313" t="s">
        <v>1752</v>
      </c>
      <c r="Q1313" t="s">
        <v>1753</v>
      </c>
    </row>
    <row r="1314" spans="1:18" x14ac:dyDescent="0.25">
      <c r="A1314" t="s">
        <v>3755</v>
      </c>
      <c r="B1314" t="s">
        <v>2847</v>
      </c>
      <c r="C1314" t="s">
        <v>6</v>
      </c>
      <c r="D1314" t="s">
        <v>3754</v>
      </c>
      <c r="E1314" s="2">
        <v>39870</v>
      </c>
      <c r="F1314">
        <v>5741</v>
      </c>
      <c r="G1314" t="s">
        <v>1746</v>
      </c>
      <c r="H1314" t="s">
        <v>1798</v>
      </c>
      <c r="I1314" t="b">
        <v>0</v>
      </c>
      <c r="J1314" t="s">
        <v>1748</v>
      </c>
      <c r="K1314" t="s">
        <v>1891</v>
      </c>
      <c r="L1314" t="s">
        <v>1766</v>
      </c>
      <c r="M1314">
        <v>163</v>
      </c>
      <c r="N1314" t="b">
        <v>0</v>
      </c>
      <c r="P1314" t="s">
        <v>1752</v>
      </c>
      <c r="Q1314" t="s">
        <v>1753</v>
      </c>
      <c r="R1314" t="s">
        <v>1828</v>
      </c>
    </row>
    <row r="1315" spans="1:18" x14ac:dyDescent="0.25">
      <c r="A1315" t="s">
        <v>1479</v>
      </c>
      <c r="B1315" t="s">
        <v>1860</v>
      </c>
      <c r="C1315" t="s">
        <v>4</v>
      </c>
      <c r="D1315" t="s">
        <v>1480</v>
      </c>
      <c r="E1315" s="2">
        <v>44371</v>
      </c>
      <c r="F1315">
        <v>1240</v>
      </c>
      <c r="G1315" t="s">
        <v>1746</v>
      </c>
      <c r="H1315" t="s">
        <v>1798</v>
      </c>
      <c r="I1315" t="b">
        <v>0</v>
      </c>
      <c r="J1315" t="s">
        <v>1748</v>
      </c>
      <c r="K1315" t="s">
        <v>1776</v>
      </c>
      <c r="L1315" t="s">
        <v>1756</v>
      </c>
      <c r="M1315">
        <v>163</v>
      </c>
      <c r="N1315" t="b">
        <v>1</v>
      </c>
      <c r="O1315">
        <v>542</v>
      </c>
      <c r="P1315" t="s">
        <v>1819</v>
      </c>
      <c r="Q1315" t="s">
        <v>1753</v>
      </c>
      <c r="R1315" t="s">
        <v>1759</v>
      </c>
    </row>
    <row r="1316" spans="1:18" x14ac:dyDescent="0.25">
      <c r="A1316" t="s">
        <v>3756</v>
      </c>
      <c r="B1316" t="s">
        <v>1874</v>
      </c>
      <c r="C1316" t="s">
        <v>4</v>
      </c>
      <c r="D1316" t="s">
        <v>317</v>
      </c>
      <c r="E1316" s="2">
        <v>44021</v>
      </c>
      <c r="F1316">
        <v>1590</v>
      </c>
      <c r="G1316" t="s">
        <v>1746</v>
      </c>
      <c r="H1316" t="s">
        <v>1747</v>
      </c>
      <c r="I1316" t="b">
        <v>0</v>
      </c>
      <c r="J1316" t="s">
        <v>1748</v>
      </c>
      <c r="K1316" t="s">
        <v>1770</v>
      </c>
      <c r="L1316" t="s">
        <v>1750</v>
      </c>
      <c r="M1316">
        <v>162</v>
      </c>
      <c r="N1316" t="b">
        <v>1</v>
      </c>
      <c r="O1316">
        <v>783</v>
      </c>
      <c r="P1316" t="s">
        <v>1752</v>
      </c>
      <c r="Q1316" t="s">
        <v>1753</v>
      </c>
      <c r="R1316" t="s">
        <v>1759</v>
      </c>
    </row>
    <row r="1317" spans="1:18" x14ac:dyDescent="0.25">
      <c r="A1317" t="s">
        <v>3758</v>
      </c>
      <c r="B1317" t="s">
        <v>3117</v>
      </c>
      <c r="C1317" t="s">
        <v>4</v>
      </c>
      <c r="D1317" t="s">
        <v>3757</v>
      </c>
      <c r="E1317" s="2">
        <v>44508</v>
      </c>
      <c r="F1317">
        <v>1103</v>
      </c>
      <c r="G1317" t="s">
        <v>1746</v>
      </c>
      <c r="H1317" t="s">
        <v>1747</v>
      </c>
      <c r="I1317" t="b">
        <v>0</v>
      </c>
      <c r="J1317" t="s">
        <v>1748</v>
      </c>
      <c r="K1317" t="s">
        <v>1755</v>
      </c>
      <c r="L1317" t="s">
        <v>1817</v>
      </c>
      <c r="M1317">
        <v>162</v>
      </c>
      <c r="N1317" t="b">
        <v>1</v>
      </c>
      <c r="O1317">
        <v>510</v>
      </c>
      <c r="P1317" t="s">
        <v>1819</v>
      </c>
      <c r="Q1317" t="s">
        <v>1753</v>
      </c>
      <c r="R1317" t="s">
        <v>2028</v>
      </c>
    </row>
    <row r="1318" spans="1:18" x14ac:dyDescent="0.25">
      <c r="A1318" t="s">
        <v>3760</v>
      </c>
      <c r="B1318" t="s">
        <v>2173</v>
      </c>
      <c r="C1318" t="s">
        <v>4</v>
      </c>
      <c r="D1318" t="s">
        <v>3759</v>
      </c>
      <c r="E1318" s="2">
        <v>43549</v>
      </c>
      <c r="F1318">
        <v>2062</v>
      </c>
      <c r="G1318" t="s">
        <v>1746</v>
      </c>
      <c r="H1318" t="s">
        <v>2231</v>
      </c>
      <c r="I1318" t="b">
        <v>0</v>
      </c>
      <c r="J1318" t="s">
        <v>1748</v>
      </c>
      <c r="K1318" t="s">
        <v>1986</v>
      </c>
      <c r="L1318" t="s">
        <v>1750</v>
      </c>
      <c r="M1318">
        <v>161</v>
      </c>
      <c r="N1318" t="b">
        <v>1</v>
      </c>
      <c r="O1318">
        <v>316</v>
      </c>
      <c r="P1318" t="s">
        <v>1752</v>
      </c>
      <c r="Q1318" t="s">
        <v>1753</v>
      </c>
    </row>
    <row r="1319" spans="1:18" x14ac:dyDescent="0.25">
      <c r="A1319" t="s">
        <v>1392</v>
      </c>
      <c r="B1319" t="s">
        <v>1876</v>
      </c>
      <c r="C1319" t="s">
        <v>4</v>
      </c>
      <c r="D1319" t="s">
        <v>1393</v>
      </c>
      <c r="E1319" s="2">
        <v>42487</v>
      </c>
      <c r="F1319">
        <v>3124</v>
      </c>
      <c r="G1319" t="s">
        <v>1746</v>
      </c>
      <c r="H1319" t="s">
        <v>1747</v>
      </c>
      <c r="I1319" t="b">
        <v>0</v>
      </c>
      <c r="J1319" t="s">
        <v>1748</v>
      </c>
      <c r="K1319" t="s">
        <v>1880</v>
      </c>
      <c r="L1319" t="s">
        <v>1766</v>
      </c>
      <c r="M1319">
        <v>161</v>
      </c>
      <c r="N1319" t="b">
        <v>0</v>
      </c>
      <c r="P1319" t="s">
        <v>2070</v>
      </c>
      <c r="Q1319" t="s">
        <v>1753</v>
      </c>
    </row>
    <row r="1320" spans="1:18" x14ac:dyDescent="0.25">
      <c r="A1320" t="s">
        <v>3761</v>
      </c>
      <c r="B1320" t="s">
        <v>1874</v>
      </c>
      <c r="C1320" t="s">
        <v>11</v>
      </c>
      <c r="D1320" t="s">
        <v>896</v>
      </c>
      <c r="E1320" s="2">
        <v>41879</v>
      </c>
      <c r="F1320">
        <v>3732</v>
      </c>
      <c r="G1320" t="s">
        <v>1746</v>
      </c>
      <c r="H1320" t="s">
        <v>1747</v>
      </c>
      <c r="I1320" t="b">
        <v>0</v>
      </c>
      <c r="J1320" t="s">
        <v>1748</v>
      </c>
      <c r="K1320" t="s">
        <v>1880</v>
      </c>
      <c r="L1320" t="s">
        <v>1750</v>
      </c>
      <c r="M1320">
        <v>161</v>
      </c>
      <c r="N1320" t="b">
        <v>0</v>
      </c>
      <c r="O1320">
        <v>432</v>
      </c>
      <c r="P1320" t="s">
        <v>1752</v>
      </c>
      <c r="Q1320" t="s">
        <v>1753</v>
      </c>
    </row>
    <row r="1321" spans="1:18" x14ac:dyDescent="0.25">
      <c r="A1321" t="s">
        <v>3763</v>
      </c>
      <c r="B1321" t="s">
        <v>1704</v>
      </c>
      <c r="C1321" t="s">
        <v>4</v>
      </c>
      <c r="D1321" t="s">
        <v>3762</v>
      </c>
      <c r="E1321" s="2">
        <v>45407</v>
      </c>
      <c r="F1321">
        <v>204</v>
      </c>
      <c r="G1321" t="s">
        <v>1746</v>
      </c>
      <c r="H1321" t="s">
        <v>1798</v>
      </c>
      <c r="I1321" t="b">
        <v>0</v>
      </c>
      <c r="J1321" t="s">
        <v>1748</v>
      </c>
      <c r="K1321" t="s">
        <v>1755</v>
      </c>
      <c r="L1321" t="s">
        <v>1750</v>
      </c>
      <c r="M1321">
        <v>161</v>
      </c>
      <c r="N1321" t="b">
        <v>1</v>
      </c>
      <c r="O1321">
        <v>704</v>
      </c>
      <c r="P1321" t="s">
        <v>1752</v>
      </c>
      <c r="Q1321" t="s">
        <v>1753</v>
      </c>
      <c r="R1321" t="s">
        <v>1759</v>
      </c>
    </row>
    <row r="1322" spans="1:18" x14ac:dyDescent="0.25">
      <c r="A1322" t="s">
        <v>354</v>
      </c>
      <c r="B1322" t="s">
        <v>1998</v>
      </c>
      <c r="C1322" t="s">
        <v>4</v>
      </c>
      <c r="D1322" t="s">
        <v>355</v>
      </c>
      <c r="E1322" s="2">
        <v>40630</v>
      </c>
      <c r="F1322">
        <v>4981</v>
      </c>
      <c r="G1322" t="s">
        <v>1746</v>
      </c>
      <c r="H1322" t="s">
        <v>1747</v>
      </c>
      <c r="I1322" t="b">
        <v>1</v>
      </c>
      <c r="J1322" t="s">
        <v>1761</v>
      </c>
      <c r="K1322" t="s">
        <v>1868</v>
      </c>
      <c r="L1322" t="s">
        <v>1750</v>
      </c>
      <c r="M1322">
        <v>161</v>
      </c>
      <c r="N1322" t="b">
        <v>0</v>
      </c>
      <c r="O1322">
        <v>88</v>
      </c>
      <c r="P1322" t="s">
        <v>1752</v>
      </c>
      <c r="Q1322" t="s">
        <v>1753</v>
      </c>
    </row>
    <row r="1323" spans="1:18" x14ac:dyDescent="0.25">
      <c r="A1323" t="s">
        <v>3765</v>
      </c>
      <c r="B1323" t="s">
        <v>1907</v>
      </c>
      <c r="C1323" t="s">
        <v>4</v>
      </c>
      <c r="D1323" t="s">
        <v>3764</v>
      </c>
      <c r="E1323" s="2">
        <v>44389</v>
      </c>
      <c r="F1323">
        <v>1222</v>
      </c>
      <c r="G1323" t="s">
        <v>1746</v>
      </c>
      <c r="H1323" t="s">
        <v>1798</v>
      </c>
      <c r="I1323" t="b">
        <v>0</v>
      </c>
      <c r="J1323" t="s">
        <v>1748</v>
      </c>
      <c r="K1323" t="s">
        <v>2042</v>
      </c>
      <c r="L1323" t="s">
        <v>1766</v>
      </c>
      <c r="M1323">
        <v>160</v>
      </c>
      <c r="N1323" t="b">
        <v>0</v>
      </c>
      <c r="P1323" t="s">
        <v>2070</v>
      </c>
      <c r="Q1323" t="s">
        <v>1753</v>
      </c>
    </row>
    <row r="1324" spans="1:18" x14ac:dyDescent="0.25">
      <c r="A1324" t="s">
        <v>3767</v>
      </c>
      <c r="B1324" t="s">
        <v>1803</v>
      </c>
      <c r="C1324" t="s">
        <v>572</v>
      </c>
      <c r="D1324" t="s">
        <v>3766</v>
      </c>
      <c r="E1324" s="2">
        <v>37445</v>
      </c>
      <c r="F1324">
        <v>8166</v>
      </c>
      <c r="G1324" t="s">
        <v>1746</v>
      </c>
      <c r="H1324" t="s">
        <v>1798</v>
      </c>
      <c r="I1324" t="b">
        <v>0</v>
      </c>
      <c r="J1324" t="s">
        <v>1761</v>
      </c>
      <c r="K1324" t="s">
        <v>1912</v>
      </c>
      <c r="L1324" t="s">
        <v>1750</v>
      </c>
      <c r="M1324">
        <v>160</v>
      </c>
      <c r="N1324" t="b">
        <v>0</v>
      </c>
      <c r="O1324">
        <v>35</v>
      </c>
      <c r="P1324" t="s">
        <v>1752</v>
      </c>
      <c r="Q1324" t="s">
        <v>1753</v>
      </c>
      <c r="R1324" t="s">
        <v>1828</v>
      </c>
    </row>
    <row r="1325" spans="1:18" x14ac:dyDescent="0.25">
      <c r="A1325" t="s">
        <v>3768</v>
      </c>
      <c r="B1325" t="s">
        <v>2106</v>
      </c>
      <c r="C1325" t="s">
        <v>4</v>
      </c>
      <c r="D1325" t="s">
        <v>109</v>
      </c>
      <c r="E1325" s="2">
        <v>44824</v>
      </c>
      <c r="F1325">
        <v>787</v>
      </c>
      <c r="G1325" t="s">
        <v>1746</v>
      </c>
      <c r="H1325" t="s">
        <v>1798</v>
      </c>
      <c r="I1325" t="b">
        <v>1</v>
      </c>
      <c r="J1325" t="s">
        <v>1748</v>
      </c>
      <c r="K1325" t="s">
        <v>1770</v>
      </c>
      <c r="L1325" t="s">
        <v>1750</v>
      </c>
      <c r="M1325">
        <v>159</v>
      </c>
      <c r="N1325" t="b">
        <v>1</v>
      </c>
      <c r="O1325">
        <v>70</v>
      </c>
      <c r="P1325" t="s">
        <v>1752</v>
      </c>
      <c r="Q1325" t="s">
        <v>1753</v>
      </c>
      <c r="R1325" t="s">
        <v>1759</v>
      </c>
    </row>
    <row r="1326" spans="1:18" x14ac:dyDescent="0.25">
      <c r="A1326" t="s">
        <v>3770</v>
      </c>
      <c r="B1326" t="s">
        <v>1907</v>
      </c>
      <c r="C1326" t="s">
        <v>6</v>
      </c>
      <c r="D1326" t="s">
        <v>3769</v>
      </c>
      <c r="E1326" s="2">
        <v>44285</v>
      </c>
      <c r="F1326">
        <v>1326</v>
      </c>
      <c r="G1326" t="s">
        <v>1746</v>
      </c>
      <c r="H1326" t="s">
        <v>2001</v>
      </c>
      <c r="I1326" t="b">
        <v>1</v>
      </c>
      <c r="J1326" t="s">
        <v>1761</v>
      </c>
      <c r="K1326" t="s">
        <v>1824</v>
      </c>
      <c r="L1326" t="s">
        <v>1750</v>
      </c>
      <c r="M1326">
        <v>159</v>
      </c>
      <c r="N1326" t="b">
        <v>1</v>
      </c>
      <c r="O1326">
        <v>183</v>
      </c>
      <c r="P1326" t="s">
        <v>1752</v>
      </c>
      <c r="Q1326" t="s">
        <v>1753</v>
      </c>
    </row>
    <row r="1327" spans="1:18" x14ac:dyDescent="0.25">
      <c r="A1327" t="s">
        <v>3771</v>
      </c>
      <c r="B1327" t="s">
        <v>1874</v>
      </c>
      <c r="C1327" t="s">
        <v>6</v>
      </c>
      <c r="D1327" t="s">
        <v>863</v>
      </c>
      <c r="E1327" s="2">
        <v>44372</v>
      </c>
      <c r="F1327">
        <v>1239</v>
      </c>
      <c r="G1327" t="s">
        <v>1746</v>
      </c>
      <c r="H1327" t="s">
        <v>1798</v>
      </c>
      <c r="I1327" t="b">
        <v>0</v>
      </c>
      <c r="J1327" t="s">
        <v>1748</v>
      </c>
      <c r="K1327" t="s">
        <v>1755</v>
      </c>
      <c r="L1327" t="s">
        <v>1750</v>
      </c>
      <c r="M1327">
        <v>159</v>
      </c>
      <c r="N1327" t="b">
        <v>1</v>
      </c>
      <c r="O1327">
        <v>23</v>
      </c>
      <c r="P1327" t="s">
        <v>1819</v>
      </c>
      <c r="Q1327" t="s">
        <v>1753</v>
      </c>
      <c r="R1327" t="s">
        <v>1828</v>
      </c>
    </row>
    <row r="1328" spans="1:18" x14ac:dyDescent="0.25">
      <c r="A1328" t="s">
        <v>3773</v>
      </c>
      <c r="B1328" t="s">
        <v>2173</v>
      </c>
      <c r="C1328" t="s">
        <v>4</v>
      </c>
      <c r="D1328" t="s">
        <v>3772</v>
      </c>
      <c r="E1328" s="2">
        <v>43958</v>
      </c>
      <c r="F1328">
        <v>1653</v>
      </c>
      <c r="G1328" t="s">
        <v>1746</v>
      </c>
      <c r="H1328" t="s">
        <v>2231</v>
      </c>
      <c r="I1328" t="b">
        <v>0</v>
      </c>
      <c r="J1328" t="s">
        <v>1748</v>
      </c>
      <c r="K1328" t="s">
        <v>1793</v>
      </c>
      <c r="L1328" t="s">
        <v>1750</v>
      </c>
      <c r="M1328">
        <v>159</v>
      </c>
      <c r="N1328" t="b">
        <v>1</v>
      </c>
      <c r="O1328">
        <v>197</v>
      </c>
      <c r="P1328" t="s">
        <v>1752</v>
      </c>
      <c r="Q1328" t="s">
        <v>1753</v>
      </c>
    </row>
    <row r="1329" spans="1:18" x14ac:dyDescent="0.25">
      <c r="A1329" t="s">
        <v>3775</v>
      </c>
      <c r="B1329" t="s">
        <v>2150</v>
      </c>
      <c r="C1329" t="s">
        <v>6</v>
      </c>
      <c r="D1329" t="s">
        <v>3774</v>
      </c>
      <c r="E1329" s="2">
        <v>43951</v>
      </c>
      <c r="F1329">
        <v>1660</v>
      </c>
      <c r="G1329" t="s">
        <v>1746</v>
      </c>
      <c r="H1329" t="s">
        <v>1805</v>
      </c>
      <c r="I1329" t="b">
        <v>0</v>
      </c>
      <c r="J1329" t="s">
        <v>1761</v>
      </c>
      <c r="K1329" t="s">
        <v>1770</v>
      </c>
      <c r="L1329" t="s">
        <v>1817</v>
      </c>
      <c r="M1329">
        <v>159</v>
      </c>
      <c r="N1329" t="b">
        <v>1</v>
      </c>
      <c r="O1329">
        <v>105</v>
      </c>
      <c r="P1329" t="s">
        <v>1819</v>
      </c>
      <c r="Q1329" t="s">
        <v>1753</v>
      </c>
      <c r="R1329" t="s">
        <v>1759</v>
      </c>
    </row>
    <row r="1330" spans="1:18" x14ac:dyDescent="0.25">
      <c r="A1330" t="s">
        <v>3777</v>
      </c>
      <c r="B1330" t="s">
        <v>2620</v>
      </c>
      <c r="C1330" t="s">
        <v>4</v>
      </c>
      <c r="D1330" t="s">
        <v>3776</v>
      </c>
      <c r="E1330" s="2">
        <v>43965</v>
      </c>
      <c r="F1330">
        <v>1646</v>
      </c>
      <c r="G1330" t="s">
        <v>1746</v>
      </c>
      <c r="H1330" t="s">
        <v>1747</v>
      </c>
      <c r="I1330" t="b">
        <v>1</v>
      </c>
      <c r="J1330" t="s">
        <v>1748</v>
      </c>
      <c r="K1330" t="s">
        <v>1800</v>
      </c>
      <c r="L1330" t="s">
        <v>1750</v>
      </c>
      <c r="M1330">
        <v>159</v>
      </c>
      <c r="N1330" t="b">
        <v>1</v>
      </c>
      <c r="O1330">
        <v>178</v>
      </c>
      <c r="P1330" t="s">
        <v>1752</v>
      </c>
      <c r="Q1330" t="s">
        <v>1753</v>
      </c>
      <c r="R1330" t="s">
        <v>1759</v>
      </c>
    </row>
    <row r="1331" spans="1:18" x14ac:dyDescent="0.25">
      <c r="A1331" t="s">
        <v>3779</v>
      </c>
      <c r="B1331" t="s">
        <v>2173</v>
      </c>
      <c r="C1331" t="s">
        <v>4</v>
      </c>
      <c r="D1331" t="s">
        <v>3778</v>
      </c>
      <c r="E1331" s="2">
        <v>44476</v>
      </c>
      <c r="F1331">
        <v>1135</v>
      </c>
      <c r="G1331" t="s">
        <v>1746</v>
      </c>
      <c r="H1331" t="s">
        <v>1747</v>
      </c>
      <c r="I1331" t="b">
        <v>0</v>
      </c>
      <c r="J1331" t="s">
        <v>1748</v>
      </c>
      <c r="K1331" t="s">
        <v>1774</v>
      </c>
      <c r="L1331" t="s">
        <v>1817</v>
      </c>
      <c r="M1331">
        <v>159</v>
      </c>
      <c r="N1331" t="b">
        <v>1</v>
      </c>
      <c r="O1331">
        <v>1682</v>
      </c>
      <c r="P1331" t="s">
        <v>1819</v>
      </c>
      <c r="Q1331" t="s">
        <v>1753</v>
      </c>
      <c r="R1331" t="s">
        <v>1759</v>
      </c>
    </row>
    <row r="1332" spans="1:18" x14ac:dyDescent="0.25">
      <c r="A1332" t="s">
        <v>3781</v>
      </c>
      <c r="B1332" t="s">
        <v>1907</v>
      </c>
      <c r="C1332" t="s">
        <v>6</v>
      </c>
      <c r="D1332" t="s">
        <v>3780</v>
      </c>
      <c r="E1332" s="2">
        <v>44131</v>
      </c>
      <c r="F1332">
        <v>1480</v>
      </c>
      <c r="G1332" t="s">
        <v>1746</v>
      </c>
      <c r="H1332" t="s">
        <v>2001</v>
      </c>
      <c r="I1332" t="b">
        <v>1</v>
      </c>
      <c r="J1332" t="s">
        <v>1748</v>
      </c>
      <c r="K1332" t="s">
        <v>1863</v>
      </c>
      <c r="L1332" t="s">
        <v>1750</v>
      </c>
      <c r="M1332">
        <v>158</v>
      </c>
      <c r="N1332" t="b">
        <v>0</v>
      </c>
      <c r="O1332">
        <v>225</v>
      </c>
      <c r="P1332" t="s">
        <v>1752</v>
      </c>
      <c r="Q1332" t="s">
        <v>1753</v>
      </c>
    </row>
    <row r="1333" spans="1:18" x14ac:dyDescent="0.25">
      <c r="A1333" t="s">
        <v>3783</v>
      </c>
      <c r="B1333" t="s">
        <v>2857</v>
      </c>
      <c r="C1333" t="s">
        <v>4</v>
      </c>
      <c r="D1333" t="s">
        <v>3782</v>
      </c>
      <c r="E1333" s="2">
        <v>41740</v>
      </c>
      <c r="F1333">
        <v>3871</v>
      </c>
      <c r="G1333" t="s">
        <v>1746</v>
      </c>
      <c r="H1333" t="s">
        <v>2231</v>
      </c>
      <c r="I1333" t="b">
        <v>1</v>
      </c>
      <c r="J1333" t="s">
        <v>1761</v>
      </c>
      <c r="K1333" t="s">
        <v>1913</v>
      </c>
      <c r="L1333" t="s">
        <v>1817</v>
      </c>
      <c r="M1333">
        <v>158</v>
      </c>
      <c r="N1333" t="b">
        <v>0</v>
      </c>
      <c r="O1333">
        <v>1575</v>
      </c>
      <c r="P1333" t="s">
        <v>1819</v>
      </c>
      <c r="Q1333" t="s">
        <v>1753</v>
      </c>
      <c r="R1333" t="s">
        <v>1759</v>
      </c>
    </row>
    <row r="1334" spans="1:18" x14ac:dyDescent="0.25">
      <c r="A1334" t="s">
        <v>3784</v>
      </c>
      <c r="B1334" t="s">
        <v>1876</v>
      </c>
      <c r="C1334" t="s">
        <v>4</v>
      </c>
      <c r="D1334" t="s">
        <v>1697</v>
      </c>
      <c r="E1334" s="2">
        <v>44077</v>
      </c>
      <c r="F1334">
        <v>1534</v>
      </c>
      <c r="G1334" t="s">
        <v>1746</v>
      </c>
      <c r="H1334" t="s">
        <v>1747</v>
      </c>
      <c r="I1334" t="b">
        <v>0</v>
      </c>
      <c r="J1334" t="s">
        <v>1748</v>
      </c>
      <c r="K1334" t="s">
        <v>1826</v>
      </c>
      <c r="L1334" t="s">
        <v>1817</v>
      </c>
      <c r="M1334">
        <v>157</v>
      </c>
      <c r="N1334" t="b">
        <v>1</v>
      </c>
      <c r="O1334">
        <v>1915</v>
      </c>
      <c r="P1334" t="s">
        <v>1819</v>
      </c>
      <c r="Q1334" t="s">
        <v>1753</v>
      </c>
      <c r="R1334" t="s">
        <v>1759</v>
      </c>
    </row>
    <row r="1335" spans="1:18" x14ac:dyDescent="0.25">
      <c r="A1335" t="s">
        <v>3785</v>
      </c>
      <c r="B1335" t="s">
        <v>1781</v>
      </c>
      <c r="C1335" t="s">
        <v>6</v>
      </c>
      <c r="D1335" t="s">
        <v>875</v>
      </c>
      <c r="E1335" s="2">
        <v>42160</v>
      </c>
      <c r="F1335">
        <v>3451</v>
      </c>
      <c r="G1335" t="s">
        <v>1746</v>
      </c>
      <c r="H1335" t="s">
        <v>1747</v>
      </c>
      <c r="I1335" t="b">
        <v>0</v>
      </c>
      <c r="J1335" t="s">
        <v>1748</v>
      </c>
      <c r="K1335" t="s">
        <v>1822</v>
      </c>
      <c r="L1335" t="s">
        <v>1766</v>
      </c>
      <c r="M1335">
        <v>157</v>
      </c>
      <c r="N1335" t="b">
        <v>0</v>
      </c>
      <c r="P1335" t="s">
        <v>1827</v>
      </c>
      <c r="Q1335" t="s">
        <v>1753</v>
      </c>
    </row>
    <row r="1336" spans="1:18" x14ac:dyDescent="0.25">
      <c r="A1336" t="s">
        <v>3786</v>
      </c>
      <c r="B1336" t="s">
        <v>1945</v>
      </c>
      <c r="C1336" t="s">
        <v>6</v>
      </c>
      <c r="D1336" t="s">
        <v>950</v>
      </c>
      <c r="E1336" s="2">
        <v>39015</v>
      </c>
      <c r="F1336">
        <v>6596</v>
      </c>
      <c r="G1336" t="s">
        <v>1746</v>
      </c>
      <c r="H1336" t="s">
        <v>1798</v>
      </c>
      <c r="I1336" t="b">
        <v>0</v>
      </c>
      <c r="J1336" t="s">
        <v>1761</v>
      </c>
      <c r="K1336" t="s">
        <v>1853</v>
      </c>
      <c r="L1336" t="s">
        <v>1766</v>
      </c>
      <c r="M1336">
        <v>157</v>
      </c>
      <c r="N1336" t="b">
        <v>0</v>
      </c>
      <c r="P1336" t="s">
        <v>1752</v>
      </c>
      <c r="Q1336" t="s">
        <v>1753</v>
      </c>
      <c r="R1336" t="s">
        <v>1828</v>
      </c>
    </row>
    <row r="1337" spans="1:18" x14ac:dyDescent="0.25">
      <c r="A1337" t="s">
        <v>3788</v>
      </c>
      <c r="B1337" t="s">
        <v>2277</v>
      </c>
      <c r="C1337" t="s">
        <v>4</v>
      </c>
      <c r="D1337" t="s">
        <v>3787</v>
      </c>
      <c r="E1337" s="2">
        <v>45105</v>
      </c>
      <c r="F1337">
        <v>506</v>
      </c>
      <c r="G1337" t="s">
        <v>1746</v>
      </c>
      <c r="H1337" t="s">
        <v>1747</v>
      </c>
      <c r="I1337" t="b">
        <v>0</v>
      </c>
      <c r="J1337" t="s">
        <v>1748</v>
      </c>
      <c r="K1337" t="s">
        <v>1770</v>
      </c>
      <c r="L1337" t="s">
        <v>1750</v>
      </c>
      <c r="M1337">
        <v>157</v>
      </c>
      <c r="N1337" t="b">
        <v>0</v>
      </c>
      <c r="O1337">
        <v>372</v>
      </c>
      <c r="P1337" t="s">
        <v>1752</v>
      </c>
      <c r="Q1337" t="s">
        <v>1753</v>
      </c>
    </row>
    <row r="1338" spans="1:18" x14ac:dyDescent="0.25">
      <c r="A1338" t="s">
        <v>3790</v>
      </c>
      <c r="B1338" t="s">
        <v>1840</v>
      </c>
      <c r="C1338" t="s">
        <v>4</v>
      </c>
      <c r="D1338" t="s">
        <v>3789</v>
      </c>
      <c r="E1338" s="2">
        <v>43298</v>
      </c>
      <c r="F1338">
        <v>2313</v>
      </c>
      <c r="G1338" t="s">
        <v>1746</v>
      </c>
      <c r="H1338" t="s">
        <v>1798</v>
      </c>
      <c r="I1338" t="b">
        <v>1</v>
      </c>
      <c r="J1338" t="s">
        <v>1761</v>
      </c>
      <c r="K1338" t="s">
        <v>1822</v>
      </c>
      <c r="L1338" t="s">
        <v>1750</v>
      </c>
      <c r="M1338">
        <v>157</v>
      </c>
      <c r="N1338" t="b">
        <v>0</v>
      </c>
      <c r="O1338">
        <v>152</v>
      </c>
      <c r="P1338" t="s">
        <v>1752</v>
      </c>
      <c r="Q1338" t="s">
        <v>1753</v>
      </c>
    </row>
    <row r="1339" spans="1:18" x14ac:dyDescent="0.25">
      <c r="A1339" t="s">
        <v>3791</v>
      </c>
      <c r="B1339" t="s">
        <v>2799</v>
      </c>
      <c r="C1339" t="s">
        <v>6</v>
      </c>
      <c r="D1339" t="s">
        <v>911</v>
      </c>
      <c r="E1339" s="2">
        <v>44323</v>
      </c>
      <c r="F1339">
        <v>1288</v>
      </c>
      <c r="G1339" t="s">
        <v>1746</v>
      </c>
      <c r="H1339" t="s">
        <v>1798</v>
      </c>
      <c r="I1339" t="b">
        <v>0</v>
      </c>
      <c r="J1339" t="s">
        <v>1748</v>
      </c>
      <c r="K1339" t="s">
        <v>1776</v>
      </c>
      <c r="L1339" t="s">
        <v>1750</v>
      </c>
      <c r="M1339">
        <v>156</v>
      </c>
      <c r="N1339" t="b">
        <v>1</v>
      </c>
      <c r="O1339">
        <v>208</v>
      </c>
      <c r="P1339" t="s">
        <v>1752</v>
      </c>
      <c r="Q1339" t="s">
        <v>1753</v>
      </c>
      <c r="R1339" t="s">
        <v>1828</v>
      </c>
    </row>
    <row r="1340" spans="1:18" x14ac:dyDescent="0.25">
      <c r="A1340" t="s">
        <v>3792</v>
      </c>
      <c r="B1340" t="s">
        <v>2269</v>
      </c>
      <c r="C1340" t="s">
        <v>6</v>
      </c>
      <c r="D1340" t="s">
        <v>1520</v>
      </c>
      <c r="E1340" s="2">
        <v>39238</v>
      </c>
      <c r="F1340">
        <v>6373</v>
      </c>
      <c r="G1340" t="s">
        <v>1746</v>
      </c>
      <c r="H1340" t="s">
        <v>1798</v>
      </c>
      <c r="I1340" t="b">
        <v>1</v>
      </c>
      <c r="J1340" t="s">
        <v>1748</v>
      </c>
      <c r="K1340" t="s">
        <v>1824</v>
      </c>
      <c r="L1340" t="s">
        <v>1817</v>
      </c>
      <c r="M1340">
        <v>156</v>
      </c>
      <c r="N1340" t="b">
        <v>0</v>
      </c>
      <c r="O1340">
        <v>30</v>
      </c>
      <c r="P1340" t="s">
        <v>1819</v>
      </c>
      <c r="Q1340" t="s">
        <v>1753</v>
      </c>
      <c r="R1340" t="s">
        <v>1828</v>
      </c>
    </row>
    <row r="1341" spans="1:18" x14ac:dyDescent="0.25">
      <c r="A1341" t="s">
        <v>3794</v>
      </c>
      <c r="B1341" t="s">
        <v>1803</v>
      </c>
      <c r="C1341" t="s">
        <v>4</v>
      </c>
      <c r="D1341" t="s">
        <v>3793</v>
      </c>
      <c r="E1341" s="2">
        <v>43581</v>
      </c>
      <c r="F1341">
        <v>2030</v>
      </c>
      <c r="G1341" t="s">
        <v>1746</v>
      </c>
      <c r="H1341" t="s">
        <v>1798</v>
      </c>
      <c r="I1341" t="b">
        <v>1</v>
      </c>
      <c r="J1341" t="s">
        <v>1761</v>
      </c>
      <c r="K1341" t="s">
        <v>1776</v>
      </c>
      <c r="L1341" t="s">
        <v>1817</v>
      </c>
      <c r="M1341">
        <v>156</v>
      </c>
      <c r="N1341" t="b">
        <v>0</v>
      </c>
      <c r="O1341">
        <v>13583</v>
      </c>
      <c r="P1341" t="s">
        <v>1819</v>
      </c>
      <c r="Q1341" t="s">
        <v>1753</v>
      </c>
      <c r="R1341" t="s">
        <v>1759</v>
      </c>
    </row>
    <row r="1342" spans="1:18" x14ac:dyDescent="0.25">
      <c r="A1342" t="s">
        <v>3795</v>
      </c>
      <c r="B1342" t="s">
        <v>2997</v>
      </c>
      <c r="C1342" t="s">
        <v>6</v>
      </c>
      <c r="D1342" t="s">
        <v>115</v>
      </c>
      <c r="E1342" s="2">
        <v>42769</v>
      </c>
      <c r="F1342">
        <v>2842</v>
      </c>
      <c r="G1342" t="s">
        <v>1746</v>
      </c>
      <c r="H1342" t="s">
        <v>1798</v>
      </c>
      <c r="I1342" t="b">
        <v>1</v>
      </c>
      <c r="J1342" t="s">
        <v>1761</v>
      </c>
      <c r="K1342" t="s">
        <v>1822</v>
      </c>
      <c r="L1342" t="s">
        <v>1750</v>
      </c>
      <c r="M1342">
        <v>156</v>
      </c>
      <c r="N1342" t="b">
        <v>0</v>
      </c>
      <c r="O1342">
        <v>96</v>
      </c>
      <c r="P1342" t="s">
        <v>1819</v>
      </c>
      <c r="Q1342" t="s">
        <v>1753</v>
      </c>
    </row>
    <row r="1343" spans="1:18" x14ac:dyDescent="0.25">
      <c r="A1343" t="s">
        <v>348</v>
      </c>
      <c r="B1343" t="s">
        <v>3796</v>
      </c>
      <c r="C1343" t="s">
        <v>4</v>
      </c>
      <c r="D1343" t="s">
        <v>349</v>
      </c>
      <c r="E1343" s="2">
        <v>40260</v>
      </c>
      <c r="F1343">
        <v>5351</v>
      </c>
      <c r="G1343" t="s">
        <v>1746</v>
      </c>
      <c r="H1343" t="s">
        <v>1747</v>
      </c>
      <c r="I1343" t="b">
        <v>1</v>
      </c>
      <c r="J1343" t="s">
        <v>1761</v>
      </c>
      <c r="K1343" t="s">
        <v>1774</v>
      </c>
      <c r="L1343" t="s">
        <v>1750</v>
      </c>
      <c r="M1343">
        <v>155</v>
      </c>
      <c r="N1343" t="b">
        <v>0</v>
      </c>
      <c r="O1343">
        <v>198</v>
      </c>
      <c r="P1343" t="s">
        <v>1752</v>
      </c>
      <c r="Q1343" t="s">
        <v>1753</v>
      </c>
    </row>
    <row r="1344" spans="1:18" x14ac:dyDescent="0.25">
      <c r="A1344" t="s">
        <v>1682</v>
      </c>
      <c r="B1344" t="s">
        <v>1876</v>
      </c>
      <c r="C1344" t="s">
        <v>4</v>
      </c>
      <c r="D1344" t="s">
        <v>1683</v>
      </c>
      <c r="E1344" s="2">
        <v>44720</v>
      </c>
      <c r="F1344">
        <v>891</v>
      </c>
      <c r="G1344" t="s">
        <v>1746</v>
      </c>
      <c r="H1344" t="s">
        <v>1747</v>
      </c>
      <c r="I1344" t="b">
        <v>1</v>
      </c>
      <c r="J1344" t="s">
        <v>1748</v>
      </c>
      <c r="K1344" t="s">
        <v>1985</v>
      </c>
      <c r="L1344" t="s">
        <v>1750</v>
      </c>
      <c r="M1344">
        <v>155</v>
      </c>
      <c r="N1344" t="b">
        <v>0</v>
      </c>
      <c r="O1344">
        <v>502</v>
      </c>
      <c r="P1344" t="s">
        <v>1752</v>
      </c>
      <c r="Q1344" t="s">
        <v>1753</v>
      </c>
    </row>
    <row r="1345" spans="1:18" x14ac:dyDescent="0.25">
      <c r="A1345" t="s">
        <v>3797</v>
      </c>
      <c r="B1345" t="s">
        <v>2269</v>
      </c>
      <c r="C1345" t="s">
        <v>4</v>
      </c>
      <c r="D1345" t="s">
        <v>985</v>
      </c>
      <c r="E1345" s="2">
        <v>42417</v>
      </c>
      <c r="F1345">
        <v>3194</v>
      </c>
      <c r="G1345" t="s">
        <v>1746</v>
      </c>
      <c r="H1345" t="s">
        <v>1798</v>
      </c>
      <c r="I1345" t="b">
        <v>1</v>
      </c>
      <c r="J1345" t="s">
        <v>1761</v>
      </c>
      <c r="K1345" t="s">
        <v>1824</v>
      </c>
      <c r="L1345" t="s">
        <v>1817</v>
      </c>
      <c r="M1345">
        <v>155</v>
      </c>
      <c r="N1345" t="b">
        <v>0</v>
      </c>
      <c r="O1345">
        <v>176</v>
      </c>
      <c r="P1345" t="s">
        <v>1819</v>
      </c>
      <c r="Q1345" t="s">
        <v>1753</v>
      </c>
      <c r="R1345" t="s">
        <v>1828</v>
      </c>
    </row>
    <row r="1346" spans="1:18" x14ac:dyDescent="0.25">
      <c r="A1346" t="s">
        <v>3799</v>
      </c>
      <c r="B1346" t="s">
        <v>2040</v>
      </c>
      <c r="C1346" t="s">
        <v>6</v>
      </c>
      <c r="D1346" t="s">
        <v>3798</v>
      </c>
      <c r="E1346" s="2">
        <v>44217</v>
      </c>
      <c r="F1346">
        <v>1394</v>
      </c>
      <c r="G1346" t="s">
        <v>1746</v>
      </c>
      <c r="H1346" t="s">
        <v>1747</v>
      </c>
      <c r="I1346" t="b">
        <v>0</v>
      </c>
      <c r="J1346" t="s">
        <v>1748</v>
      </c>
      <c r="K1346" t="s">
        <v>1909</v>
      </c>
      <c r="L1346" t="s">
        <v>1750</v>
      </c>
      <c r="M1346">
        <v>155</v>
      </c>
      <c r="N1346" t="b">
        <v>1</v>
      </c>
      <c r="O1346">
        <v>542</v>
      </c>
      <c r="P1346" t="s">
        <v>1819</v>
      </c>
      <c r="Q1346" t="s">
        <v>1753</v>
      </c>
      <c r="R1346" t="s">
        <v>1772</v>
      </c>
    </row>
    <row r="1347" spans="1:18" x14ac:dyDescent="0.25">
      <c r="A1347" t="s">
        <v>3801</v>
      </c>
      <c r="B1347" t="s">
        <v>1840</v>
      </c>
      <c r="C1347" t="s">
        <v>4</v>
      </c>
      <c r="D1347" t="s">
        <v>3800</v>
      </c>
      <c r="E1347" s="2">
        <v>40967</v>
      </c>
      <c r="F1347">
        <v>4644</v>
      </c>
      <c r="G1347" t="s">
        <v>1746</v>
      </c>
      <c r="H1347" t="s">
        <v>1805</v>
      </c>
      <c r="I1347" t="b">
        <v>1</v>
      </c>
      <c r="J1347" t="s">
        <v>1761</v>
      </c>
      <c r="K1347" t="s">
        <v>1853</v>
      </c>
      <c r="L1347" t="s">
        <v>1750</v>
      </c>
      <c r="M1347">
        <v>154</v>
      </c>
      <c r="N1347" t="b">
        <v>0</v>
      </c>
      <c r="O1347">
        <v>36</v>
      </c>
      <c r="P1347" t="s">
        <v>1752</v>
      </c>
      <c r="Q1347" t="s">
        <v>1753</v>
      </c>
    </row>
    <row r="1348" spans="1:18" x14ac:dyDescent="0.25">
      <c r="A1348" t="s">
        <v>3803</v>
      </c>
      <c r="B1348" t="s">
        <v>2144</v>
      </c>
      <c r="C1348" t="s">
        <v>6</v>
      </c>
      <c r="D1348" t="s">
        <v>3802</v>
      </c>
      <c r="E1348" s="2">
        <v>44995</v>
      </c>
      <c r="F1348">
        <v>616</v>
      </c>
      <c r="G1348" t="s">
        <v>1746</v>
      </c>
      <c r="H1348" t="s">
        <v>1747</v>
      </c>
      <c r="I1348" t="b">
        <v>1</v>
      </c>
      <c r="J1348" t="s">
        <v>1761</v>
      </c>
      <c r="K1348" t="s">
        <v>1856</v>
      </c>
      <c r="L1348" t="s">
        <v>1750</v>
      </c>
      <c r="M1348">
        <v>154</v>
      </c>
      <c r="N1348" t="b">
        <v>1</v>
      </c>
      <c r="O1348">
        <v>275</v>
      </c>
      <c r="P1348" t="s">
        <v>1752</v>
      </c>
      <c r="Q1348" t="s">
        <v>1753</v>
      </c>
      <c r="R1348" t="s">
        <v>2028</v>
      </c>
    </row>
    <row r="1349" spans="1:18" x14ac:dyDescent="0.25">
      <c r="A1349" t="s">
        <v>3805</v>
      </c>
      <c r="B1349" t="s">
        <v>1803</v>
      </c>
      <c r="C1349" t="s">
        <v>572</v>
      </c>
      <c r="D1349" t="s">
        <v>3804</v>
      </c>
      <c r="E1349" s="2">
        <v>38903</v>
      </c>
      <c r="F1349">
        <v>6708</v>
      </c>
      <c r="G1349" t="s">
        <v>1746</v>
      </c>
      <c r="H1349" t="s">
        <v>2001</v>
      </c>
      <c r="I1349" t="b">
        <v>0</v>
      </c>
      <c r="J1349" t="s">
        <v>1761</v>
      </c>
      <c r="K1349" t="s">
        <v>1788</v>
      </c>
      <c r="L1349" t="s">
        <v>1750</v>
      </c>
      <c r="M1349">
        <v>153</v>
      </c>
      <c r="N1349" t="b">
        <v>0</v>
      </c>
      <c r="O1349">
        <v>225</v>
      </c>
      <c r="P1349" t="s">
        <v>1752</v>
      </c>
      <c r="Q1349" t="s">
        <v>1753</v>
      </c>
    </row>
    <row r="1350" spans="1:18" x14ac:dyDescent="0.25">
      <c r="A1350" t="s">
        <v>3807</v>
      </c>
      <c r="B1350" t="s">
        <v>2503</v>
      </c>
      <c r="C1350" t="s">
        <v>4</v>
      </c>
      <c r="D1350" t="s">
        <v>3806</v>
      </c>
      <c r="E1350" s="2">
        <v>43805</v>
      </c>
      <c r="F1350">
        <v>1806</v>
      </c>
      <c r="G1350" t="s">
        <v>1746</v>
      </c>
      <c r="H1350" t="s">
        <v>1747</v>
      </c>
      <c r="I1350" t="b">
        <v>0</v>
      </c>
      <c r="J1350" t="s">
        <v>1748</v>
      </c>
      <c r="K1350" t="s">
        <v>1824</v>
      </c>
      <c r="L1350" t="s">
        <v>1817</v>
      </c>
      <c r="M1350">
        <v>153</v>
      </c>
      <c r="N1350" t="b">
        <v>1</v>
      </c>
      <c r="O1350">
        <v>94</v>
      </c>
      <c r="P1350" t="s">
        <v>1819</v>
      </c>
      <c r="Q1350" t="s">
        <v>1753</v>
      </c>
      <c r="R1350" t="s">
        <v>1759</v>
      </c>
    </row>
    <row r="1351" spans="1:18" x14ac:dyDescent="0.25">
      <c r="A1351" t="s">
        <v>3808</v>
      </c>
      <c r="B1351" t="s">
        <v>2353</v>
      </c>
      <c r="C1351" t="s">
        <v>4</v>
      </c>
      <c r="D1351" t="s">
        <v>129</v>
      </c>
      <c r="E1351" s="2">
        <v>44847</v>
      </c>
      <c r="F1351">
        <v>764</v>
      </c>
      <c r="G1351" t="s">
        <v>1833</v>
      </c>
      <c r="H1351" t="s">
        <v>1798</v>
      </c>
      <c r="I1351" t="b">
        <v>0</v>
      </c>
      <c r="J1351" t="s">
        <v>1748</v>
      </c>
      <c r="K1351" t="s">
        <v>1751</v>
      </c>
      <c r="L1351" t="s">
        <v>1750</v>
      </c>
      <c r="M1351">
        <v>153</v>
      </c>
      <c r="N1351" t="b">
        <v>1</v>
      </c>
      <c r="P1351" t="s">
        <v>1752</v>
      </c>
      <c r="Q1351" t="s">
        <v>1753</v>
      </c>
      <c r="R1351" t="s">
        <v>1759</v>
      </c>
    </row>
    <row r="1352" spans="1:18" x14ac:dyDescent="0.25">
      <c r="A1352" t="s">
        <v>3809</v>
      </c>
      <c r="B1352" t="s">
        <v>2180</v>
      </c>
      <c r="C1352" t="s">
        <v>6</v>
      </c>
      <c r="D1352" t="s">
        <v>180</v>
      </c>
      <c r="E1352" s="2">
        <v>44540</v>
      </c>
      <c r="F1352">
        <v>1071</v>
      </c>
      <c r="G1352" t="s">
        <v>1746</v>
      </c>
      <c r="H1352" t="s">
        <v>1798</v>
      </c>
      <c r="I1352" t="b">
        <v>0</v>
      </c>
      <c r="J1352" t="s">
        <v>1748</v>
      </c>
      <c r="K1352" t="s">
        <v>1776</v>
      </c>
      <c r="L1352" t="s">
        <v>1750</v>
      </c>
      <c r="M1352">
        <v>153</v>
      </c>
      <c r="N1352" t="b">
        <v>1</v>
      </c>
      <c r="O1352">
        <v>597</v>
      </c>
      <c r="P1352" t="s">
        <v>1819</v>
      </c>
      <c r="Q1352" t="s">
        <v>1753</v>
      </c>
      <c r="R1352" t="s">
        <v>1759</v>
      </c>
    </row>
    <row r="1353" spans="1:18" x14ac:dyDescent="0.25">
      <c r="A1353" t="s">
        <v>3811</v>
      </c>
      <c r="B1353" t="s">
        <v>1803</v>
      </c>
      <c r="C1353" t="s">
        <v>572</v>
      </c>
      <c r="D1353" t="s">
        <v>3810</v>
      </c>
      <c r="E1353" s="2">
        <v>39622</v>
      </c>
      <c r="F1353">
        <v>5989</v>
      </c>
      <c r="G1353" t="s">
        <v>1746</v>
      </c>
      <c r="H1353" t="s">
        <v>1798</v>
      </c>
      <c r="I1353" t="b">
        <v>0</v>
      </c>
      <c r="J1353" t="s">
        <v>1761</v>
      </c>
      <c r="K1353" t="s">
        <v>1853</v>
      </c>
      <c r="L1353" t="s">
        <v>1750</v>
      </c>
      <c r="M1353">
        <v>152</v>
      </c>
      <c r="N1353" t="b">
        <v>0</v>
      </c>
      <c r="O1353">
        <v>30</v>
      </c>
      <c r="P1353" t="s">
        <v>1752</v>
      </c>
      <c r="Q1353" t="s">
        <v>1753</v>
      </c>
      <c r="R1353" t="s">
        <v>1828</v>
      </c>
    </row>
    <row r="1354" spans="1:18" x14ac:dyDescent="0.25">
      <c r="A1354" t="s">
        <v>3813</v>
      </c>
      <c r="B1354" t="s">
        <v>2857</v>
      </c>
      <c r="C1354" t="s">
        <v>4</v>
      </c>
      <c r="D1354" t="s">
        <v>3812</v>
      </c>
      <c r="E1354" s="2">
        <v>43088</v>
      </c>
      <c r="F1354">
        <v>2523</v>
      </c>
      <c r="G1354" t="s">
        <v>1746</v>
      </c>
      <c r="H1354" t="s">
        <v>2231</v>
      </c>
      <c r="I1354" t="b">
        <v>0</v>
      </c>
      <c r="J1354" t="s">
        <v>1748</v>
      </c>
      <c r="K1354" t="s">
        <v>1891</v>
      </c>
      <c r="L1354" t="s">
        <v>1750</v>
      </c>
      <c r="M1354">
        <v>152</v>
      </c>
      <c r="N1354" t="b">
        <v>1</v>
      </c>
      <c r="O1354">
        <v>114</v>
      </c>
      <c r="P1354" t="s">
        <v>1752</v>
      </c>
      <c r="Q1354" t="s">
        <v>1753</v>
      </c>
      <c r="R1354" t="s">
        <v>1759</v>
      </c>
    </row>
    <row r="1355" spans="1:18" x14ac:dyDescent="0.25">
      <c r="A1355" t="s">
        <v>3815</v>
      </c>
      <c r="B1355" t="s">
        <v>3816</v>
      </c>
      <c r="C1355" t="s">
        <v>6</v>
      </c>
      <c r="D1355" t="s">
        <v>3814</v>
      </c>
      <c r="E1355" s="2">
        <v>42485</v>
      </c>
      <c r="F1355">
        <v>3126</v>
      </c>
      <c r="G1355" t="s">
        <v>1746</v>
      </c>
      <c r="H1355" t="s">
        <v>1747</v>
      </c>
      <c r="I1355" t="b">
        <v>0</v>
      </c>
      <c r="J1355" t="s">
        <v>1748</v>
      </c>
      <c r="K1355" t="s">
        <v>2021</v>
      </c>
      <c r="L1355" t="s">
        <v>1766</v>
      </c>
      <c r="M1355">
        <v>152</v>
      </c>
      <c r="N1355" t="b">
        <v>0</v>
      </c>
      <c r="P1355" t="s">
        <v>2070</v>
      </c>
      <c r="Q1355" t="s">
        <v>1753</v>
      </c>
    </row>
    <row r="1356" spans="1:18" x14ac:dyDescent="0.25">
      <c r="A1356" t="s">
        <v>3818</v>
      </c>
      <c r="B1356" t="s">
        <v>2483</v>
      </c>
      <c r="C1356" t="s">
        <v>4</v>
      </c>
      <c r="D1356" t="s">
        <v>3817</v>
      </c>
      <c r="E1356" s="2">
        <v>42718</v>
      </c>
      <c r="F1356">
        <v>2893</v>
      </c>
      <c r="G1356" t="s">
        <v>1746</v>
      </c>
      <c r="H1356" t="s">
        <v>3819</v>
      </c>
      <c r="I1356" t="b">
        <v>1</v>
      </c>
      <c r="J1356" t="s">
        <v>1748</v>
      </c>
      <c r="K1356" t="s">
        <v>1822</v>
      </c>
      <c r="L1356" t="s">
        <v>1750</v>
      </c>
      <c r="M1356">
        <v>152</v>
      </c>
      <c r="N1356" t="b">
        <v>0</v>
      </c>
      <c r="O1356">
        <v>104</v>
      </c>
      <c r="P1356" t="s">
        <v>1752</v>
      </c>
      <c r="Q1356" t="s">
        <v>1753</v>
      </c>
    </row>
    <row r="1357" spans="1:18" x14ac:dyDescent="0.25">
      <c r="A1357" t="s">
        <v>3820</v>
      </c>
      <c r="B1357" t="s">
        <v>2106</v>
      </c>
      <c r="C1357" t="s">
        <v>6</v>
      </c>
      <c r="D1357" t="s">
        <v>946</v>
      </c>
      <c r="E1357" s="2">
        <v>38947</v>
      </c>
      <c r="F1357">
        <v>6664</v>
      </c>
      <c r="G1357" t="s">
        <v>1746</v>
      </c>
      <c r="H1357" t="s">
        <v>1798</v>
      </c>
      <c r="I1357" t="b">
        <v>0</v>
      </c>
      <c r="J1357" t="s">
        <v>1748</v>
      </c>
      <c r="K1357" t="s">
        <v>1853</v>
      </c>
      <c r="L1357" t="s">
        <v>1766</v>
      </c>
      <c r="M1357">
        <v>151</v>
      </c>
      <c r="N1357" t="b">
        <v>0</v>
      </c>
      <c r="P1357" t="s">
        <v>1752</v>
      </c>
      <c r="Q1357" t="s">
        <v>1753</v>
      </c>
      <c r="R1357" t="s">
        <v>1828</v>
      </c>
    </row>
    <row r="1358" spans="1:18" x14ac:dyDescent="0.25">
      <c r="A1358" t="s">
        <v>3821</v>
      </c>
      <c r="B1358" t="s">
        <v>1810</v>
      </c>
      <c r="C1358" t="s">
        <v>4</v>
      </c>
      <c r="D1358" t="s">
        <v>685</v>
      </c>
      <c r="E1358" s="2">
        <v>40200</v>
      </c>
      <c r="F1358">
        <v>5411</v>
      </c>
      <c r="G1358" t="s">
        <v>1746</v>
      </c>
      <c r="H1358" t="s">
        <v>1747</v>
      </c>
      <c r="I1358" t="b">
        <v>1</v>
      </c>
      <c r="J1358" t="s">
        <v>1748</v>
      </c>
      <c r="K1358" t="s">
        <v>1757</v>
      </c>
      <c r="L1358" t="s">
        <v>1750</v>
      </c>
      <c r="M1358">
        <v>151</v>
      </c>
      <c r="N1358" t="b">
        <v>0</v>
      </c>
      <c r="O1358">
        <v>32</v>
      </c>
      <c r="P1358" t="s">
        <v>1752</v>
      </c>
      <c r="Q1358" t="s">
        <v>1753</v>
      </c>
    </row>
    <row r="1359" spans="1:18" x14ac:dyDescent="0.25">
      <c r="A1359" t="s">
        <v>3822</v>
      </c>
      <c r="B1359" t="s">
        <v>1998</v>
      </c>
      <c r="C1359" t="s">
        <v>4</v>
      </c>
      <c r="D1359" t="s">
        <v>385</v>
      </c>
      <c r="E1359" s="2">
        <v>43357</v>
      </c>
      <c r="F1359">
        <v>2254</v>
      </c>
      <c r="G1359" t="s">
        <v>1746</v>
      </c>
      <c r="H1359" t="s">
        <v>1747</v>
      </c>
      <c r="I1359" t="b">
        <v>0</v>
      </c>
      <c r="J1359" t="s">
        <v>1748</v>
      </c>
      <c r="K1359" t="s">
        <v>1934</v>
      </c>
      <c r="L1359" t="s">
        <v>1766</v>
      </c>
      <c r="M1359">
        <v>151</v>
      </c>
      <c r="N1359" t="b">
        <v>0</v>
      </c>
      <c r="P1359" t="s">
        <v>1752</v>
      </c>
      <c r="Q1359" t="s">
        <v>1753</v>
      </c>
    </row>
    <row r="1360" spans="1:18" x14ac:dyDescent="0.25">
      <c r="A1360" t="s">
        <v>3824</v>
      </c>
      <c r="B1360" t="s">
        <v>2173</v>
      </c>
      <c r="C1360" t="s">
        <v>6</v>
      </c>
      <c r="D1360" t="s">
        <v>3823</v>
      </c>
      <c r="E1360" s="2">
        <v>44007</v>
      </c>
      <c r="F1360">
        <v>1604</v>
      </c>
      <c r="G1360" t="s">
        <v>1746</v>
      </c>
      <c r="H1360" t="s">
        <v>1747</v>
      </c>
      <c r="I1360" t="b">
        <v>1</v>
      </c>
      <c r="J1360" t="s">
        <v>1748</v>
      </c>
      <c r="K1360" t="s">
        <v>1824</v>
      </c>
      <c r="L1360" t="s">
        <v>1750</v>
      </c>
      <c r="M1360">
        <v>151</v>
      </c>
      <c r="N1360" t="b">
        <v>0</v>
      </c>
      <c r="O1360">
        <v>198</v>
      </c>
      <c r="P1360" t="s">
        <v>1752</v>
      </c>
      <c r="Q1360" t="s">
        <v>1753</v>
      </c>
    </row>
    <row r="1361" spans="1:18" x14ac:dyDescent="0.25">
      <c r="A1361" t="s">
        <v>3826</v>
      </c>
      <c r="B1361" t="s">
        <v>1840</v>
      </c>
      <c r="C1361" t="s">
        <v>6</v>
      </c>
      <c r="D1361" t="s">
        <v>3825</v>
      </c>
      <c r="E1361" s="2">
        <v>40001</v>
      </c>
      <c r="F1361">
        <v>5610</v>
      </c>
      <c r="G1361" t="s">
        <v>1746</v>
      </c>
      <c r="H1361" t="s">
        <v>1747</v>
      </c>
      <c r="I1361" t="b">
        <v>0</v>
      </c>
      <c r="J1361" t="s">
        <v>1761</v>
      </c>
      <c r="K1361" t="s">
        <v>1985</v>
      </c>
      <c r="L1361" t="s">
        <v>1817</v>
      </c>
      <c r="M1361">
        <v>151</v>
      </c>
      <c r="N1361" t="b">
        <v>0</v>
      </c>
      <c r="O1361">
        <v>96</v>
      </c>
      <c r="P1361" t="s">
        <v>1819</v>
      </c>
      <c r="Q1361" t="s">
        <v>1753</v>
      </c>
    </row>
    <row r="1362" spans="1:18" x14ac:dyDescent="0.25">
      <c r="A1362" t="s">
        <v>3828</v>
      </c>
      <c r="B1362" t="s">
        <v>2150</v>
      </c>
      <c r="C1362" t="s">
        <v>4</v>
      </c>
      <c r="D1362" t="s">
        <v>3827</v>
      </c>
      <c r="E1362" s="2">
        <v>44782</v>
      </c>
      <c r="F1362">
        <v>829</v>
      </c>
      <c r="G1362" t="s">
        <v>1746</v>
      </c>
      <c r="H1362" t="s">
        <v>1747</v>
      </c>
      <c r="I1362" t="b">
        <v>0</v>
      </c>
      <c r="J1362" t="s">
        <v>1761</v>
      </c>
      <c r="K1362" t="s">
        <v>1934</v>
      </c>
      <c r="L1362" t="s">
        <v>1750</v>
      </c>
      <c r="M1362">
        <v>150</v>
      </c>
      <c r="N1362" t="b">
        <v>0</v>
      </c>
      <c r="O1362">
        <v>1381</v>
      </c>
      <c r="P1362" t="s">
        <v>1752</v>
      </c>
      <c r="Q1362" t="s">
        <v>1753</v>
      </c>
    </row>
    <row r="1363" spans="1:18" x14ac:dyDescent="0.25">
      <c r="A1363" t="s">
        <v>3829</v>
      </c>
      <c r="B1363" t="s">
        <v>1810</v>
      </c>
      <c r="C1363" t="s">
        <v>4</v>
      </c>
      <c r="D1363" t="s">
        <v>453</v>
      </c>
      <c r="E1363" s="2">
        <v>43629</v>
      </c>
      <c r="F1363">
        <v>1982</v>
      </c>
      <c r="G1363" t="s">
        <v>1746</v>
      </c>
      <c r="H1363" t="s">
        <v>1747</v>
      </c>
      <c r="I1363" t="b">
        <v>0</v>
      </c>
      <c r="J1363" t="s">
        <v>1748</v>
      </c>
      <c r="K1363" t="s">
        <v>1809</v>
      </c>
      <c r="L1363" t="s">
        <v>1756</v>
      </c>
      <c r="M1363">
        <v>150</v>
      </c>
      <c r="N1363" t="b">
        <v>1</v>
      </c>
      <c r="O1363">
        <v>1303</v>
      </c>
      <c r="P1363" t="s">
        <v>1752</v>
      </c>
      <c r="Q1363" t="s">
        <v>1753</v>
      </c>
      <c r="R1363" t="s">
        <v>1759</v>
      </c>
    </row>
    <row r="1364" spans="1:18" x14ac:dyDescent="0.25">
      <c r="A1364" t="s">
        <v>3831</v>
      </c>
      <c r="B1364" t="s">
        <v>2177</v>
      </c>
      <c r="C1364" t="s">
        <v>6</v>
      </c>
      <c r="D1364" t="s">
        <v>3830</v>
      </c>
      <c r="E1364" s="2">
        <v>41943</v>
      </c>
      <c r="F1364">
        <v>3668</v>
      </c>
      <c r="G1364" t="s">
        <v>1746</v>
      </c>
      <c r="H1364" t="s">
        <v>1805</v>
      </c>
      <c r="I1364" t="b">
        <v>0</v>
      </c>
      <c r="J1364" t="s">
        <v>1761</v>
      </c>
      <c r="K1364" t="s">
        <v>1826</v>
      </c>
      <c r="L1364" t="s">
        <v>1817</v>
      </c>
      <c r="M1364">
        <v>149</v>
      </c>
      <c r="N1364" t="b">
        <v>0</v>
      </c>
      <c r="O1364">
        <v>605</v>
      </c>
      <c r="P1364" t="s">
        <v>1819</v>
      </c>
      <c r="Q1364" t="s">
        <v>1753</v>
      </c>
    </row>
    <row r="1365" spans="1:18" x14ac:dyDescent="0.25">
      <c r="A1365" t="s">
        <v>3833</v>
      </c>
      <c r="B1365" t="s">
        <v>3834</v>
      </c>
      <c r="C1365" t="s">
        <v>6</v>
      </c>
      <c r="D1365" t="s">
        <v>3832</v>
      </c>
      <c r="E1365" s="2">
        <v>38176</v>
      </c>
      <c r="F1365">
        <v>7435</v>
      </c>
      <c r="G1365" t="s">
        <v>1746</v>
      </c>
      <c r="H1365" t="s">
        <v>1798</v>
      </c>
      <c r="I1365" t="b">
        <v>0</v>
      </c>
      <c r="J1365" t="s">
        <v>1761</v>
      </c>
      <c r="K1365" t="s">
        <v>1865</v>
      </c>
      <c r="L1365" t="s">
        <v>1750</v>
      </c>
      <c r="M1365">
        <v>149</v>
      </c>
      <c r="N1365" t="b">
        <v>0</v>
      </c>
      <c r="O1365">
        <v>39</v>
      </c>
      <c r="P1365" t="s">
        <v>2266</v>
      </c>
      <c r="Q1365" t="s">
        <v>1753</v>
      </c>
      <c r="R1365" t="s">
        <v>1828</v>
      </c>
    </row>
    <row r="1366" spans="1:18" x14ac:dyDescent="0.25">
      <c r="A1366" t="s">
        <v>3836</v>
      </c>
      <c r="B1366" t="s">
        <v>2150</v>
      </c>
      <c r="C1366" t="s">
        <v>4</v>
      </c>
      <c r="D1366" t="s">
        <v>3835</v>
      </c>
      <c r="E1366" s="2">
        <v>43542</v>
      </c>
      <c r="F1366">
        <v>2069</v>
      </c>
      <c r="G1366" t="s">
        <v>1746</v>
      </c>
      <c r="H1366" t="s">
        <v>1805</v>
      </c>
      <c r="I1366" t="b">
        <v>1</v>
      </c>
      <c r="J1366" t="s">
        <v>1761</v>
      </c>
      <c r="K1366" t="s">
        <v>1985</v>
      </c>
      <c r="L1366" t="s">
        <v>1817</v>
      </c>
      <c r="M1366">
        <v>149</v>
      </c>
      <c r="N1366" t="b">
        <v>0</v>
      </c>
      <c r="O1366">
        <v>14</v>
      </c>
      <c r="P1366" t="s">
        <v>1819</v>
      </c>
      <c r="Q1366" t="s">
        <v>1753</v>
      </c>
    </row>
    <row r="1367" spans="1:18" x14ac:dyDescent="0.25">
      <c r="A1367" t="s">
        <v>3837</v>
      </c>
      <c r="B1367" t="s">
        <v>3838</v>
      </c>
      <c r="C1367" t="s">
        <v>6</v>
      </c>
      <c r="D1367" t="s">
        <v>72</v>
      </c>
      <c r="E1367" s="2">
        <v>39870</v>
      </c>
      <c r="F1367">
        <v>5741</v>
      </c>
      <c r="G1367" t="s">
        <v>1746</v>
      </c>
      <c r="H1367" t="s">
        <v>1798</v>
      </c>
      <c r="I1367" t="b">
        <v>0</v>
      </c>
      <c r="J1367" t="s">
        <v>1748</v>
      </c>
      <c r="K1367" t="s">
        <v>1891</v>
      </c>
      <c r="L1367" t="s">
        <v>1766</v>
      </c>
      <c r="M1367">
        <v>149</v>
      </c>
      <c r="N1367" t="b">
        <v>0</v>
      </c>
      <c r="P1367" t="s">
        <v>1752</v>
      </c>
      <c r="Q1367" t="s">
        <v>1753</v>
      </c>
      <c r="R1367" t="s">
        <v>1828</v>
      </c>
    </row>
    <row r="1368" spans="1:18" x14ac:dyDescent="0.25">
      <c r="A1368" t="s">
        <v>3840</v>
      </c>
      <c r="B1368" t="s">
        <v>2173</v>
      </c>
      <c r="C1368" t="s">
        <v>4</v>
      </c>
      <c r="D1368" t="s">
        <v>3839</v>
      </c>
      <c r="E1368" s="2">
        <v>43298</v>
      </c>
      <c r="F1368">
        <v>2313</v>
      </c>
      <c r="G1368" t="s">
        <v>1746</v>
      </c>
      <c r="H1368" t="s">
        <v>2231</v>
      </c>
      <c r="I1368" t="b">
        <v>1</v>
      </c>
      <c r="J1368" t="s">
        <v>1748</v>
      </c>
      <c r="K1368" t="s">
        <v>1913</v>
      </c>
      <c r="L1368" t="s">
        <v>1817</v>
      </c>
      <c r="M1368">
        <v>149</v>
      </c>
      <c r="N1368" t="b">
        <v>0</v>
      </c>
      <c r="O1368">
        <v>340</v>
      </c>
      <c r="P1368" t="s">
        <v>1819</v>
      </c>
      <c r="Q1368" t="s">
        <v>1753</v>
      </c>
      <c r="R1368" t="s">
        <v>1759</v>
      </c>
    </row>
    <row r="1369" spans="1:18" x14ac:dyDescent="0.25">
      <c r="A1369" t="s">
        <v>3841</v>
      </c>
      <c r="B1369" t="s">
        <v>2997</v>
      </c>
      <c r="C1369" t="s">
        <v>11</v>
      </c>
      <c r="D1369" t="s">
        <v>878</v>
      </c>
      <c r="E1369" s="2">
        <v>41726</v>
      </c>
      <c r="F1369">
        <v>3885</v>
      </c>
      <c r="G1369" t="s">
        <v>1746</v>
      </c>
      <c r="H1369" t="s">
        <v>1798</v>
      </c>
      <c r="I1369" t="b">
        <v>1</v>
      </c>
      <c r="J1369" t="s">
        <v>1748</v>
      </c>
      <c r="K1369" t="s">
        <v>2021</v>
      </c>
      <c r="L1369" t="s">
        <v>1750</v>
      </c>
      <c r="M1369">
        <v>149</v>
      </c>
      <c r="N1369" t="b">
        <v>0</v>
      </c>
      <c r="O1369">
        <v>73</v>
      </c>
      <c r="P1369" t="s">
        <v>1752</v>
      </c>
      <c r="Q1369" t="s">
        <v>1753</v>
      </c>
    </row>
    <row r="1370" spans="1:18" x14ac:dyDescent="0.25">
      <c r="A1370" t="s">
        <v>3842</v>
      </c>
      <c r="B1370" t="s">
        <v>1876</v>
      </c>
      <c r="C1370" t="s">
        <v>4</v>
      </c>
      <c r="D1370" t="s">
        <v>292</v>
      </c>
      <c r="E1370" s="2">
        <v>44671</v>
      </c>
      <c r="F1370">
        <v>940</v>
      </c>
      <c r="G1370" t="s">
        <v>1746</v>
      </c>
      <c r="H1370" t="s">
        <v>1747</v>
      </c>
      <c r="I1370" t="b">
        <v>0</v>
      </c>
      <c r="J1370" t="s">
        <v>1748</v>
      </c>
      <c r="K1370" t="s">
        <v>1757</v>
      </c>
      <c r="L1370" t="s">
        <v>1750</v>
      </c>
      <c r="M1370">
        <v>149</v>
      </c>
      <c r="N1370" t="b">
        <v>0</v>
      </c>
      <c r="O1370">
        <v>27</v>
      </c>
      <c r="P1370" t="s">
        <v>1752</v>
      </c>
      <c r="Q1370" t="s">
        <v>1753</v>
      </c>
      <c r="R1370" t="s">
        <v>1759</v>
      </c>
    </row>
    <row r="1371" spans="1:18" x14ac:dyDescent="0.25">
      <c r="A1371" t="s">
        <v>3844</v>
      </c>
      <c r="B1371" t="s">
        <v>2854</v>
      </c>
      <c r="C1371" t="s">
        <v>6</v>
      </c>
      <c r="D1371" t="s">
        <v>3843</v>
      </c>
      <c r="E1371" s="2">
        <v>39608</v>
      </c>
      <c r="F1371">
        <v>6003</v>
      </c>
      <c r="G1371" t="s">
        <v>1746</v>
      </c>
      <c r="H1371" t="s">
        <v>1798</v>
      </c>
      <c r="I1371" t="b">
        <v>1</v>
      </c>
      <c r="J1371" t="s">
        <v>1748</v>
      </c>
      <c r="K1371" t="s">
        <v>1891</v>
      </c>
      <c r="L1371" t="s">
        <v>1750</v>
      </c>
      <c r="M1371">
        <v>149</v>
      </c>
      <c r="N1371" t="b">
        <v>1</v>
      </c>
      <c r="O1371">
        <v>842</v>
      </c>
      <c r="P1371" t="s">
        <v>1752</v>
      </c>
      <c r="Q1371" t="s">
        <v>1753</v>
      </c>
      <c r="R1371" t="s">
        <v>1828</v>
      </c>
    </row>
    <row r="1372" spans="1:18" x14ac:dyDescent="0.25">
      <c r="A1372" t="s">
        <v>3845</v>
      </c>
      <c r="B1372" t="s">
        <v>2997</v>
      </c>
      <c r="C1372" t="s">
        <v>4</v>
      </c>
      <c r="D1372" t="s">
        <v>691</v>
      </c>
      <c r="E1372" s="2">
        <v>44615</v>
      </c>
      <c r="F1372">
        <v>996</v>
      </c>
      <c r="G1372" t="s">
        <v>1746</v>
      </c>
      <c r="H1372" t="s">
        <v>1798</v>
      </c>
      <c r="I1372" t="b">
        <v>0</v>
      </c>
      <c r="J1372" t="s">
        <v>1748</v>
      </c>
      <c r="K1372" t="s">
        <v>1822</v>
      </c>
      <c r="L1372" t="s">
        <v>1750</v>
      </c>
      <c r="M1372">
        <v>148</v>
      </c>
      <c r="N1372" t="b">
        <v>1</v>
      </c>
      <c r="O1372">
        <v>535</v>
      </c>
      <c r="P1372" t="s">
        <v>1752</v>
      </c>
      <c r="Q1372" t="s">
        <v>1753</v>
      </c>
    </row>
    <row r="1373" spans="1:18" x14ac:dyDescent="0.25">
      <c r="A1373" t="s">
        <v>3847</v>
      </c>
      <c r="B1373" t="s">
        <v>2662</v>
      </c>
      <c r="C1373" t="s">
        <v>4</v>
      </c>
      <c r="D1373" t="s">
        <v>3846</v>
      </c>
      <c r="E1373" s="2">
        <v>45420</v>
      </c>
      <c r="F1373">
        <v>191</v>
      </c>
      <c r="G1373" t="s">
        <v>1746</v>
      </c>
      <c r="H1373" t="s">
        <v>1747</v>
      </c>
      <c r="I1373" t="b">
        <v>1</v>
      </c>
      <c r="J1373" t="s">
        <v>1748</v>
      </c>
      <c r="K1373" t="s">
        <v>1822</v>
      </c>
      <c r="L1373" t="s">
        <v>1817</v>
      </c>
      <c r="M1373">
        <v>148</v>
      </c>
      <c r="N1373" t="b">
        <v>0</v>
      </c>
      <c r="O1373">
        <v>15637</v>
      </c>
      <c r="P1373" t="s">
        <v>1819</v>
      </c>
      <c r="Q1373" t="s">
        <v>1753</v>
      </c>
      <c r="R1373" t="s">
        <v>1759</v>
      </c>
    </row>
    <row r="1374" spans="1:18" x14ac:dyDescent="0.25">
      <c r="A1374" t="s">
        <v>1345</v>
      </c>
      <c r="B1374" t="s">
        <v>1874</v>
      </c>
      <c r="C1374" t="s">
        <v>4</v>
      </c>
      <c r="D1374" t="s">
        <v>1346</v>
      </c>
      <c r="E1374" s="2">
        <v>43887</v>
      </c>
      <c r="F1374">
        <v>1724</v>
      </c>
      <c r="G1374" t="s">
        <v>1746</v>
      </c>
      <c r="H1374" t="s">
        <v>1747</v>
      </c>
      <c r="I1374" t="b">
        <v>0</v>
      </c>
      <c r="J1374" t="s">
        <v>1748</v>
      </c>
      <c r="K1374" t="s">
        <v>2021</v>
      </c>
      <c r="L1374" t="s">
        <v>1750</v>
      </c>
      <c r="M1374">
        <v>148</v>
      </c>
      <c r="N1374" t="b">
        <v>1</v>
      </c>
      <c r="O1374">
        <v>119</v>
      </c>
      <c r="P1374" t="s">
        <v>1752</v>
      </c>
      <c r="Q1374" t="s">
        <v>1753</v>
      </c>
      <c r="R1374" t="s">
        <v>1759</v>
      </c>
    </row>
    <row r="1375" spans="1:18" x14ac:dyDescent="0.25">
      <c r="A1375" t="s">
        <v>3848</v>
      </c>
      <c r="B1375" t="s">
        <v>2035</v>
      </c>
      <c r="C1375" t="s">
        <v>6</v>
      </c>
      <c r="D1375" t="s">
        <v>951</v>
      </c>
      <c r="E1375" s="2">
        <v>40413</v>
      </c>
      <c r="F1375">
        <v>5198</v>
      </c>
      <c r="G1375" t="s">
        <v>1746</v>
      </c>
      <c r="H1375" t="s">
        <v>1798</v>
      </c>
      <c r="I1375" t="b">
        <v>0</v>
      </c>
      <c r="J1375" t="s">
        <v>1748</v>
      </c>
      <c r="K1375" t="s">
        <v>1853</v>
      </c>
      <c r="L1375" t="s">
        <v>1766</v>
      </c>
      <c r="M1375">
        <v>147</v>
      </c>
      <c r="N1375" t="b">
        <v>0</v>
      </c>
      <c r="P1375" t="s">
        <v>1752</v>
      </c>
      <c r="Q1375" t="s">
        <v>1753</v>
      </c>
      <c r="R1375" t="s">
        <v>1759</v>
      </c>
    </row>
    <row r="1376" spans="1:18" x14ac:dyDescent="0.25">
      <c r="A1376" t="s">
        <v>2659</v>
      </c>
      <c r="B1376" t="s">
        <v>2342</v>
      </c>
      <c r="C1376" t="s">
        <v>11</v>
      </c>
      <c r="D1376" t="s">
        <v>3849</v>
      </c>
      <c r="E1376" s="2">
        <v>41533</v>
      </c>
      <c r="F1376">
        <v>4078</v>
      </c>
      <c r="G1376" t="s">
        <v>1746</v>
      </c>
      <c r="H1376" t="s">
        <v>1798</v>
      </c>
      <c r="I1376" t="b">
        <v>0</v>
      </c>
      <c r="J1376" t="s">
        <v>1761</v>
      </c>
      <c r="K1376" t="s">
        <v>1770</v>
      </c>
      <c r="L1376" t="s">
        <v>1766</v>
      </c>
      <c r="M1376">
        <v>147</v>
      </c>
      <c r="N1376" t="b">
        <v>0</v>
      </c>
      <c r="P1376" t="s">
        <v>1752</v>
      </c>
      <c r="Q1376" t="s">
        <v>1753</v>
      </c>
      <c r="R1376" t="s">
        <v>1828</v>
      </c>
    </row>
    <row r="1377" spans="1:18" x14ac:dyDescent="0.25">
      <c r="A1377" t="s">
        <v>3850</v>
      </c>
      <c r="B1377" t="s">
        <v>1876</v>
      </c>
      <c r="C1377" t="s">
        <v>4</v>
      </c>
      <c r="D1377" t="s">
        <v>487</v>
      </c>
      <c r="E1377" s="2">
        <v>45028</v>
      </c>
      <c r="F1377">
        <v>583</v>
      </c>
      <c r="G1377" t="s">
        <v>1746</v>
      </c>
      <c r="H1377" t="s">
        <v>1747</v>
      </c>
      <c r="I1377" t="b">
        <v>0</v>
      </c>
      <c r="J1377" t="s">
        <v>1748</v>
      </c>
      <c r="K1377" t="s">
        <v>1770</v>
      </c>
      <c r="L1377" t="s">
        <v>1750</v>
      </c>
      <c r="M1377">
        <v>147</v>
      </c>
      <c r="N1377" t="b">
        <v>1</v>
      </c>
      <c r="O1377">
        <v>72</v>
      </c>
      <c r="P1377" t="s">
        <v>1752</v>
      </c>
      <c r="Q1377" t="s">
        <v>1753</v>
      </c>
      <c r="R1377" t="s">
        <v>1759</v>
      </c>
    </row>
    <row r="1378" spans="1:18" x14ac:dyDescent="0.25">
      <c r="A1378" t="s">
        <v>3851</v>
      </c>
      <c r="B1378" t="s">
        <v>1874</v>
      </c>
      <c r="C1378" t="s">
        <v>6</v>
      </c>
      <c r="D1378" t="s">
        <v>900</v>
      </c>
      <c r="E1378" s="2">
        <v>43892</v>
      </c>
      <c r="F1378">
        <v>1719</v>
      </c>
      <c r="G1378" t="s">
        <v>1746</v>
      </c>
      <c r="H1378" t="s">
        <v>1747</v>
      </c>
      <c r="I1378" t="b">
        <v>0</v>
      </c>
      <c r="J1378" t="s">
        <v>1748</v>
      </c>
      <c r="K1378" t="s">
        <v>1856</v>
      </c>
      <c r="L1378" t="s">
        <v>1750</v>
      </c>
      <c r="M1378">
        <v>146</v>
      </c>
      <c r="N1378" t="b">
        <v>1</v>
      </c>
      <c r="O1378">
        <v>235</v>
      </c>
      <c r="P1378" t="s">
        <v>1752</v>
      </c>
      <c r="Q1378" t="s">
        <v>1753</v>
      </c>
      <c r="R1378" t="s">
        <v>1759</v>
      </c>
    </row>
    <row r="1379" spans="1:18" x14ac:dyDescent="0.25">
      <c r="A1379" t="s">
        <v>3853</v>
      </c>
      <c r="B1379" t="s">
        <v>2173</v>
      </c>
      <c r="C1379" t="s">
        <v>4</v>
      </c>
      <c r="D1379" t="s">
        <v>3852</v>
      </c>
      <c r="E1379" s="2">
        <v>43570</v>
      </c>
      <c r="F1379">
        <v>2041</v>
      </c>
      <c r="G1379" t="s">
        <v>1746</v>
      </c>
      <c r="H1379" t="s">
        <v>1747</v>
      </c>
      <c r="I1379" t="b">
        <v>0</v>
      </c>
      <c r="J1379" t="s">
        <v>1761</v>
      </c>
      <c r="K1379" t="s">
        <v>1943</v>
      </c>
      <c r="L1379" t="s">
        <v>2102</v>
      </c>
      <c r="M1379">
        <v>146</v>
      </c>
      <c r="N1379" t="b">
        <v>0</v>
      </c>
      <c r="P1379" t="s">
        <v>1752</v>
      </c>
      <c r="Q1379" t="s">
        <v>1753</v>
      </c>
      <c r="R1379" t="s">
        <v>1759</v>
      </c>
    </row>
    <row r="1380" spans="1:18" x14ac:dyDescent="0.25">
      <c r="A1380" t="s">
        <v>3855</v>
      </c>
      <c r="B1380" t="s">
        <v>2150</v>
      </c>
      <c r="C1380" t="s">
        <v>4</v>
      </c>
      <c r="D1380" t="s">
        <v>3854</v>
      </c>
      <c r="E1380" s="2">
        <v>44341</v>
      </c>
      <c r="F1380">
        <v>1270</v>
      </c>
      <c r="G1380" t="s">
        <v>1746</v>
      </c>
      <c r="H1380" t="s">
        <v>1805</v>
      </c>
      <c r="I1380" t="b">
        <v>0</v>
      </c>
      <c r="J1380" t="s">
        <v>1748</v>
      </c>
      <c r="K1380" t="s">
        <v>1934</v>
      </c>
      <c r="L1380" t="s">
        <v>1817</v>
      </c>
      <c r="M1380">
        <v>146</v>
      </c>
      <c r="N1380" t="b">
        <v>0</v>
      </c>
      <c r="O1380">
        <v>7086</v>
      </c>
      <c r="P1380" t="s">
        <v>1819</v>
      </c>
      <c r="Q1380" t="s">
        <v>1753</v>
      </c>
      <c r="R1380" t="s">
        <v>1759</v>
      </c>
    </row>
    <row r="1381" spans="1:18" x14ac:dyDescent="0.25">
      <c r="A1381" t="s">
        <v>3856</v>
      </c>
      <c r="B1381" t="s">
        <v>1874</v>
      </c>
      <c r="C1381" t="s">
        <v>4</v>
      </c>
      <c r="D1381" t="s">
        <v>318</v>
      </c>
      <c r="E1381" s="2">
        <v>44070</v>
      </c>
      <c r="F1381">
        <v>1541</v>
      </c>
      <c r="G1381" t="s">
        <v>1746</v>
      </c>
      <c r="H1381" t="s">
        <v>1747</v>
      </c>
      <c r="I1381" t="b">
        <v>0</v>
      </c>
      <c r="J1381" t="s">
        <v>1748</v>
      </c>
      <c r="K1381" t="s">
        <v>1770</v>
      </c>
      <c r="L1381" t="s">
        <v>1750</v>
      </c>
      <c r="M1381">
        <v>146</v>
      </c>
      <c r="N1381" t="b">
        <v>1</v>
      </c>
      <c r="O1381">
        <v>683</v>
      </c>
      <c r="P1381" t="s">
        <v>1752</v>
      </c>
      <c r="Q1381" t="s">
        <v>1753</v>
      </c>
      <c r="R1381" t="s">
        <v>1772</v>
      </c>
    </row>
    <row r="1382" spans="1:18" x14ac:dyDescent="0.25">
      <c r="A1382" t="s">
        <v>3857</v>
      </c>
      <c r="B1382" t="s">
        <v>2353</v>
      </c>
      <c r="C1382" t="s">
        <v>4</v>
      </c>
      <c r="D1382" t="s">
        <v>106</v>
      </c>
      <c r="E1382" s="2">
        <v>44824</v>
      </c>
      <c r="F1382">
        <v>787</v>
      </c>
      <c r="G1382" t="s">
        <v>1746</v>
      </c>
      <c r="H1382" t="s">
        <v>1798</v>
      </c>
      <c r="I1382" t="b">
        <v>1</v>
      </c>
      <c r="J1382" t="s">
        <v>1748</v>
      </c>
      <c r="K1382" t="s">
        <v>1770</v>
      </c>
      <c r="L1382" t="s">
        <v>1750</v>
      </c>
      <c r="M1382">
        <v>146</v>
      </c>
      <c r="N1382" t="b">
        <v>1</v>
      </c>
      <c r="O1382">
        <v>42</v>
      </c>
      <c r="P1382" t="s">
        <v>1752</v>
      </c>
      <c r="Q1382" t="s">
        <v>1753</v>
      </c>
      <c r="R1382" t="s">
        <v>1759</v>
      </c>
    </row>
    <row r="1383" spans="1:18" x14ac:dyDescent="0.25">
      <c r="A1383" t="s">
        <v>3858</v>
      </c>
      <c r="B1383" t="s">
        <v>2456</v>
      </c>
      <c r="C1383" t="s">
        <v>11</v>
      </c>
      <c r="D1383" t="s">
        <v>924</v>
      </c>
      <c r="E1383" s="2">
        <v>44349</v>
      </c>
      <c r="F1383">
        <v>1262</v>
      </c>
      <c r="G1383" t="s">
        <v>1746</v>
      </c>
      <c r="H1383" t="s">
        <v>1798</v>
      </c>
      <c r="I1383" t="b">
        <v>0</v>
      </c>
      <c r="J1383" t="s">
        <v>1748</v>
      </c>
      <c r="K1383" t="s">
        <v>1853</v>
      </c>
      <c r="L1383" t="s">
        <v>1766</v>
      </c>
      <c r="M1383">
        <v>146</v>
      </c>
      <c r="N1383" t="b">
        <v>0</v>
      </c>
      <c r="P1383" t="s">
        <v>1752</v>
      </c>
      <c r="Q1383" t="s">
        <v>1753</v>
      </c>
      <c r="R1383" t="s">
        <v>1759</v>
      </c>
    </row>
    <row r="1384" spans="1:18" x14ac:dyDescent="0.25">
      <c r="A1384" t="s">
        <v>3859</v>
      </c>
      <c r="B1384" t="s">
        <v>1936</v>
      </c>
      <c r="C1384" t="s">
        <v>6</v>
      </c>
      <c r="D1384" t="s">
        <v>71</v>
      </c>
      <c r="E1384" s="2">
        <v>44007</v>
      </c>
      <c r="F1384">
        <v>1604</v>
      </c>
      <c r="G1384" t="s">
        <v>1746</v>
      </c>
      <c r="H1384" t="s">
        <v>1798</v>
      </c>
      <c r="I1384" t="b">
        <v>1</v>
      </c>
      <c r="J1384" t="s">
        <v>1748</v>
      </c>
      <c r="K1384" t="s">
        <v>1824</v>
      </c>
      <c r="L1384" t="s">
        <v>1750</v>
      </c>
      <c r="M1384">
        <v>145</v>
      </c>
      <c r="N1384" t="b">
        <v>1</v>
      </c>
      <c r="O1384">
        <v>254</v>
      </c>
      <c r="P1384" t="s">
        <v>1752</v>
      </c>
      <c r="Q1384" t="s">
        <v>1753</v>
      </c>
      <c r="R1384" t="s">
        <v>1828</v>
      </c>
    </row>
    <row r="1385" spans="1:18" x14ac:dyDescent="0.25">
      <c r="A1385" t="s">
        <v>3860</v>
      </c>
      <c r="B1385" t="s">
        <v>1781</v>
      </c>
      <c r="C1385" t="s">
        <v>186</v>
      </c>
      <c r="D1385" t="s">
        <v>1433</v>
      </c>
      <c r="E1385" s="2">
        <v>39196</v>
      </c>
      <c r="F1385">
        <v>6415</v>
      </c>
      <c r="G1385" t="s">
        <v>1746</v>
      </c>
      <c r="H1385" t="s">
        <v>1747</v>
      </c>
      <c r="I1385" t="b">
        <v>0</v>
      </c>
      <c r="J1385" t="s">
        <v>1748</v>
      </c>
      <c r="K1385" t="s">
        <v>1896</v>
      </c>
      <c r="L1385" t="s">
        <v>1775</v>
      </c>
      <c r="M1385">
        <v>145</v>
      </c>
      <c r="N1385" t="b">
        <v>0</v>
      </c>
      <c r="P1385" t="s">
        <v>1778</v>
      </c>
      <c r="Q1385" t="s">
        <v>1779</v>
      </c>
    </row>
    <row r="1386" spans="1:18" x14ac:dyDescent="0.25">
      <c r="A1386" t="s">
        <v>3861</v>
      </c>
      <c r="B1386" t="s">
        <v>1945</v>
      </c>
      <c r="C1386" t="s">
        <v>6</v>
      </c>
      <c r="D1386" t="s">
        <v>182</v>
      </c>
      <c r="E1386" s="2">
        <v>42419</v>
      </c>
      <c r="F1386">
        <v>3192</v>
      </c>
      <c r="G1386" t="s">
        <v>1746</v>
      </c>
      <c r="H1386" t="s">
        <v>1798</v>
      </c>
      <c r="I1386" t="b">
        <v>0</v>
      </c>
      <c r="J1386" t="s">
        <v>1748</v>
      </c>
      <c r="K1386" t="s">
        <v>1909</v>
      </c>
      <c r="L1386" t="s">
        <v>1750</v>
      </c>
      <c r="M1386">
        <v>145</v>
      </c>
      <c r="N1386" t="b">
        <v>1</v>
      </c>
      <c r="P1386" t="s">
        <v>1752</v>
      </c>
      <c r="Q1386" t="s">
        <v>1753</v>
      </c>
      <c r="R1386" t="s">
        <v>1828</v>
      </c>
    </row>
    <row r="1387" spans="1:18" x14ac:dyDescent="0.25">
      <c r="A1387" t="s">
        <v>3863</v>
      </c>
      <c r="B1387" t="s">
        <v>2173</v>
      </c>
      <c r="C1387" t="s">
        <v>4</v>
      </c>
      <c r="D1387" t="s">
        <v>3862</v>
      </c>
      <c r="E1387" s="2">
        <v>44336</v>
      </c>
      <c r="F1387">
        <v>1275</v>
      </c>
      <c r="G1387" t="s">
        <v>1746</v>
      </c>
      <c r="H1387" t="s">
        <v>2231</v>
      </c>
      <c r="I1387" t="b">
        <v>0</v>
      </c>
      <c r="J1387" t="s">
        <v>1748</v>
      </c>
      <c r="K1387" t="s">
        <v>1824</v>
      </c>
      <c r="L1387" t="s">
        <v>1817</v>
      </c>
      <c r="M1387">
        <v>145</v>
      </c>
      <c r="N1387" t="b">
        <v>1</v>
      </c>
      <c r="O1387">
        <v>4040</v>
      </c>
      <c r="P1387" t="s">
        <v>1819</v>
      </c>
      <c r="Q1387" t="s">
        <v>1753</v>
      </c>
      <c r="R1387" t="s">
        <v>1759</v>
      </c>
    </row>
    <row r="1388" spans="1:18" x14ac:dyDescent="0.25">
      <c r="A1388" t="s">
        <v>3864</v>
      </c>
      <c r="B1388" t="s">
        <v>1881</v>
      </c>
      <c r="C1388" t="s">
        <v>6</v>
      </c>
      <c r="D1388" t="s">
        <v>1189</v>
      </c>
      <c r="E1388" s="2">
        <v>41789</v>
      </c>
      <c r="F1388">
        <v>3822</v>
      </c>
      <c r="G1388" t="s">
        <v>1746</v>
      </c>
      <c r="H1388" t="s">
        <v>1798</v>
      </c>
      <c r="I1388" t="b">
        <v>0</v>
      </c>
      <c r="J1388" t="s">
        <v>1748</v>
      </c>
      <c r="K1388" t="s">
        <v>1826</v>
      </c>
      <c r="L1388" t="s">
        <v>1817</v>
      </c>
      <c r="M1388">
        <v>145</v>
      </c>
      <c r="N1388" t="b">
        <v>0</v>
      </c>
      <c r="O1388">
        <v>605</v>
      </c>
      <c r="P1388" t="s">
        <v>1819</v>
      </c>
      <c r="Q1388" t="s">
        <v>1753</v>
      </c>
    </row>
    <row r="1389" spans="1:18" x14ac:dyDescent="0.25">
      <c r="A1389" t="s">
        <v>3866</v>
      </c>
      <c r="B1389" t="s">
        <v>3867</v>
      </c>
      <c r="C1389" t="s">
        <v>6</v>
      </c>
      <c r="D1389" t="s">
        <v>3865</v>
      </c>
      <c r="E1389" s="2">
        <v>42272</v>
      </c>
      <c r="F1389">
        <v>3339</v>
      </c>
      <c r="G1389" t="s">
        <v>1746</v>
      </c>
      <c r="H1389" t="s">
        <v>2001</v>
      </c>
      <c r="I1389" t="b">
        <v>0</v>
      </c>
      <c r="J1389" t="s">
        <v>1748</v>
      </c>
      <c r="K1389" t="s">
        <v>1755</v>
      </c>
      <c r="L1389" t="s">
        <v>1766</v>
      </c>
      <c r="M1389">
        <v>145</v>
      </c>
      <c r="N1389" t="b">
        <v>0</v>
      </c>
      <c r="P1389" t="s">
        <v>1752</v>
      </c>
      <c r="Q1389" t="s">
        <v>1753</v>
      </c>
    </row>
    <row r="1390" spans="1:18" x14ac:dyDescent="0.25">
      <c r="A1390" t="s">
        <v>3869</v>
      </c>
      <c r="B1390" t="s">
        <v>2144</v>
      </c>
      <c r="C1390" t="s">
        <v>4</v>
      </c>
      <c r="D1390" t="s">
        <v>3868</v>
      </c>
      <c r="E1390" s="2">
        <v>44245</v>
      </c>
      <c r="F1390">
        <v>1366</v>
      </c>
      <c r="G1390" t="s">
        <v>1746</v>
      </c>
      <c r="H1390" t="s">
        <v>1747</v>
      </c>
      <c r="I1390" t="b">
        <v>1</v>
      </c>
      <c r="J1390" t="s">
        <v>1761</v>
      </c>
      <c r="K1390" t="s">
        <v>1749</v>
      </c>
      <c r="L1390" t="s">
        <v>1750</v>
      </c>
      <c r="M1390">
        <v>144</v>
      </c>
      <c r="N1390" t="b">
        <v>0</v>
      </c>
      <c r="O1390">
        <v>593</v>
      </c>
      <c r="P1390" t="s">
        <v>1752</v>
      </c>
      <c r="Q1390" t="s">
        <v>1753</v>
      </c>
    </row>
    <row r="1391" spans="1:18" x14ac:dyDescent="0.25">
      <c r="A1391" t="s">
        <v>3870</v>
      </c>
      <c r="B1391" t="s">
        <v>1876</v>
      </c>
      <c r="C1391" t="s">
        <v>4</v>
      </c>
      <c r="D1391" t="s">
        <v>732</v>
      </c>
      <c r="E1391" s="2">
        <v>45117</v>
      </c>
      <c r="F1391">
        <v>494</v>
      </c>
      <c r="G1391" t="s">
        <v>1746</v>
      </c>
      <c r="H1391" t="s">
        <v>1747</v>
      </c>
      <c r="I1391" t="b">
        <v>1</v>
      </c>
      <c r="J1391" t="s">
        <v>1748</v>
      </c>
      <c r="K1391" t="s">
        <v>1755</v>
      </c>
      <c r="L1391" t="s">
        <v>1750</v>
      </c>
      <c r="M1391">
        <v>144</v>
      </c>
      <c r="N1391" t="b">
        <v>0</v>
      </c>
      <c r="O1391">
        <v>101</v>
      </c>
      <c r="P1391" t="s">
        <v>1752</v>
      </c>
      <c r="Q1391" t="s">
        <v>1753</v>
      </c>
    </row>
    <row r="1392" spans="1:18" x14ac:dyDescent="0.25">
      <c r="A1392" t="s">
        <v>3871</v>
      </c>
      <c r="B1392" t="s">
        <v>1810</v>
      </c>
      <c r="C1392" t="s">
        <v>186</v>
      </c>
      <c r="D1392" t="s">
        <v>1661</v>
      </c>
      <c r="E1392" s="2">
        <v>40344</v>
      </c>
      <c r="F1392">
        <v>5267</v>
      </c>
      <c r="G1392" t="s">
        <v>1746</v>
      </c>
      <c r="H1392" t="s">
        <v>1798</v>
      </c>
      <c r="I1392" t="b">
        <v>0</v>
      </c>
      <c r="J1392" t="s">
        <v>1748</v>
      </c>
      <c r="K1392" t="s">
        <v>1848</v>
      </c>
      <c r="L1392" t="s">
        <v>1775</v>
      </c>
      <c r="M1392">
        <v>144</v>
      </c>
      <c r="N1392" t="b">
        <v>0</v>
      </c>
      <c r="P1392" t="s">
        <v>1778</v>
      </c>
      <c r="Q1392" t="s">
        <v>1779</v>
      </c>
    </row>
    <row r="1393" spans="1:18" x14ac:dyDescent="0.25">
      <c r="A1393" t="s">
        <v>3873</v>
      </c>
      <c r="B1393" t="s">
        <v>2032</v>
      </c>
      <c r="C1393" t="s">
        <v>4</v>
      </c>
      <c r="D1393" t="s">
        <v>3872</v>
      </c>
      <c r="E1393" s="2">
        <v>45148</v>
      </c>
      <c r="F1393">
        <v>463</v>
      </c>
      <c r="G1393" t="s">
        <v>1746</v>
      </c>
      <c r="H1393" t="s">
        <v>1747</v>
      </c>
      <c r="I1393" t="b">
        <v>0</v>
      </c>
      <c r="J1393" t="s">
        <v>1761</v>
      </c>
      <c r="K1393" t="s">
        <v>1774</v>
      </c>
      <c r="L1393" t="s">
        <v>1817</v>
      </c>
      <c r="M1393">
        <v>144</v>
      </c>
      <c r="N1393" t="b">
        <v>1</v>
      </c>
      <c r="O1393">
        <v>504</v>
      </c>
      <c r="P1393" t="s">
        <v>1819</v>
      </c>
      <c r="Q1393" t="s">
        <v>1753</v>
      </c>
      <c r="R1393" t="s">
        <v>1759</v>
      </c>
    </row>
    <row r="1394" spans="1:18" x14ac:dyDescent="0.25">
      <c r="A1394" t="s">
        <v>117</v>
      </c>
      <c r="B1394" t="s">
        <v>3874</v>
      </c>
      <c r="C1394" t="s">
        <v>6</v>
      </c>
      <c r="D1394" t="s">
        <v>118</v>
      </c>
      <c r="E1394" s="2">
        <v>43857</v>
      </c>
      <c r="F1394">
        <v>1754</v>
      </c>
      <c r="G1394" t="s">
        <v>1746</v>
      </c>
      <c r="H1394" t="s">
        <v>1747</v>
      </c>
      <c r="I1394" t="b">
        <v>1</v>
      </c>
      <c r="J1394" t="s">
        <v>1748</v>
      </c>
      <c r="K1394" t="s">
        <v>1985</v>
      </c>
      <c r="L1394" t="s">
        <v>1750</v>
      </c>
      <c r="M1394">
        <v>144</v>
      </c>
      <c r="N1394" t="b">
        <v>0</v>
      </c>
      <c r="O1394">
        <v>96</v>
      </c>
      <c r="P1394" t="s">
        <v>1819</v>
      </c>
      <c r="Q1394" t="s">
        <v>1753</v>
      </c>
    </row>
    <row r="1395" spans="1:18" x14ac:dyDescent="0.25">
      <c r="A1395" t="s">
        <v>3876</v>
      </c>
      <c r="B1395" t="s">
        <v>2133</v>
      </c>
      <c r="C1395" t="s">
        <v>4</v>
      </c>
      <c r="D1395" t="s">
        <v>3875</v>
      </c>
      <c r="E1395" s="2">
        <v>43402</v>
      </c>
      <c r="F1395">
        <v>2209</v>
      </c>
      <c r="G1395" t="s">
        <v>1746</v>
      </c>
      <c r="H1395" t="s">
        <v>1747</v>
      </c>
      <c r="I1395" t="b">
        <v>1</v>
      </c>
      <c r="J1395" t="s">
        <v>1761</v>
      </c>
      <c r="K1395" t="s">
        <v>2021</v>
      </c>
      <c r="L1395" t="s">
        <v>1756</v>
      </c>
      <c r="M1395">
        <v>144</v>
      </c>
      <c r="N1395" t="b">
        <v>1</v>
      </c>
      <c r="O1395">
        <v>110</v>
      </c>
      <c r="P1395" t="s">
        <v>1752</v>
      </c>
      <c r="Q1395" t="s">
        <v>1753</v>
      </c>
      <c r="R1395" t="s">
        <v>1759</v>
      </c>
    </row>
    <row r="1396" spans="1:18" x14ac:dyDescent="0.25">
      <c r="A1396" t="s">
        <v>3877</v>
      </c>
      <c r="B1396" t="s">
        <v>1781</v>
      </c>
      <c r="C1396" t="s">
        <v>4</v>
      </c>
      <c r="D1396" t="s">
        <v>981</v>
      </c>
      <c r="E1396" s="2">
        <v>44487</v>
      </c>
      <c r="F1396">
        <v>1124</v>
      </c>
      <c r="G1396" t="s">
        <v>1746</v>
      </c>
      <c r="H1396" t="s">
        <v>1798</v>
      </c>
      <c r="I1396" t="b">
        <v>0</v>
      </c>
      <c r="J1396" t="s">
        <v>1748</v>
      </c>
      <c r="K1396" t="s">
        <v>1806</v>
      </c>
      <c r="L1396" t="s">
        <v>1775</v>
      </c>
      <c r="M1396">
        <v>143</v>
      </c>
      <c r="N1396" t="b">
        <v>0</v>
      </c>
      <c r="P1396" t="s">
        <v>2070</v>
      </c>
      <c r="Q1396" t="s">
        <v>1779</v>
      </c>
    </row>
    <row r="1397" spans="1:18" x14ac:dyDescent="0.25">
      <c r="A1397" t="s">
        <v>3878</v>
      </c>
      <c r="B1397" t="s">
        <v>2353</v>
      </c>
      <c r="C1397" t="s">
        <v>4</v>
      </c>
      <c r="D1397" t="s">
        <v>1092</v>
      </c>
      <c r="E1397" s="2">
        <v>44204</v>
      </c>
      <c r="F1397">
        <v>1407</v>
      </c>
      <c r="G1397" t="s">
        <v>1746</v>
      </c>
      <c r="H1397" t="s">
        <v>1798</v>
      </c>
      <c r="I1397" t="b">
        <v>0</v>
      </c>
      <c r="J1397" t="s">
        <v>1748</v>
      </c>
      <c r="K1397" t="s">
        <v>1776</v>
      </c>
      <c r="L1397" t="s">
        <v>1750</v>
      </c>
      <c r="M1397">
        <v>143</v>
      </c>
      <c r="N1397" t="b">
        <v>1</v>
      </c>
      <c r="P1397" t="s">
        <v>1819</v>
      </c>
      <c r="Q1397" t="s">
        <v>1753</v>
      </c>
      <c r="R1397" t="s">
        <v>1759</v>
      </c>
    </row>
    <row r="1398" spans="1:18" x14ac:dyDescent="0.25">
      <c r="A1398" t="s">
        <v>1341</v>
      </c>
      <c r="B1398" t="s">
        <v>1860</v>
      </c>
      <c r="C1398" t="s">
        <v>4</v>
      </c>
      <c r="D1398" t="s">
        <v>1342</v>
      </c>
      <c r="E1398" s="2">
        <v>43333</v>
      </c>
      <c r="F1398">
        <v>2278</v>
      </c>
      <c r="G1398" t="s">
        <v>1746</v>
      </c>
      <c r="H1398" t="s">
        <v>1798</v>
      </c>
      <c r="I1398" t="b">
        <v>0</v>
      </c>
      <c r="J1398" t="s">
        <v>1761</v>
      </c>
      <c r="K1398" t="s">
        <v>1917</v>
      </c>
      <c r="L1398" t="s">
        <v>1817</v>
      </c>
      <c r="M1398">
        <v>143</v>
      </c>
      <c r="N1398" t="b">
        <v>1</v>
      </c>
      <c r="O1398">
        <v>139</v>
      </c>
      <c r="P1398" t="s">
        <v>1819</v>
      </c>
      <c r="Q1398" t="s">
        <v>1753</v>
      </c>
      <c r="R1398" t="s">
        <v>1828</v>
      </c>
    </row>
    <row r="1399" spans="1:18" x14ac:dyDescent="0.25">
      <c r="A1399" t="s">
        <v>3879</v>
      </c>
      <c r="B1399" t="s">
        <v>1876</v>
      </c>
      <c r="C1399" t="s">
        <v>4</v>
      </c>
      <c r="D1399" t="s">
        <v>272</v>
      </c>
      <c r="E1399" s="2">
        <v>44522</v>
      </c>
      <c r="F1399">
        <v>1089</v>
      </c>
      <c r="G1399" t="s">
        <v>1746</v>
      </c>
      <c r="H1399" t="s">
        <v>1747</v>
      </c>
      <c r="I1399" t="b">
        <v>0</v>
      </c>
      <c r="J1399" t="s">
        <v>1748</v>
      </c>
      <c r="K1399" t="s">
        <v>1757</v>
      </c>
      <c r="L1399" t="s">
        <v>1750</v>
      </c>
      <c r="M1399">
        <v>143</v>
      </c>
      <c r="N1399" t="b">
        <v>0</v>
      </c>
      <c r="O1399">
        <v>38</v>
      </c>
      <c r="P1399" t="s">
        <v>1752</v>
      </c>
      <c r="Q1399" t="s">
        <v>1753</v>
      </c>
      <c r="R1399" t="s">
        <v>1759</v>
      </c>
    </row>
    <row r="1400" spans="1:18" x14ac:dyDescent="0.25">
      <c r="A1400" t="s">
        <v>3880</v>
      </c>
      <c r="B1400" t="s">
        <v>2768</v>
      </c>
      <c r="C1400" t="s">
        <v>6</v>
      </c>
      <c r="D1400" t="s">
        <v>871</v>
      </c>
      <c r="E1400" s="2">
        <v>41173</v>
      </c>
      <c r="F1400">
        <v>4438</v>
      </c>
      <c r="G1400" t="s">
        <v>1746</v>
      </c>
      <c r="H1400" t="s">
        <v>1798</v>
      </c>
      <c r="I1400" t="b">
        <v>1</v>
      </c>
      <c r="J1400" t="s">
        <v>1761</v>
      </c>
      <c r="K1400" t="s">
        <v>1825</v>
      </c>
      <c r="L1400" t="s">
        <v>1750</v>
      </c>
      <c r="M1400">
        <v>142</v>
      </c>
      <c r="N1400" t="b">
        <v>0</v>
      </c>
      <c r="O1400">
        <v>22</v>
      </c>
      <c r="P1400" t="s">
        <v>1819</v>
      </c>
      <c r="Q1400" t="s">
        <v>1753</v>
      </c>
    </row>
    <row r="1401" spans="1:18" x14ac:dyDescent="0.25">
      <c r="A1401" t="s">
        <v>3881</v>
      </c>
      <c r="B1401" t="s">
        <v>1876</v>
      </c>
      <c r="C1401" t="s">
        <v>6</v>
      </c>
      <c r="D1401" t="s">
        <v>1170</v>
      </c>
      <c r="E1401" s="2">
        <v>40088</v>
      </c>
      <c r="F1401">
        <v>5523</v>
      </c>
      <c r="G1401" t="s">
        <v>1746</v>
      </c>
      <c r="H1401" t="s">
        <v>1798</v>
      </c>
      <c r="I1401" t="b">
        <v>1</v>
      </c>
      <c r="J1401" t="s">
        <v>1761</v>
      </c>
      <c r="K1401" t="s">
        <v>1776</v>
      </c>
      <c r="L1401" t="s">
        <v>1750</v>
      </c>
      <c r="M1401">
        <v>142</v>
      </c>
      <c r="N1401" t="b">
        <v>0</v>
      </c>
      <c r="O1401">
        <v>144</v>
      </c>
      <c r="P1401" t="s">
        <v>1752</v>
      </c>
      <c r="Q1401" t="s">
        <v>1753</v>
      </c>
      <c r="R1401" t="s">
        <v>1828</v>
      </c>
    </row>
    <row r="1402" spans="1:18" x14ac:dyDescent="0.25">
      <c r="A1402" t="s">
        <v>3882</v>
      </c>
      <c r="B1402" t="s">
        <v>1814</v>
      </c>
      <c r="C1402" t="s">
        <v>4</v>
      </c>
      <c r="D1402" t="s">
        <v>418</v>
      </c>
      <c r="E1402" s="2">
        <v>42517</v>
      </c>
      <c r="F1402">
        <v>3094</v>
      </c>
      <c r="G1402" t="s">
        <v>1746</v>
      </c>
      <c r="H1402" t="s">
        <v>1747</v>
      </c>
      <c r="I1402" t="b">
        <v>0</v>
      </c>
      <c r="J1402" t="s">
        <v>1761</v>
      </c>
      <c r="K1402" t="s">
        <v>1830</v>
      </c>
      <c r="L1402" t="s">
        <v>1750</v>
      </c>
      <c r="M1402">
        <v>142</v>
      </c>
      <c r="N1402" t="b">
        <v>0</v>
      </c>
      <c r="O1402">
        <v>172</v>
      </c>
      <c r="P1402" t="s">
        <v>1752</v>
      </c>
      <c r="Q1402" t="s">
        <v>1753</v>
      </c>
      <c r="R1402" t="s">
        <v>1772</v>
      </c>
    </row>
    <row r="1403" spans="1:18" x14ac:dyDescent="0.25">
      <c r="A1403" t="s">
        <v>3883</v>
      </c>
      <c r="B1403" t="s">
        <v>1876</v>
      </c>
      <c r="C1403" t="s">
        <v>4</v>
      </c>
      <c r="D1403" t="s">
        <v>766</v>
      </c>
      <c r="E1403" s="2">
        <v>45147</v>
      </c>
      <c r="F1403">
        <v>464</v>
      </c>
      <c r="G1403" t="s">
        <v>1833</v>
      </c>
      <c r="H1403" t="s">
        <v>1747</v>
      </c>
      <c r="I1403" t="b">
        <v>0</v>
      </c>
      <c r="J1403" t="s">
        <v>1748</v>
      </c>
      <c r="K1403" t="s">
        <v>1755</v>
      </c>
      <c r="L1403" t="s">
        <v>1756</v>
      </c>
      <c r="M1403">
        <v>142</v>
      </c>
      <c r="N1403" t="b">
        <v>1</v>
      </c>
      <c r="O1403">
        <v>149</v>
      </c>
      <c r="P1403" t="s">
        <v>1752</v>
      </c>
      <c r="Q1403" t="s">
        <v>1753</v>
      </c>
    </row>
    <row r="1404" spans="1:18" x14ac:dyDescent="0.25">
      <c r="A1404" t="s">
        <v>3884</v>
      </c>
      <c r="B1404" t="s">
        <v>2035</v>
      </c>
      <c r="C1404" t="s">
        <v>6</v>
      </c>
      <c r="D1404" t="s">
        <v>859</v>
      </c>
      <c r="E1404" s="2">
        <v>39253</v>
      </c>
      <c r="F1404">
        <v>6358</v>
      </c>
      <c r="G1404" t="s">
        <v>1746</v>
      </c>
      <c r="H1404" t="s">
        <v>1798</v>
      </c>
      <c r="I1404" t="b">
        <v>1</v>
      </c>
      <c r="J1404" t="s">
        <v>1748</v>
      </c>
      <c r="K1404" t="s">
        <v>1824</v>
      </c>
      <c r="L1404" t="s">
        <v>1750</v>
      </c>
      <c r="M1404">
        <v>142</v>
      </c>
      <c r="N1404" t="b">
        <v>0</v>
      </c>
      <c r="O1404">
        <v>101</v>
      </c>
      <c r="P1404" t="s">
        <v>1819</v>
      </c>
      <c r="Q1404" t="s">
        <v>1753</v>
      </c>
      <c r="R1404" t="s">
        <v>1828</v>
      </c>
    </row>
    <row r="1405" spans="1:18" x14ac:dyDescent="0.25">
      <c r="A1405" t="s">
        <v>3885</v>
      </c>
      <c r="B1405" t="s">
        <v>1876</v>
      </c>
      <c r="C1405" t="s">
        <v>4</v>
      </c>
      <c r="D1405" t="s">
        <v>299</v>
      </c>
      <c r="E1405" s="2">
        <v>43731</v>
      </c>
      <c r="F1405">
        <v>1880</v>
      </c>
      <c r="G1405" t="s">
        <v>1746</v>
      </c>
      <c r="H1405" t="s">
        <v>1747</v>
      </c>
      <c r="I1405" t="b">
        <v>0</v>
      </c>
      <c r="J1405" t="s">
        <v>1748</v>
      </c>
      <c r="K1405" t="s">
        <v>1934</v>
      </c>
      <c r="L1405" t="s">
        <v>1750</v>
      </c>
      <c r="M1405">
        <v>142</v>
      </c>
      <c r="N1405" t="b">
        <v>0</v>
      </c>
      <c r="O1405">
        <v>442</v>
      </c>
      <c r="P1405" t="s">
        <v>1752</v>
      </c>
      <c r="Q1405" t="s">
        <v>1753</v>
      </c>
    </row>
    <row r="1406" spans="1:18" x14ac:dyDescent="0.25">
      <c r="A1406" t="s">
        <v>3886</v>
      </c>
      <c r="B1406" t="s">
        <v>2353</v>
      </c>
      <c r="C1406" t="s">
        <v>4</v>
      </c>
      <c r="D1406" t="s">
        <v>128</v>
      </c>
      <c r="E1406" s="2">
        <v>44826</v>
      </c>
      <c r="F1406">
        <v>785</v>
      </c>
      <c r="G1406" t="s">
        <v>1833</v>
      </c>
      <c r="H1406" t="s">
        <v>1798</v>
      </c>
      <c r="I1406" t="b">
        <v>0</v>
      </c>
      <c r="J1406" t="s">
        <v>1748</v>
      </c>
      <c r="K1406" t="s">
        <v>1995</v>
      </c>
      <c r="L1406" t="s">
        <v>1750</v>
      </c>
      <c r="M1406">
        <v>141</v>
      </c>
      <c r="N1406" t="b">
        <v>1</v>
      </c>
      <c r="P1406" t="s">
        <v>1752</v>
      </c>
      <c r="Q1406" t="s">
        <v>1753</v>
      </c>
      <c r="R1406" t="s">
        <v>1759</v>
      </c>
    </row>
    <row r="1407" spans="1:18" x14ac:dyDescent="0.25">
      <c r="A1407" t="s">
        <v>3887</v>
      </c>
      <c r="B1407" t="s">
        <v>1754</v>
      </c>
      <c r="C1407" t="s">
        <v>6</v>
      </c>
      <c r="D1407" t="s">
        <v>1197</v>
      </c>
      <c r="E1407" s="2">
        <v>42234</v>
      </c>
      <c r="F1407">
        <v>3377</v>
      </c>
      <c r="G1407" t="s">
        <v>1746</v>
      </c>
      <c r="H1407" t="s">
        <v>1798</v>
      </c>
      <c r="I1407" t="b">
        <v>0</v>
      </c>
      <c r="J1407" t="s">
        <v>1761</v>
      </c>
      <c r="K1407" t="s">
        <v>1776</v>
      </c>
      <c r="L1407" t="s">
        <v>1750</v>
      </c>
      <c r="M1407">
        <v>141</v>
      </c>
      <c r="N1407" t="b">
        <v>1</v>
      </c>
      <c r="O1407">
        <v>59</v>
      </c>
      <c r="P1407" t="s">
        <v>1752</v>
      </c>
      <c r="Q1407" t="s">
        <v>1753</v>
      </c>
      <c r="R1407" t="s">
        <v>1828</v>
      </c>
    </row>
    <row r="1408" spans="1:18" x14ac:dyDescent="0.25">
      <c r="A1408" t="s">
        <v>3888</v>
      </c>
      <c r="B1408" t="s">
        <v>1874</v>
      </c>
      <c r="C1408" t="s">
        <v>6</v>
      </c>
      <c r="D1408" t="s">
        <v>917</v>
      </c>
      <c r="E1408" s="2">
        <v>43900</v>
      </c>
      <c r="F1408">
        <v>1711</v>
      </c>
      <c r="G1408" t="s">
        <v>1746</v>
      </c>
      <c r="H1408" t="s">
        <v>1747</v>
      </c>
      <c r="I1408" t="b">
        <v>0</v>
      </c>
      <c r="J1408" t="s">
        <v>1748</v>
      </c>
      <c r="K1408" t="s">
        <v>1856</v>
      </c>
      <c r="L1408" t="s">
        <v>1750</v>
      </c>
      <c r="M1408">
        <v>141</v>
      </c>
      <c r="N1408" t="b">
        <v>1</v>
      </c>
      <c r="O1408">
        <v>232</v>
      </c>
      <c r="P1408" t="s">
        <v>1752</v>
      </c>
      <c r="Q1408" t="s">
        <v>1753</v>
      </c>
      <c r="R1408" t="s">
        <v>1759</v>
      </c>
    </row>
    <row r="1409" spans="1:18" x14ac:dyDescent="0.25">
      <c r="A1409" t="s">
        <v>3889</v>
      </c>
      <c r="B1409" t="s">
        <v>3890</v>
      </c>
      <c r="C1409" t="s">
        <v>6</v>
      </c>
      <c r="D1409" t="s">
        <v>32</v>
      </c>
      <c r="E1409" s="2">
        <v>40514</v>
      </c>
      <c r="F1409">
        <v>5097</v>
      </c>
      <c r="G1409" t="s">
        <v>1746</v>
      </c>
      <c r="H1409" t="s">
        <v>1747</v>
      </c>
      <c r="I1409" t="b">
        <v>1</v>
      </c>
      <c r="J1409" t="s">
        <v>1748</v>
      </c>
      <c r="K1409" t="s">
        <v>1853</v>
      </c>
      <c r="L1409" t="s">
        <v>1817</v>
      </c>
      <c r="M1409">
        <v>141</v>
      </c>
      <c r="N1409" t="b">
        <v>0</v>
      </c>
      <c r="O1409">
        <v>37</v>
      </c>
      <c r="P1409" t="s">
        <v>1819</v>
      </c>
      <c r="Q1409" t="s">
        <v>1753</v>
      </c>
      <c r="R1409" t="s">
        <v>1772</v>
      </c>
    </row>
    <row r="1410" spans="1:18" x14ac:dyDescent="0.25">
      <c r="A1410" t="s">
        <v>3891</v>
      </c>
      <c r="B1410" t="s">
        <v>2353</v>
      </c>
      <c r="C1410" t="s">
        <v>4</v>
      </c>
      <c r="D1410" t="s">
        <v>1226</v>
      </c>
      <c r="E1410" s="2">
        <v>43958</v>
      </c>
      <c r="F1410">
        <v>1653</v>
      </c>
      <c r="G1410" t="s">
        <v>1746</v>
      </c>
      <c r="H1410" t="s">
        <v>1798</v>
      </c>
      <c r="I1410" t="b">
        <v>0</v>
      </c>
      <c r="J1410" t="s">
        <v>1748</v>
      </c>
      <c r="K1410" t="s">
        <v>1793</v>
      </c>
      <c r="L1410" t="s">
        <v>1750</v>
      </c>
      <c r="M1410">
        <v>141</v>
      </c>
      <c r="N1410" t="b">
        <v>1</v>
      </c>
      <c r="O1410">
        <v>403</v>
      </c>
      <c r="P1410" t="s">
        <v>1752</v>
      </c>
      <c r="Q1410" t="s">
        <v>1753</v>
      </c>
      <c r="R1410" t="s">
        <v>1759</v>
      </c>
    </row>
    <row r="1411" spans="1:18" x14ac:dyDescent="0.25">
      <c r="A1411" t="s">
        <v>3893</v>
      </c>
      <c r="B1411" t="s">
        <v>2150</v>
      </c>
      <c r="C1411" t="s">
        <v>4</v>
      </c>
      <c r="D1411" t="s">
        <v>3892</v>
      </c>
      <c r="E1411" s="2">
        <v>43257</v>
      </c>
      <c r="F1411">
        <v>2354</v>
      </c>
      <c r="G1411" t="s">
        <v>1833</v>
      </c>
      <c r="H1411" t="s">
        <v>1805</v>
      </c>
      <c r="I1411" t="b">
        <v>0</v>
      </c>
      <c r="J1411" t="s">
        <v>1761</v>
      </c>
      <c r="K1411" t="s">
        <v>1770</v>
      </c>
      <c r="L1411" t="s">
        <v>1750</v>
      </c>
      <c r="M1411">
        <v>140</v>
      </c>
      <c r="N1411" t="b">
        <v>0</v>
      </c>
      <c r="O1411">
        <v>124</v>
      </c>
      <c r="P1411" t="s">
        <v>1819</v>
      </c>
      <c r="Q1411" t="s">
        <v>1753</v>
      </c>
      <c r="R1411" t="s">
        <v>1759</v>
      </c>
    </row>
    <row r="1412" spans="1:18" x14ac:dyDescent="0.25">
      <c r="A1412" t="s">
        <v>3895</v>
      </c>
      <c r="B1412" t="s">
        <v>1820</v>
      </c>
      <c r="C1412" t="s">
        <v>6</v>
      </c>
      <c r="D1412" t="s">
        <v>3894</v>
      </c>
      <c r="E1412" s="2">
        <v>41435</v>
      </c>
      <c r="F1412">
        <v>4176</v>
      </c>
      <c r="G1412" t="s">
        <v>1746</v>
      </c>
      <c r="H1412" t="s">
        <v>1747</v>
      </c>
      <c r="I1412" t="b">
        <v>1</v>
      </c>
      <c r="J1412" t="s">
        <v>1761</v>
      </c>
      <c r="K1412" t="s">
        <v>2021</v>
      </c>
      <c r="L1412" t="s">
        <v>1750</v>
      </c>
      <c r="M1412">
        <v>140</v>
      </c>
      <c r="N1412" t="b">
        <v>0</v>
      </c>
      <c r="O1412">
        <v>198</v>
      </c>
      <c r="P1412" t="s">
        <v>1752</v>
      </c>
      <c r="Q1412" t="s">
        <v>1753</v>
      </c>
    </row>
    <row r="1413" spans="1:18" x14ac:dyDescent="0.25">
      <c r="A1413" t="s">
        <v>119</v>
      </c>
      <c r="B1413" t="s">
        <v>3896</v>
      </c>
      <c r="C1413" t="s">
        <v>6</v>
      </c>
      <c r="D1413" t="s">
        <v>120</v>
      </c>
      <c r="E1413" s="2">
        <v>40492</v>
      </c>
      <c r="F1413">
        <v>5119</v>
      </c>
      <c r="G1413" t="s">
        <v>1746</v>
      </c>
      <c r="H1413" t="s">
        <v>1747</v>
      </c>
      <c r="I1413" t="b">
        <v>1</v>
      </c>
      <c r="J1413" t="s">
        <v>1761</v>
      </c>
      <c r="K1413" t="s">
        <v>1985</v>
      </c>
      <c r="L1413" t="s">
        <v>1750</v>
      </c>
      <c r="M1413">
        <v>140</v>
      </c>
      <c r="N1413" t="b">
        <v>0</v>
      </c>
      <c r="O1413">
        <v>96</v>
      </c>
      <c r="P1413" t="s">
        <v>1819</v>
      </c>
      <c r="Q1413" t="s">
        <v>1753</v>
      </c>
    </row>
    <row r="1414" spans="1:18" x14ac:dyDescent="0.25">
      <c r="A1414" t="s">
        <v>3898</v>
      </c>
      <c r="B1414" t="s">
        <v>1785</v>
      </c>
      <c r="C1414" t="s">
        <v>4</v>
      </c>
      <c r="D1414" t="s">
        <v>3897</v>
      </c>
      <c r="E1414" s="2">
        <v>40697</v>
      </c>
      <c r="F1414">
        <v>4914</v>
      </c>
      <c r="G1414" t="s">
        <v>1746</v>
      </c>
      <c r="H1414" t="s">
        <v>1747</v>
      </c>
      <c r="I1414" t="b">
        <v>1</v>
      </c>
      <c r="J1414" t="s">
        <v>1761</v>
      </c>
      <c r="K1414" t="s">
        <v>1825</v>
      </c>
      <c r="L1414" t="s">
        <v>1817</v>
      </c>
      <c r="M1414">
        <v>139</v>
      </c>
      <c r="N1414" t="b">
        <v>0</v>
      </c>
      <c r="O1414">
        <v>2290</v>
      </c>
      <c r="P1414" t="s">
        <v>1819</v>
      </c>
      <c r="Q1414" t="s">
        <v>1753</v>
      </c>
      <c r="R1414" t="s">
        <v>1759</v>
      </c>
    </row>
    <row r="1415" spans="1:18" x14ac:dyDescent="0.25">
      <c r="A1415" t="s">
        <v>403</v>
      </c>
      <c r="B1415" t="s">
        <v>1876</v>
      </c>
      <c r="C1415" t="s">
        <v>4</v>
      </c>
      <c r="D1415" t="s">
        <v>404</v>
      </c>
      <c r="E1415" s="2">
        <v>44091</v>
      </c>
      <c r="F1415">
        <v>1520</v>
      </c>
      <c r="G1415" t="s">
        <v>1746</v>
      </c>
      <c r="H1415" t="s">
        <v>1798</v>
      </c>
      <c r="I1415" t="b">
        <v>1</v>
      </c>
      <c r="J1415" t="s">
        <v>1761</v>
      </c>
      <c r="K1415" t="s">
        <v>1917</v>
      </c>
      <c r="L1415" t="s">
        <v>1817</v>
      </c>
      <c r="M1415">
        <v>139</v>
      </c>
      <c r="N1415" t="b">
        <v>0</v>
      </c>
      <c r="O1415">
        <v>151</v>
      </c>
      <c r="P1415" t="s">
        <v>1819</v>
      </c>
      <c r="Q1415" t="s">
        <v>1753</v>
      </c>
      <c r="R1415" t="s">
        <v>1759</v>
      </c>
    </row>
    <row r="1416" spans="1:18" x14ac:dyDescent="0.25">
      <c r="A1416" t="s">
        <v>3900</v>
      </c>
      <c r="B1416" t="s">
        <v>2173</v>
      </c>
      <c r="C1416" t="s">
        <v>4</v>
      </c>
      <c r="D1416" t="s">
        <v>3899</v>
      </c>
      <c r="E1416" s="2">
        <v>43958</v>
      </c>
      <c r="F1416">
        <v>1653</v>
      </c>
      <c r="G1416" t="s">
        <v>1746</v>
      </c>
      <c r="H1416" t="s">
        <v>2231</v>
      </c>
      <c r="I1416" t="b">
        <v>0</v>
      </c>
      <c r="J1416" t="s">
        <v>1748</v>
      </c>
      <c r="K1416" t="s">
        <v>1793</v>
      </c>
      <c r="L1416" t="s">
        <v>1750</v>
      </c>
      <c r="M1416">
        <v>139</v>
      </c>
      <c r="N1416" t="b">
        <v>1</v>
      </c>
      <c r="O1416">
        <v>403</v>
      </c>
      <c r="P1416" t="s">
        <v>1752</v>
      </c>
      <c r="Q1416" t="s">
        <v>1753</v>
      </c>
      <c r="R1416" t="s">
        <v>1759</v>
      </c>
    </row>
    <row r="1417" spans="1:18" x14ac:dyDescent="0.25">
      <c r="A1417" t="s">
        <v>809</v>
      </c>
      <c r="B1417" t="s">
        <v>2836</v>
      </c>
      <c r="C1417" t="s">
        <v>4</v>
      </c>
      <c r="D1417" t="s">
        <v>810</v>
      </c>
      <c r="E1417" s="2">
        <v>45190</v>
      </c>
      <c r="F1417">
        <v>421</v>
      </c>
      <c r="G1417" t="s">
        <v>1746</v>
      </c>
      <c r="H1417" t="s">
        <v>1747</v>
      </c>
      <c r="I1417" t="b">
        <v>0</v>
      </c>
      <c r="J1417" t="s">
        <v>1748</v>
      </c>
      <c r="K1417" t="s">
        <v>1917</v>
      </c>
      <c r="L1417" t="s">
        <v>1750</v>
      </c>
      <c r="M1417">
        <v>138</v>
      </c>
      <c r="N1417" t="b">
        <v>0</v>
      </c>
      <c r="O1417">
        <v>53</v>
      </c>
      <c r="P1417" t="s">
        <v>1819</v>
      </c>
      <c r="Q1417" t="s">
        <v>1753</v>
      </c>
    </row>
    <row r="1418" spans="1:18" x14ac:dyDescent="0.25">
      <c r="A1418" t="s">
        <v>3901</v>
      </c>
      <c r="B1418" t="s">
        <v>1810</v>
      </c>
      <c r="C1418" t="s">
        <v>4</v>
      </c>
      <c r="D1418" t="s">
        <v>443</v>
      </c>
      <c r="E1418" s="2">
        <v>43629</v>
      </c>
      <c r="F1418">
        <v>1982</v>
      </c>
      <c r="G1418" t="s">
        <v>1746</v>
      </c>
      <c r="H1418" t="s">
        <v>1798</v>
      </c>
      <c r="I1418" t="b">
        <v>0</v>
      </c>
      <c r="J1418" t="s">
        <v>1748</v>
      </c>
      <c r="K1418" t="s">
        <v>1826</v>
      </c>
      <c r="L1418" t="s">
        <v>1756</v>
      </c>
      <c r="M1418">
        <v>138</v>
      </c>
      <c r="N1418" t="b">
        <v>1</v>
      </c>
      <c r="O1418">
        <v>379</v>
      </c>
      <c r="P1418" t="s">
        <v>1752</v>
      </c>
      <c r="Q1418" t="s">
        <v>1753</v>
      </c>
      <c r="R1418" t="s">
        <v>1828</v>
      </c>
    </row>
    <row r="1419" spans="1:18" x14ac:dyDescent="0.25">
      <c r="A1419" t="s">
        <v>3903</v>
      </c>
      <c r="B1419" t="s">
        <v>2378</v>
      </c>
      <c r="C1419" t="s">
        <v>4</v>
      </c>
      <c r="D1419" t="s">
        <v>3902</v>
      </c>
      <c r="E1419" s="2">
        <v>42079</v>
      </c>
      <c r="F1419">
        <v>3532</v>
      </c>
      <c r="G1419" t="s">
        <v>1746</v>
      </c>
      <c r="H1419" t="s">
        <v>1805</v>
      </c>
      <c r="I1419" t="b">
        <v>1</v>
      </c>
      <c r="J1419" t="s">
        <v>1761</v>
      </c>
      <c r="K1419" t="s">
        <v>2021</v>
      </c>
      <c r="L1419" t="s">
        <v>1750</v>
      </c>
      <c r="M1419">
        <v>138</v>
      </c>
      <c r="N1419" t="b">
        <v>0</v>
      </c>
      <c r="O1419">
        <v>37</v>
      </c>
      <c r="P1419" t="s">
        <v>2266</v>
      </c>
      <c r="Q1419" t="s">
        <v>1753</v>
      </c>
    </row>
    <row r="1420" spans="1:18" x14ac:dyDescent="0.25">
      <c r="A1420" t="s">
        <v>3905</v>
      </c>
      <c r="B1420" t="s">
        <v>1866</v>
      </c>
      <c r="C1420" t="s">
        <v>4</v>
      </c>
      <c r="D1420" t="s">
        <v>3904</v>
      </c>
      <c r="E1420" s="2">
        <v>41228</v>
      </c>
      <c r="F1420">
        <v>4383</v>
      </c>
      <c r="G1420" t="s">
        <v>1746</v>
      </c>
      <c r="H1420" t="s">
        <v>1747</v>
      </c>
      <c r="I1420" t="b">
        <v>1</v>
      </c>
      <c r="J1420" t="s">
        <v>1761</v>
      </c>
      <c r="K1420" t="s">
        <v>1857</v>
      </c>
      <c r="L1420" t="s">
        <v>1750</v>
      </c>
      <c r="M1420">
        <v>138</v>
      </c>
      <c r="N1420" t="b">
        <v>0</v>
      </c>
      <c r="O1420">
        <v>22</v>
      </c>
      <c r="P1420" t="s">
        <v>1752</v>
      </c>
      <c r="Q1420" t="s">
        <v>1753</v>
      </c>
      <c r="R1420" t="s">
        <v>1759</v>
      </c>
    </row>
    <row r="1421" spans="1:18" x14ac:dyDescent="0.25">
      <c r="A1421" t="s">
        <v>3907</v>
      </c>
      <c r="B1421" t="s">
        <v>2342</v>
      </c>
      <c r="C1421" t="s">
        <v>6</v>
      </c>
      <c r="D1421" t="s">
        <v>3906</v>
      </c>
      <c r="E1421" s="2">
        <v>39707</v>
      </c>
      <c r="F1421">
        <v>5904</v>
      </c>
      <c r="G1421" t="s">
        <v>1746</v>
      </c>
      <c r="H1421" t="s">
        <v>1798</v>
      </c>
      <c r="I1421" t="b">
        <v>0</v>
      </c>
      <c r="J1421" t="s">
        <v>1748</v>
      </c>
      <c r="K1421" t="s">
        <v>1776</v>
      </c>
      <c r="L1421" t="s">
        <v>1766</v>
      </c>
      <c r="M1421">
        <v>138</v>
      </c>
      <c r="N1421" t="b">
        <v>0</v>
      </c>
      <c r="P1421" t="s">
        <v>1752</v>
      </c>
      <c r="Q1421" t="s">
        <v>1753</v>
      </c>
    </row>
    <row r="1422" spans="1:18" x14ac:dyDescent="0.25">
      <c r="A1422" t="s">
        <v>3909</v>
      </c>
      <c r="B1422" t="s">
        <v>2494</v>
      </c>
      <c r="C1422" t="s">
        <v>6</v>
      </c>
      <c r="D1422" t="s">
        <v>3908</v>
      </c>
      <c r="E1422" s="2">
        <v>41646</v>
      </c>
      <c r="F1422">
        <v>3965</v>
      </c>
      <c r="G1422" t="s">
        <v>1746</v>
      </c>
      <c r="H1422" t="s">
        <v>1747</v>
      </c>
      <c r="I1422" t="b">
        <v>0</v>
      </c>
      <c r="J1422" t="s">
        <v>1748</v>
      </c>
      <c r="K1422" t="s">
        <v>1880</v>
      </c>
      <c r="L1422" t="s">
        <v>1766</v>
      </c>
      <c r="M1422">
        <v>138</v>
      </c>
      <c r="N1422" t="b">
        <v>0</v>
      </c>
      <c r="P1422" t="s">
        <v>1752</v>
      </c>
      <c r="Q1422" t="s">
        <v>1753</v>
      </c>
    </row>
    <row r="1423" spans="1:18" x14ac:dyDescent="0.25">
      <c r="A1423" t="s">
        <v>3911</v>
      </c>
      <c r="B1423" t="s">
        <v>2173</v>
      </c>
      <c r="C1423" t="s">
        <v>4</v>
      </c>
      <c r="D1423" t="s">
        <v>3910</v>
      </c>
      <c r="E1423" s="2">
        <v>42676</v>
      </c>
      <c r="F1423">
        <v>2935</v>
      </c>
      <c r="G1423" t="s">
        <v>1746</v>
      </c>
      <c r="H1423" t="s">
        <v>2231</v>
      </c>
      <c r="I1423" t="b">
        <v>1</v>
      </c>
      <c r="J1423" t="s">
        <v>1748</v>
      </c>
      <c r="K1423" t="s">
        <v>1774</v>
      </c>
      <c r="L1423" t="s">
        <v>1750</v>
      </c>
      <c r="M1423">
        <v>138</v>
      </c>
      <c r="N1423" t="b">
        <v>0</v>
      </c>
      <c r="O1423">
        <v>505</v>
      </c>
      <c r="P1423" t="s">
        <v>1752</v>
      </c>
      <c r="Q1423" t="s">
        <v>1753</v>
      </c>
    </row>
    <row r="1424" spans="1:18" x14ac:dyDescent="0.25">
      <c r="A1424" t="s">
        <v>3913</v>
      </c>
      <c r="B1424" t="s">
        <v>2082</v>
      </c>
      <c r="C1424" t="s">
        <v>6</v>
      </c>
      <c r="D1424" t="s">
        <v>3912</v>
      </c>
      <c r="E1424" s="2">
        <v>45267</v>
      </c>
      <c r="F1424">
        <v>344</v>
      </c>
      <c r="G1424" t="s">
        <v>1746</v>
      </c>
      <c r="H1424" t="s">
        <v>1798</v>
      </c>
      <c r="I1424" t="b">
        <v>1</v>
      </c>
      <c r="J1424" t="s">
        <v>1761</v>
      </c>
      <c r="K1424" t="s">
        <v>1853</v>
      </c>
      <c r="L1424" t="s">
        <v>1750</v>
      </c>
      <c r="M1424">
        <v>138</v>
      </c>
      <c r="N1424" t="b">
        <v>1</v>
      </c>
      <c r="O1424">
        <v>40</v>
      </c>
      <c r="P1424" t="s">
        <v>1752</v>
      </c>
      <c r="Q1424" t="s">
        <v>1753</v>
      </c>
    </row>
    <row r="1425" spans="1:18" x14ac:dyDescent="0.25">
      <c r="A1425" t="s">
        <v>3914</v>
      </c>
      <c r="B1425" t="s">
        <v>1874</v>
      </c>
      <c r="C1425" t="s">
        <v>4</v>
      </c>
      <c r="D1425" t="s">
        <v>184</v>
      </c>
      <c r="E1425" s="2">
        <v>43375</v>
      </c>
      <c r="F1425">
        <v>2236</v>
      </c>
      <c r="G1425" t="s">
        <v>1746</v>
      </c>
      <c r="H1425" t="s">
        <v>1747</v>
      </c>
      <c r="I1425" t="b">
        <v>1</v>
      </c>
      <c r="J1425" t="s">
        <v>1748</v>
      </c>
      <c r="K1425" t="s">
        <v>1996</v>
      </c>
      <c r="L1425" t="s">
        <v>1750</v>
      </c>
      <c r="M1425">
        <v>137</v>
      </c>
      <c r="N1425" t="b">
        <v>1</v>
      </c>
      <c r="O1425">
        <v>74</v>
      </c>
      <c r="P1425" t="s">
        <v>1752</v>
      </c>
      <c r="Q1425" t="s">
        <v>1753</v>
      </c>
      <c r="R1425" t="s">
        <v>1772</v>
      </c>
    </row>
    <row r="1426" spans="1:18" x14ac:dyDescent="0.25">
      <c r="A1426" t="s">
        <v>3915</v>
      </c>
      <c r="B1426" t="s">
        <v>1810</v>
      </c>
      <c r="C1426" t="s">
        <v>6</v>
      </c>
      <c r="D1426" t="s">
        <v>1506</v>
      </c>
      <c r="E1426" s="2">
        <v>41704</v>
      </c>
      <c r="F1426">
        <v>3907</v>
      </c>
      <c r="G1426" t="s">
        <v>1746</v>
      </c>
      <c r="H1426" t="s">
        <v>1747</v>
      </c>
      <c r="I1426" t="b">
        <v>0</v>
      </c>
      <c r="J1426" t="s">
        <v>1761</v>
      </c>
      <c r="K1426" t="s">
        <v>1822</v>
      </c>
      <c r="L1426" t="s">
        <v>1817</v>
      </c>
      <c r="M1426">
        <v>137</v>
      </c>
      <c r="N1426" t="b">
        <v>1</v>
      </c>
      <c r="O1426">
        <v>3956</v>
      </c>
      <c r="P1426" t="s">
        <v>1819</v>
      </c>
      <c r="Q1426" t="s">
        <v>1753</v>
      </c>
      <c r="R1426" t="s">
        <v>1759</v>
      </c>
    </row>
    <row r="1427" spans="1:18" x14ac:dyDescent="0.25">
      <c r="A1427" t="s">
        <v>3917</v>
      </c>
      <c r="B1427" t="s">
        <v>2997</v>
      </c>
      <c r="C1427" t="s">
        <v>4</v>
      </c>
      <c r="D1427" t="s">
        <v>3916</v>
      </c>
      <c r="E1427" s="2">
        <v>45532</v>
      </c>
      <c r="F1427">
        <v>79</v>
      </c>
      <c r="G1427" t="s">
        <v>1746</v>
      </c>
      <c r="H1427" t="s">
        <v>1798</v>
      </c>
      <c r="I1427" t="b">
        <v>1</v>
      </c>
      <c r="J1427" t="s">
        <v>1748</v>
      </c>
      <c r="K1427" t="s">
        <v>1749</v>
      </c>
      <c r="L1427" t="s">
        <v>1817</v>
      </c>
      <c r="M1427">
        <v>137</v>
      </c>
      <c r="N1427" t="b">
        <v>0</v>
      </c>
      <c r="O1427">
        <v>492</v>
      </c>
      <c r="P1427" t="s">
        <v>1819</v>
      </c>
      <c r="Q1427" t="s">
        <v>1753</v>
      </c>
      <c r="R1427" t="s">
        <v>1828</v>
      </c>
    </row>
    <row r="1428" spans="1:18" x14ac:dyDescent="0.25">
      <c r="A1428" t="s">
        <v>3919</v>
      </c>
      <c r="B1428" t="s">
        <v>2144</v>
      </c>
      <c r="C1428" t="s">
        <v>572</v>
      </c>
      <c r="D1428" t="s">
        <v>3918</v>
      </c>
      <c r="E1428" s="2">
        <v>44602</v>
      </c>
      <c r="F1428">
        <v>1009</v>
      </c>
      <c r="G1428" t="s">
        <v>1746</v>
      </c>
      <c r="H1428" t="s">
        <v>1798</v>
      </c>
      <c r="I1428" t="b">
        <v>0</v>
      </c>
      <c r="J1428" t="s">
        <v>1748</v>
      </c>
      <c r="K1428" t="s">
        <v>1880</v>
      </c>
      <c r="L1428" t="s">
        <v>1775</v>
      </c>
      <c r="M1428">
        <v>137</v>
      </c>
      <c r="N1428" t="b">
        <v>0</v>
      </c>
      <c r="P1428" t="s">
        <v>2283</v>
      </c>
      <c r="Q1428" t="s">
        <v>1705</v>
      </c>
    </row>
    <row r="1429" spans="1:18" x14ac:dyDescent="0.25">
      <c r="A1429" t="s">
        <v>3921</v>
      </c>
      <c r="B1429" t="s">
        <v>2173</v>
      </c>
      <c r="C1429" t="s">
        <v>6</v>
      </c>
      <c r="D1429" t="s">
        <v>3920</v>
      </c>
      <c r="E1429" s="2">
        <v>42034</v>
      </c>
      <c r="F1429">
        <v>3577</v>
      </c>
      <c r="G1429" t="s">
        <v>1746</v>
      </c>
      <c r="H1429" t="s">
        <v>2231</v>
      </c>
      <c r="I1429" t="b">
        <v>0</v>
      </c>
      <c r="J1429" t="s">
        <v>1748</v>
      </c>
      <c r="K1429" t="s">
        <v>1809</v>
      </c>
      <c r="L1429" t="s">
        <v>1817</v>
      </c>
      <c r="M1429">
        <v>136</v>
      </c>
      <c r="N1429" t="b">
        <v>0</v>
      </c>
      <c r="O1429">
        <v>217</v>
      </c>
      <c r="P1429" t="s">
        <v>1819</v>
      </c>
      <c r="Q1429" t="s">
        <v>1753</v>
      </c>
    </row>
    <row r="1430" spans="1:18" x14ac:dyDescent="0.25">
      <c r="A1430" t="s">
        <v>3923</v>
      </c>
      <c r="B1430" t="s">
        <v>2378</v>
      </c>
      <c r="C1430" t="s">
        <v>4</v>
      </c>
      <c r="D1430" t="s">
        <v>3922</v>
      </c>
      <c r="E1430" s="2">
        <v>40641</v>
      </c>
      <c r="F1430">
        <v>4970</v>
      </c>
      <c r="G1430" t="s">
        <v>1746</v>
      </c>
      <c r="H1430" t="s">
        <v>1747</v>
      </c>
      <c r="I1430" t="b">
        <v>0</v>
      </c>
      <c r="J1430" t="s">
        <v>1748</v>
      </c>
      <c r="K1430" t="s">
        <v>1755</v>
      </c>
      <c r="L1430" t="s">
        <v>1775</v>
      </c>
      <c r="M1430">
        <v>136</v>
      </c>
      <c r="N1430" t="b">
        <v>0</v>
      </c>
      <c r="P1430" t="s">
        <v>1778</v>
      </c>
      <c r="Q1430" t="s">
        <v>1779</v>
      </c>
    </row>
    <row r="1431" spans="1:18" x14ac:dyDescent="0.25">
      <c r="A1431" t="s">
        <v>3925</v>
      </c>
      <c r="B1431" t="s">
        <v>1704</v>
      </c>
      <c r="C1431" t="s">
        <v>6</v>
      </c>
      <c r="D1431" t="s">
        <v>3924</v>
      </c>
      <c r="E1431" s="2">
        <v>39783</v>
      </c>
      <c r="F1431">
        <v>5828</v>
      </c>
      <c r="G1431" t="s">
        <v>1746</v>
      </c>
      <c r="H1431" t="s">
        <v>2231</v>
      </c>
      <c r="I1431" t="b">
        <v>1</v>
      </c>
      <c r="J1431" t="s">
        <v>1761</v>
      </c>
      <c r="K1431" t="s">
        <v>1776</v>
      </c>
      <c r="L1431" t="s">
        <v>1750</v>
      </c>
      <c r="M1431">
        <v>136</v>
      </c>
      <c r="N1431" t="b">
        <v>0</v>
      </c>
      <c r="O1431">
        <v>34</v>
      </c>
      <c r="P1431" t="s">
        <v>1752</v>
      </c>
      <c r="Q1431" t="s">
        <v>1753</v>
      </c>
    </row>
    <row r="1432" spans="1:18" x14ac:dyDescent="0.25">
      <c r="A1432" t="s">
        <v>3927</v>
      </c>
      <c r="B1432" t="s">
        <v>1803</v>
      </c>
      <c r="C1432" t="s">
        <v>572</v>
      </c>
      <c r="D1432" t="s">
        <v>3926</v>
      </c>
      <c r="E1432" s="2">
        <v>40605</v>
      </c>
      <c r="F1432">
        <v>5006</v>
      </c>
      <c r="G1432" t="s">
        <v>1746</v>
      </c>
      <c r="H1432" t="s">
        <v>1798</v>
      </c>
      <c r="I1432" t="b">
        <v>0</v>
      </c>
      <c r="J1432" t="s">
        <v>1761</v>
      </c>
      <c r="K1432" t="s">
        <v>1755</v>
      </c>
      <c r="L1432" t="s">
        <v>1750</v>
      </c>
      <c r="M1432">
        <v>136</v>
      </c>
      <c r="N1432" t="b">
        <v>0</v>
      </c>
      <c r="O1432">
        <v>40</v>
      </c>
      <c r="P1432" t="s">
        <v>1819</v>
      </c>
      <c r="Q1432" t="s">
        <v>1753</v>
      </c>
      <c r="R1432" t="s">
        <v>1759</v>
      </c>
    </row>
    <row r="1433" spans="1:18" x14ac:dyDescent="0.25">
      <c r="A1433" t="s">
        <v>3928</v>
      </c>
      <c r="B1433" t="s">
        <v>2269</v>
      </c>
      <c r="C1433" t="s">
        <v>6</v>
      </c>
      <c r="D1433" t="s">
        <v>1530</v>
      </c>
      <c r="E1433" s="2">
        <v>41575</v>
      </c>
      <c r="F1433">
        <v>4036</v>
      </c>
      <c r="G1433" t="s">
        <v>1746</v>
      </c>
      <c r="H1433" t="s">
        <v>1798</v>
      </c>
      <c r="I1433" t="b">
        <v>1</v>
      </c>
      <c r="J1433" t="s">
        <v>1761</v>
      </c>
      <c r="K1433" t="s">
        <v>1755</v>
      </c>
      <c r="L1433" t="s">
        <v>1817</v>
      </c>
      <c r="M1433">
        <v>136</v>
      </c>
      <c r="N1433" t="b">
        <v>0</v>
      </c>
      <c r="O1433">
        <v>154</v>
      </c>
      <c r="P1433" t="s">
        <v>1819</v>
      </c>
      <c r="Q1433" t="s">
        <v>1753</v>
      </c>
      <c r="R1433" t="s">
        <v>1759</v>
      </c>
    </row>
    <row r="1434" spans="1:18" x14ac:dyDescent="0.25">
      <c r="A1434" t="s">
        <v>3929</v>
      </c>
      <c r="B1434" t="s">
        <v>2532</v>
      </c>
      <c r="C1434" t="s">
        <v>6</v>
      </c>
      <c r="D1434" t="s">
        <v>852</v>
      </c>
      <c r="E1434" s="2">
        <v>42255</v>
      </c>
      <c r="F1434">
        <v>3356</v>
      </c>
      <c r="G1434" t="s">
        <v>1746</v>
      </c>
      <c r="H1434" t="s">
        <v>1747</v>
      </c>
      <c r="I1434" t="b">
        <v>0</v>
      </c>
      <c r="J1434" t="s">
        <v>1761</v>
      </c>
      <c r="K1434" t="s">
        <v>1934</v>
      </c>
      <c r="L1434" t="s">
        <v>1817</v>
      </c>
      <c r="M1434">
        <v>136</v>
      </c>
      <c r="N1434" t="b">
        <v>1</v>
      </c>
      <c r="O1434">
        <v>2261</v>
      </c>
      <c r="P1434" t="s">
        <v>1819</v>
      </c>
      <c r="Q1434" t="s">
        <v>1753</v>
      </c>
      <c r="R1434" t="s">
        <v>1759</v>
      </c>
    </row>
    <row r="1435" spans="1:18" x14ac:dyDescent="0.25">
      <c r="A1435" t="s">
        <v>3930</v>
      </c>
      <c r="B1435" t="s">
        <v>1998</v>
      </c>
      <c r="C1435" t="s">
        <v>4</v>
      </c>
      <c r="D1435" t="s">
        <v>432</v>
      </c>
      <c r="E1435" s="2">
        <v>40163</v>
      </c>
      <c r="F1435">
        <v>5448</v>
      </c>
      <c r="G1435" t="s">
        <v>1746</v>
      </c>
      <c r="H1435" t="s">
        <v>1747</v>
      </c>
      <c r="I1435" t="b">
        <v>0</v>
      </c>
      <c r="J1435" t="s">
        <v>1748</v>
      </c>
      <c r="K1435" t="s">
        <v>1934</v>
      </c>
      <c r="L1435" t="s">
        <v>1766</v>
      </c>
      <c r="M1435">
        <v>135</v>
      </c>
      <c r="N1435" t="b">
        <v>0</v>
      </c>
      <c r="P1435" t="s">
        <v>1752</v>
      </c>
      <c r="Q1435" t="s">
        <v>1753</v>
      </c>
    </row>
    <row r="1436" spans="1:18" x14ac:dyDescent="0.25">
      <c r="A1436" t="s">
        <v>3931</v>
      </c>
      <c r="B1436" t="s">
        <v>1814</v>
      </c>
      <c r="C1436" t="s">
        <v>4</v>
      </c>
      <c r="D1436" t="s">
        <v>1068</v>
      </c>
      <c r="E1436" s="2">
        <v>41185</v>
      </c>
      <c r="F1436">
        <v>4426</v>
      </c>
      <c r="G1436" t="s">
        <v>1746</v>
      </c>
      <c r="H1436" t="s">
        <v>1747</v>
      </c>
      <c r="I1436" t="b">
        <v>1</v>
      </c>
      <c r="J1436" t="s">
        <v>1748</v>
      </c>
      <c r="K1436" t="s">
        <v>1880</v>
      </c>
      <c r="L1436" t="s">
        <v>1750</v>
      </c>
      <c r="M1436">
        <v>135</v>
      </c>
      <c r="N1436" t="b">
        <v>0</v>
      </c>
      <c r="O1436">
        <v>100</v>
      </c>
      <c r="P1436" t="s">
        <v>1752</v>
      </c>
      <c r="Q1436" t="s">
        <v>1753</v>
      </c>
    </row>
    <row r="1437" spans="1:18" x14ac:dyDescent="0.25">
      <c r="A1437" t="s">
        <v>3933</v>
      </c>
      <c r="B1437" t="s">
        <v>3629</v>
      </c>
      <c r="C1437" t="s">
        <v>6</v>
      </c>
      <c r="D1437" t="s">
        <v>3932</v>
      </c>
      <c r="E1437" s="2">
        <v>44602</v>
      </c>
      <c r="F1437">
        <v>1009</v>
      </c>
      <c r="G1437" t="s">
        <v>1746</v>
      </c>
      <c r="H1437" t="s">
        <v>1798</v>
      </c>
      <c r="I1437" t="b">
        <v>0</v>
      </c>
      <c r="J1437" t="s">
        <v>1761</v>
      </c>
      <c r="K1437" t="s">
        <v>1824</v>
      </c>
      <c r="L1437" t="s">
        <v>1750</v>
      </c>
      <c r="M1437">
        <v>135</v>
      </c>
      <c r="N1437" t="b">
        <v>1</v>
      </c>
      <c r="O1437">
        <v>1729</v>
      </c>
      <c r="P1437" t="s">
        <v>1819</v>
      </c>
      <c r="Q1437" t="s">
        <v>1753</v>
      </c>
      <c r="R1437" t="s">
        <v>1759</v>
      </c>
    </row>
    <row r="1438" spans="1:18" x14ac:dyDescent="0.25">
      <c r="A1438" t="s">
        <v>3934</v>
      </c>
      <c r="B1438" t="s">
        <v>3935</v>
      </c>
      <c r="C1438" t="s">
        <v>6</v>
      </c>
      <c r="D1438" t="s">
        <v>929</v>
      </c>
      <c r="E1438" s="2">
        <v>44215</v>
      </c>
      <c r="F1438">
        <v>1396</v>
      </c>
      <c r="G1438" t="s">
        <v>1746</v>
      </c>
      <c r="H1438" t="s">
        <v>1798</v>
      </c>
      <c r="I1438" t="b">
        <v>0</v>
      </c>
      <c r="J1438" t="s">
        <v>1748</v>
      </c>
      <c r="K1438" t="s">
        <v>1929</v>
      </c>
      <c r="L1438" t="s">
        <v>1766</v>
      </c>
      <c r="M1438">
        <v>135</v>
      </c>
      <c r="N1438" t="b">
        <v>0</v>
      </c>
      <c r="P1438" t="s">
        <v>1752</v>
      </c>
      <c r="Q1438" t="s">
        <v>1753</v>
      </c>
    </row>
    <row r="1439" spans="1:18" x14ac:dyDescent="0.25">
      <c r="A1439" t="s">
        <v>3936</v>
      </c>
      <c r="B1439" t="s">
        <v>2532</v>
      </c>
      <c r="C1439" t="s">
        <v>4</v>
      </c>
      <c r="D1439" t="s">
        <v>468</v>
      </c>
      <c r="E1439" s="2">
        <v>42417</v>
      </c>
      <c r="F1439">
        <v>3194</v>
      </c>
      <c r="G1439" t="s">
        <v>1746</v>
      </c>
      <c r="H1439" t="s">
        <v>1747</v>
      </c>
      <c r="I1439" t="b">
        <v>0</v>
      </c>
      <c r="J1439" t="s">
        <v>1748</v>
      </c>
      <c r="K1439" t="s">
        <v>1934</v>
      </c>
      <c r="L1439" t="s">
        <v>1766</v>
      </c>
      <c r="M1439">
        <v>134</v>
      </c>
      <c r="N1439" t="b">
        <v>0</v>
      </c>
      <c r="P1439" t="s">
        <v>2266</v>
      </c>
      <c r="Q1439" t="s">
        <v>1753</v>
      </c>
    </row>
    <row r="1440" spans="1:18" x14ac:dyDescent="0.25">
      <c r="A1440" t="s">
        <v>3937</v>
      </c>
      <c r="B1440" t="s">
        <v>1876</v>
      </c>
      <c r="C1440" t="s">
        <v>4</v>
      </c>
      <c r="D1440" t="s">
        <v>1586</v>
      </c>
      <c r="E1440" s="2">
        <v>44944</v>
      </c>
      <c r="F1440">
        <v>667</v>
      </c>
      <c r="G1440" t="s">
        <v>1746</v>
      </c>
      <c r="H1440" t="s">
        <v>1747</v>
      </c>
      <c r="I1440" t="b">
        <v>0</v>
      </c>
      <c r="J1440" t="s">
        <v>1748</v>
      </c>
      <c r="K1440" t="s">
        <v>1880</v>
      </c>
      <c r="L1440" t="s">
        <v>1750</v>
      </c>
      <c r="M1440">
        <v>134</v>
      </c>
      <c r="N1440" t="b">
        <v>1</v>
      </c>
      <c r="O1440">
        <v>113</v>
      </c>
      <c r="P1440" t="s">
        <v>1752</v>
      </c>
      <c r="Q1440" t="s">
        <v>1753</v>
      </c>
      <c r="R1440" t="s">
        <v>1759</v>
      </c>
    </row>
    <row r="1441" spans="1:18" x14ac:dyDescent="0.25">
      <c r="A1441" t="s">
        <v>3938</v>
      </c>
      <c r="B1441" t="s">
        <v>1754</v>
      </c>
      <c r="C1441" t="s">
        <v>4</v>
      </c>
      <c r="D1441" t="s">
        <v>1076</v>
      </c>
      <c r="E1441" s="2">
        <v>42192</v>
      </c>
      <c r="F1441">
        <v>3419</v>
      </c>
      <c r="G1441" t="s">
        <v>1746</v>
      </c>
      <c r="H1441" t="s">
        <v>1747</v>
      </c>
      <c r="I1441" t="b">
        <v>1</v>
      </c>
      <c r="J1441" t="s">
        <v>1748</v>
      </c>
      <c r="K1441" t="s">
        <v>1824</v>
      </c>
      <c r="L1441" t="s">
        <v>1750</v>
      </c>
      <c r="M1441">
        <v>134</v>
      </c>
      <c r="N1441" t="b">
        <v>0</v>
      </c>
      <c r="O1441">
        <v>50</v>
      </c>
      <c r="P1441" t="s">
        <v>1752</v>
      </c>
      <c r="Q1441" t="s">
        <v>1753</v>
      </c>
    </row>
    <row r="1442" spans="1:18" x14ac:dyDescent="0.25">
      <c r="A1442" t="s">
        <v>3939</v>
      </c>
      <c r="B1442" t="s">
        <v>2138</v>
      </c>
      <c r="C1442" t="s">
        <v>6</v>
      </c>
      <c r="D1442" t="s">
        <v>43</v>
      </c>
      <c r="E1442" s="2">
        <v>42664</v>
      </c>
      <c r="F1442">
        <v>2947</v>
      </c>
      <c r="G1442" t="s">
        <v>1746</v>
      </c>
      <c r="H1442" t="s">
        <v>1798</v>
      </c>
      <c r="I1442" t="b">
        <v>1</v>
      </c>
      <c r="J1442" t="s">
        <v>1748</v>
      </c>
      <c r="K1442" t="s">
        <v>1822</v>
      </c>
      <c r="L1442" t="s">
        <v>1817</v>
      </c>
      <c r="M1442">
        <v>133</v>
      </c>
      <c r="N1442" t="b">
        <v>0</v>
      </c>
      <c r="O1442">
        <v>8847</v>
      </c>
      <c r="P1442" t="s">
        <v>1819</v>
      </c>
      <c r="Q1442" t="s">
        <v>1753</v>
      </c>
      <c r="R1442" t="s">
        <v>1759</v>
      </c>
    </row>
    <row r="1443" spans="1:18" x14ac:dyDescent="0.25">
      <c r="A1443" t="s">
        <v>3941</v>
      </c>
      <c r="B1443" t="s">
        <v>2150</v>
      </c>
      <c r="C1443" t="s">
        <v>4</v>
      </c>
      <c r="D1443" t="s">
        <v>3940</v>
      </c>
      <c r="E1443" s="2">
        <v>43634</v>
      </c>
      <c r="F1443">
        <v>1977</v>
      </c>
      <c r="G1443" t="s">
        <v>1746</v>
      </c>
      <c r="H1443" t="s">
        <v>1805</v>
      </c>
      <c r="I1443" t="b">
        <v>0</v>
      </c>
      <c r="J1443" t="s">
        <v>1761</v>
      </c>
      <c r="K1443" t="s">
        <v>1822</v>
      </c>
      <c r="L1443" t="s">
        <v>1817</v>
      </c>
      <c r="M1443">
        <v>133</v>
      </c>
      <c r="N1443" t="b">
        <v>0</v>
      </c>
      <c r="O1443">
        <v>9003</v>
      </c>
      <c r="P1443" t="s">
        <v>1819</v>
      </c>
      <c r="Q1443" t="s">
        <v>1753</v>
      </c>
      <c r="R1443" t="s">
        <v>1759</v>
      </c>
    </row>
    <row r="1444" spans="1:18" x14ac:dyDescent="0.25">
      <c r="A1444" t="s">
        <v>3943</v>
      </c>
      <c r="B1444" t="s">
        <v>1810</v>
      </c>
      <c r="C1444" t="s">
        <v>6</v>
      </c>
      <c r="D1444" t="s">
        <v>3942</v>
      </c>
      <c r="E1444" s="2">
        <v>39252</v>
      </c>
      <c r="F1444">
        <v>6359</v>
      </c>
      <c r="G1444" t="s">
        <v>1746</v>
      </c>
      <c r="H1444" t="s">
        <v>1747</v>
      </c>
      <c r="I1444" t="b">
        <v>1</v>
      </c>
      <c r="J1444" t="s">
        <v>1748</v>
      </c>
      <c r="K1444" t="s">
        <v>1757</v>
      </c>
      <c r="L1444" t="s">
        <v>1750</v>
      </c>
      <c r="M1444">
        <v>133</v>
      </c>
      <c r="N1444" t="b">
        <v>0</v>
      </c>
      <c r="O1444">
        <v>87</v>
      </c>
      <c r="P1444" t="s">
        <v>1752</v>
      </c>
      <c r="Q1444" t="s">
        <v>1753</v>
      </c>
    </row>
    <row r="1445" spans="1:18" x14ac:dyDescent="0.25">
      <c r="A1445" t="s">
        <v>3944</v>
      </c>
      <c r="B1445" t="s">
        <v>1945</v>
      </c>
      <c r="C1445" t="s">
        <v>6</v>
      </c>
      <c r="D1445" t="s">
        <v>877</v>
      </c>
      <c r="E1445" s="2">
        <v>40189</v>
      </c>
      <c r="F1445">
        <v>5422</v>
      </c>
      <c r="G1445" t="s">
        <v>1746</v>
      </c>
      <c r="H1445" t="s">
        <v>1798</v>
      </c>
      <c r="I1445" t="b">
        <v>0</v>
      </c>
      <c r="J1445" t="s">
        <v>1761</v>
      </c>
      <c r="K1445" t="s">
        <v>1856</v>
      </c>
      <c r="L1445" t="s">
        <v>1766</v>
      </c>
      <c r="M1445">
        <v>133</v>
      </c>
      <c r="N1445" t="b">
        <v>0</v>
      </c>
      <c r="P1445" t="s">
        <v>2266</v>
      </c>
      <c r="Q1445" t="s">
        <v>1753</v>
      </c>
      <c r="R1445" t="s">
        <v>1759</v>
      </c>
    </row>
    <row r="1446" spans="1:18" x14ac:dyDescent="0.25">
      <c r="A1446" t="s">
        <v>3945</v>
      </c>
      <c r="B1446" t="s">
        <v>1814</v>
      </c>
      <c r="C1446" t="s">
        <v>6</v>
      </c>
      <c r="D1446" t="s">
        <v>955</v>
      </c>
      <c r="E1446" s="2">
        <v>42473</v>
      </c>
      <c r="F1446">
        <v>3138</v>
      </c>
      <c r="G1446" t="s">
        <v>1746</v>
      </c>
      <c r="H1446" t="s">
        <v>1747</v>
      </c>
      <c r="I1446" t="b">
        <v>0</v>
      </c>
      <c r="J1446" t="s">
        <v>1748</v>
      </c>
      <c r="K1446" t="s">
        <v>1776</v>
      </c>
      <c r="L1446" t="s">
        <v>1766</v>
      </c>
      <c r="M1446">
        <v>133</v>
      </c>
      <c r="N1446" t="b">
        <v>0</v>
      </c>
      <c r="P1446" t="s">
        <v>1819</v>
      </c>
      <c r="Q1446" t="s">
        <v>1753</v>
      </c>
    </row>
    <row r="1447" spans="1:18" x14ac:dyDescent="0.25">
      <c r="A1447" t="s">
        <v>3947</v>
      </c>
      <c r="B1447" t="s">
        <v>1840</v>
      </c>
      <c r="C1447" t="s">
        <v>4</v>
      </c>
      <c r="D1447" t="s">
        <v>3946</v>
      </c>
      <c r="E1447" s="2">
        <v>42053</v>
      </c>
      <c r="F1447">
        <v>3558</v>
      </c>
      <c r="G1447" t="s">
        <v>1746</v>
      </c>
      <c r="H1447" t="s">
        <v>1747</v>
      </c>
      <c r="I1447" t="b">
        <v>1</v>
      </c>
      <c r="J1447" t="s">
        <v>1748</v>
      </c>
      <c r="K1447" t="s">
        <v>1755</v>
      </c>
      <c r="L1447" t="s">
        <v>1750</v>
      </c>
      <c r="M1447">
        <v>133</v>
      </c>
      <c r="N1447" t="b">
        <v>0</v>
      </c>
      <c r="O1447">
        <v>125</v>
      </c>
      <c r="P1447" t="s">
        <v>1752</v>
      </c>
      <c r="Q1447" t="s">
        <v>1753</v>
      </c>
    </row>
    <row r="1448" spans="1:18" x14ac:dyDescent="0.25">
      <c r="A1448" t="s">
        <v>3949</v>
      </c>
      <c r="B1448" t="s">
        <v>2698</v>
      </c>
      <c r="C1448" t="s">
        <v>4</v>
      </c>
      <c r="D1448" t="s">
        <v>3948</v>
      </c>
      <c r="E1448" s="2">
        <v>43291</v>
      </c>
      <c r="F1448">
        <v>2320</v>
      </c>
      <c r="G1448" t="s">
        <v>1746</v>
      </c>
      <c r="H1448" t="s">
        <v>1747</v>
      </c>
      <c r="I1448" t="b">
        <v>1</v>
      </c>
      <c r="J1448" t="s">
        <v>1761</v>
      </c>
      <c r="K1448" t="s">
        <v>1749</v>
      </c>
      <c r="L1448" t="s">
        <v>1817</v>
      </c>
      <c r="M1448">
        <v>132</v>
      </c>
      <c r="N1448" t="b">
        <v>0</v>
      </c>
      <c r="O1448">
        <v>90</v>
      </c>
      <c r="P1448" t="s">
        <v>1819</v>
      </c>
      <c r="Q1448" t="s">
        <v>1753</v>
      </c>
    </row>
    <row r="1449" spans="1:18" x14ac:dyDescent="0.25">
      <c r="A1449" t="s">
        <v>3951</v>
      </c>
      <c r="B1449" t="s">
        <v>1840</v>
      </c>
      <c r="C1449" t="s">
        <v>4</v>
      </c>
      <c r="D1449" t="s">
        <v>3950</v>
      </c>
      <c r="E1449" s="2">
        <v>42453</v>
      </c>
      <c r="F1449">
        <v>3158</v>
      </c>
      <c r="G1449" t="s">
        <v>1746</v>
      </c>
      <c r="H1449" t="s">
        <v>1747</v>
      </c>
      <c r="I1449" t="b">
        <v>0</v>
      </c>
      <c r="J1449" t="s">
        <v>1748</v>
      </c>
      <c r="K1449" t="s">
        <v>1808</v>
      </c>
      <c r="L1449" t="s">
        <v>2102</v>
      </c>
      <c r="M1449">
        <v>132</v>
      </c>
      <c r="N1449" t="b">
        <v>0</v>
      </c>
      <c r="P1449" t="s">
        <v>2070</v>
      </c>
      <c r="Q1449" t="s">
        <v>1753</v>
      </c>
    </row>
    <row r="1450" spans="1:18" x14ac:dyDescent="0.25">
      <c r="A1450" t="s">
        <v>3952</v>
      </c>
      <c r="B1450" t="s">
        <v>1781</v>
      </c>
      <c r="C1450" t="s">
        <v>4</v>
      </c>
      <c r="D1450" t="s">
        <v>1503</v>
      </c>
      <c r="E1450" s="2">
        <v>43950</v>
      </c>
      <c r="F1450">
        <v>1661</v>
      </c>
      <c r="G1450" t="s">
        <v>1746</v>
      </c>
      <c r="H1450" t="s">
        <v>1747</v>
      </c>
      <c r="I1450" t="b">
        <v>0</v>
      </c>
      <c r="J1450" t="s">
        <v>1748</v>
      </c>
      <c r="K1450" t="s">
        <v>1755</v>
      </c>
      <c r="L1450" t="s">
        <v>1775</v>
      </c>
      <c r="M1450">
        <v>132</v>
      </c>
      <c r="N1450" t="b">
        <v>0</v>
      </c>
      <c r="P1450" t="s">
        <v>1778</v>
      </c>
      <c r="Q1450" t="s">
        <v>1779</v>
      </c>
    </row>
    <row r="1451" spans="1:18" x14ac:dyDescent="0.25">
      <c r="A1451" t="s">
        <v>3954</v>
      </c>
      <c r="B1451" t="s">
        <v>1866</v>
      </c>
      <c r="C1451" t="s">
        <v>4</v>
      </c>
      <c r="D1451" t="s">
        <v>3953</v>
      </c>
      <c r="E1451" s="2">
        <v>41530</v>
      </c>
      <c r="F1451">
        <v>4081</v>
      </c>
      <c r="G1451" t="s">
        <v>1746</v>
      </c>
      <c r="H1451" t="s">
        <v>1798</v>
      </c>
      <c r="I1451" t="b">
        <v>1</v>
      </c>
      <c r="J1451" t="s">
        <v>1748</v>
      </c>
      <c r="K1451" t="s">
        <v>1830</v>
      </c>
      <c r="L1451" t="s">
        <v>1750</v>
      </c>
      <c r="M1451">
        <v>132</v>
      </c>
      <c r="N1451" t="b">
        <v>0</v>
      </c>
      <c r="O1451">
        <v>121</v>
      </c>
      <c r="P1451" t="s">
        <v>1752</v>
      </c>
      <c r="Q1451" t="s">
        <v>1753</v>
      </c>
      <c r="R1451" t="s">
        <v>1828</v>
      </c>
    </row>
    <row r="1452" spans="1:18" x14ac:dyDescent="0.25">
      <c r="A1452" t="s">
        <v>3955</v>
      </c>
      <c r="B1452" t="s">
        <v>2035</v>
      </c>
      <c r="C1452" t="s">
        <v>11</v>
      </c>
      <c r="D1452" t="s">
        <v>913</v>
      </c>
      <c r="E1452" s="2">
        <v>39087</v>
      </c>
      <c r="F1452">
        <v>6524</v>
      </c>
      <c r="G1452" t="s">
        <v>1746</v>
      </c>
      <c r="H1452" t="s">
        <v>1798</v>
      </c>
      <c r="I1452" t="b">
        <v>0</v>
      </c>
      <c r="J1452" t="s">
        <v>1761</v>
      </c>
      <c r="K1452" t="s">
        <v>1856</v>
      </c>
      <c r="L1452" t="s">
        <v>1766</v>
      </c>
      <c r="M1452">
        <v>132</v>
      </c>
      <c r="N1452" t="b">
        <v>0</v>
      </c>
      <c r="P1452" t="s">
        <v>1752</v>
      </c>
      <c r="Q1452" t="s">
        <v>1753</v>
      </c>
    </row>
    <row r="1453" spans="1:18" x14ac:dyDescent="0.25">
      <c r="A1453" t="s">
        <v>3957</v>
      </c>
      <c r="B1453" t="s">
        <v>2269</v>
      </c>
      <c r="C1453" t="s">
        <v>6</v>
      </c>
      <c r="D1453" t="s">
        <v>3956</v>
      </c>
      <c r="E1453" s="2">
        <v>39638</v>
      </c>
      <c r="F1453">
        <v>5973</v>
      </c>
      <c r="G1453" t="s">
        <v>1746</v>
      </c>
      <c r="H1453" t="s">
        <v>1798</v>
      </c>
      <c r="I1453" t="b">
        <v>1</v>
      </c>
      <c r="J1453" t="s">
        <v>1761</v>
      </c>
      <c r="K1453" t="s">
        <v>1755</v>
      </c>
      <c r="L1453" t="s">
        <v>1750</v>
      </c>
      <c r="M1453">
        <v>131</v>
      </c>
      <c r="N1453" t="b">
        <v>0</v>
      </c>
      <c r="O1453">
        <v>40</v>
      </c>
      <c r="P1453" t="s">
        <v>1752</v>
      </c>
      <c r="Q1453" t="s">
        <v>1753</v>
      </c>
    </row>
    <row r="1454" spans="1:18" x14ac:dyDescent="0.25">
      <c r="A1454" t="s">
        <v>3958</v>
      </c>
      <c r="B1454" t="s">
        <v>2035</v>
      </c>
      <c r="C1454" t="s">
        <v>6</v>
      </c>
      <c r="D1454" t="s">
        <v>125</v>
      </c>
      <c r="E1454" s="2">
        <v>39786</v>
      </c>
      <c r="F1454">
        <v>5825</v>
      </c>
      <c r="G1454" t="s">
        <v>1746</v>
      </c>
      <c r="H1454" t="s">
        <v>1798</v>
      </c>
      <c r="I1454" t="b">
        <v>1</v>
      </c>
      <c r="J1454" t="s">
        <v>1748</v>
      </c>
      <c r="K1454" t="s">
        <v>1824</v>
      </c>
      <c r="L1454" t="s">
        <v>1750</v>
      </c>
      <c r="M1454">
        <v>130</v>
      </c>
      <c r="N1454" t="b">
        <v>1</v>
      </c>
      <c r="O1454">
        <v>183</v>
      </c>
      <c r="P1454" t="s">
        <v>1752</v>
      </c>
      <c r="Q1454" t="s">
        <v>1753</v>
      </c>
    </row>
    <row r="1455" spans="1:18" x14ac:dyDescent="0.25">
      <c r="A1455" t="s">
        <v>3960</v>
      </c>
      <c r="B1455" t="s">
        <v>3961</v>
      </c>
      <c r="C1455" t="s">
        <v>4</v>
      </c>
      <c r="D1455" t="s">
        <v>3959</v>
      </c>
      <c r="E1455" s="2">
        <v>45324</v>
      </c>
      <c r="F1455">
        <v>287</v>
      </c>
      <c r="G1455" t="s">
        <v>1746</v>
      </c>
      <c r="H1455" t="s">
        <v>1747</v>
      </c>
      <c r="I1455" t="b">
        <v>0</v>
      </c>
      <c r="J1455" t="s">
        <v>1748</v>
      </c>
      <c r="K1455" t="s">
        <v>1880</v>
      </c>
      <c r="L1455" t="s">
        <v>1750</v>
      </c>
      <c r="M1455">
        <v>130</v>
      </c>
      <c r="N1455" t="b">
        <v>0</v>
      </c>
      <c r="O1455">
        <v>60</v>
      </c>
      <c r="P1455" t="s">
        <v>1752</v>
      </c>
      <c r="Q1455" t="s">
        <v>1753</v>
      </c>
      <c r="R1455" t="s">
        <v>1759</v>
      </c>
    </row>
    <row r="1456" spans="1:18" x14ac:dyDescent="0.25">
      <c r="A1456" t="s">
        <v>3963</v>
      </c>
      <c r="B1456" t="s">
        <v>1907</v>
      </c>
      <c r="C1456" t="s">
        <v>6</v>
      </c>
      <c r="D1456" t="s">
        <v>3962</v>
      </c>
      <c r="E1456" s="2">
        <v>44995</v>
      </c>
      <c r="F1456">
        <v>616</v>
      </c>
      <c r="G1456" t="s">
        <v>1746</v>
      </c>
      <c r="H1456" t="s">
        <v>1798</v>
      </c>
      <c r="I1456" t="b">
        <v>1</v>
      </c>
      <c r="J1456" t="s">
        <v>1761</v>
      </c>
      <c r="K1456" t="s">
        <v>1891</v>
      </c>
      <c r="L1456" t="s">
        <v>1750</v>
      </c>
      <c r="M1456">
        <v>130</v>
      </c>
      <c r="N1456" t="b">
        <v>1</v>
      </c>
      <c r="O1456">
        <v>842</v>
      </c>
      <c r="P1456" t="s">
        <v>1752</v>
      </c>
      <c r="Q1456" t="s">
        <v>1753</v>
      </c>
      <c r="R1456" t="s">
        <v>1828</v>
      </c>
    </row>
    <row r="1457" spans="1:18" x14ac:dyDescent="0.25">
      <c r="A1457" t="s">
        <v>3965</v>
      </c>
      <c r="B1457" t="s">
        <v>2564</v>
      </c>
      <c r="C1457" t="s">
        <v>6</v>
      </c>
      <c r="D1457" t="s">
        <v>3964</v>
      </c>
      <c r="E1457" s="2">
        <v>44742</v>
      </c>
      <c r="F1457">
        <v>869</v>
      </c>
      <c r="G1457" t="s">
        <v>1746</v>
      </c>
      <c r="H1457" t="s">
        <v>1798</v>
      </c>
      <c r="I1457" t="b">
        <v>0</v>
      </c>
      <c r="J1457" t="s">
        <v>1748</v>
      </c>
      <c r="K1457" t="s">
        <v>1771</v>
      </c>
      <c r="L1457" t="s">
        <v>1750</v>
      </c>
      <c r="M1457">
        <v>130</v>
      </c>
      <c r="N1457" t="b">
        <v>1</v>
      </c>
      <c r="O1457">
        <v>64</v>
      </c>
      <c r="P1457" t="s">
        <v>1752</v>
      </c>
      <c r="Q1457" t="s">
        <v>1753</v>
      </c>
      <c r="R1457" t="s">
        <v>2028</v>
      </c>
    </row>
    <row r="1458" spans="1:18" x14ac:dyDescent="0.25">
      <c r="A1458" t="s">
        <v>3966</v>
      </c>
      <c r="B1458" t="s">
        <v>1876</v>
      </c>
      <c r="C1458" t="s">
        <v>4</v>
      </c>
      <c r="D1458" t="s">
        <v>795</v>
      </c>
      <c r="E1458" s="2">
        <v>44215</v>
      </c>
      <c r="F1458">
        <v>1396</v>
      </c>
      <c r="G1458" t="s">
        <v>1746</v>
      </c>
      <c r="H1458" t="s">
        <v>1747</v>
      </c>
      <c r="I1458" t="b">
        <v>0</v>
      </c>
      <c r="J1458" t="s">
        <v>1761</v>
      </c>
      <c r="K1458" t="s">
        <v>1880</v>
      </c>
      <c r="L1458" t="s">
        <v>1817</v>
      </c>
      <c r="M1458">
        <v>129</v>
      </c>
      <c r="N1458" t="b">
        <v>1</v>
      </c>
      <c r="O1458">
        <v>605</v>
      </c>
      <c r="P1458" t="s">
        <v>1819</v>
      </c>
      <c r="Q1458" t="s">
        <v>1753</v>
      </c>
      <c r="R1458" t="s">
        <v>1772</v>
      </c>
    </row>
    <row r="1459" spans="1:18" x14ac:dyDescent="0.25">
      <c r="A1459" t="s">
        <v>1048</v>
      </c>
      <c r="B1459" t="s">
        <v>1814</v>
      </c>
      <c r="C1459" t="s">
        <v>4</v>
      </c>
      <c r="D1459" t="s">
        <v>1049</v>
      </c>
      <c r="E1459" s="2">
        <v>41978</v>
      </c>
      <c r="F1459">
        <v>3633</v>
      </c>
      <c r="G1459" t="s">
        <v>1746</v>
      </c>
      <c r="H1459" t="s">
        <v>1798</v>
      </c>
      <c r="I1459" t="b">
        <v>1</v>
      </c>
      <c r="J1459" t="s">
        <v>1748</v>
      </c>
      <c r="K1459" t="s">
        <v>1770</v>
      </c>
      <c r="L1459" t="s">
        <v>1750</v>
      </c>
      <c r="M1459">
        <v>129</v>
      </c>
      <c r="N1459" t="b">
        <v>0</v>
      </c>
      <c r="O1459">
        <v>23</v>
      </c>
      <c r="P1459" t="s">
        <v>1752</v>
      </c>
      <c r="Q1459" t="s">
        <v>1753</v>
      </c>
      <c r="R1459" t="s">
        <v>1828</v>
      </c>
    </row>
    <row r="1460" spans="1:18" x14ac:dyDescent="0.25">
      <c r="A1460" t="s">
        <v>3967</v>
      </c>
      <c r="B1460" t="s">
        <v>2096</v>
      </c>
      <c r="C1460" t="s">
        <v>6</v>
      </c>
      <c r="D1460" t="s">
        <v>149</v>
      </c>
      <c r="E1460" s="2">
        <v>44959</v>
      </c>
      <c r="F1460">
        <v>652</v>
      </c>
      <c r="G1460" t="s">
        <v>1746</v>
      </c>
      <c r="H1460" t="s">
        <v>1798</v>
      </c>
      <c r="I1460" t="b">
        <v>0</v>
      </c>
      <c r="J1460" t="s">
        <v>1748</v>
      </c>
      <c r="K1460" t="s">
        <v>1824</v>
      </c>
      <c r="L1460" t="s">
        <v>1750</v>
      </c>
      <c r="M1460">
        <v>129</v>
      </c>
      <c r="N1460" t="b">
        <v>1</v>
      </c>
      <c r="O1460">
        <v>1197</v>
      </c>
      <c r="P1460" t="s">
        <v>1819</v>
      </c>
      <c r="Q1460" t="s">
        <v>1753</v>
      </c>
      <c r="R1460" t="s">
        <v>1759</v>
      </c>
    </row>
    <row r="1461" spans="1:18" x14ac:dyDescent="0.25">
      <c r="A1461" t="s">
        <v>3969</v>
      </c>
      <c r="B1461" t="s">
        <v>1907</v>
      </c>
      <c r="C1461" t="s">
        <v>4</v>
      </c>
      <c r="D1461" t="s">
        <v>3968</v>
      </c>
      <c r="E1461" s="2">
        <v>44105</v>
      </c>
      <c r="F1461">
        <v>1506</v>
      </c>
      <c r="G1461" t="s">
        <v>1746</v>
      </c>
      <c r="H1461" t="s">
        <v>1798</v>
      </c>
      <c r="I1461" t="b">
        <v>0</v>
      </c>
      <c r="J1461" t="s">
        <v>1761</v>
      </c>
      <c r="K1461" t="s">
        <v>1863</v>
      </c>
      <c r="L1461" t="s">
        <v>1756</v>
      </c>
      <c r="M1461">
        <v>129</v>
      </c>
      <c r="N1461" t="b">
        <v>1</v>
      </c>
      <c r="O1461">
        <v>360</v>
      </c>
      <c r="P1461" t="s">
        <v>1819</v>
      </c>
      <c r="Q1461" t="s">
        <v>1753</v>
      </c>
      <c r="R1461" t="s">
        <v>1828</v>
      </c>
    </row>
    <row r="1462" spans="1:18" x14ac:dyDescent="0.25">
      <c r="A1462" t="s">
        <v>3970</v>
      </c>
      <c r="B1462" t="s">
        <v>2353</v>
      </c>
      <c r="C1462" t="s">
        <v>4</v>
      </c>
      <c r="D1462" t="s">
        <v>1224</v>
      </c>
      <c r="E1462" s="2">
        <v>43958</v>
      </c>
      <c r="F1462">
        <v>1653</v>
      </c>
      <c r="G1462" t="s">
        <v>1746</v>
      </c>
      <c r="H1462" t="s">
        <v>1798</v>
      </c>
      <c r="I1462" t="b">
        <v>0</v>
      </c>
      <c r="J1462" t="s">
        <v>1748</v>
      </c>
      <c r="K1462" t="s">
        <v>1793</v>
      </c>
      <c r="L1462" t="s">
        <v>1750</v>
      </c>
      <c r="M1462">
        <v>129</v>
      </c>
      <c r="N1462" t="b">
        <v>1</v>
      </c>
      <c r="O1462">
        <v>197</v>
      </c>
      <c r="P1462" t="s">
        <v>1752</v>
      </c>
      <c r="Q1462" t="s">
        <v>1753</v>
      </c>
    </row>
    <row r="1463" spans="1:18" x14ac:dyDescent="0.25">
      <c r="A1463" t="s">
        <v>1494</v>
      </c>
      <c r="B1463" t="s">
        <v>1876</v>
      </c>
      <c r="C1463" t="s">
        <v>4</v>
      </c>
      <c r="D1463" t="s">
        <v>1495</v>
      </c>
      <c r="E1463" s="2">
        <v>43494</v>
      </c>
      <c r="F1463">
        <v>2117</v>
      </c>
      <c r="G1463" t="s">
        <v>1746</v>
      </c>
      <c r="H1463" t="s">
        <v>1747</v>
      </c>
      <c r="I1463" t="b">
        <v>1</v>
      </c>
      <c r="J1463" t="s">
        <v>1748</v>
      </c>
      <c r="K1463" t="s">
        <v>1880</v>
      </c>
      <c r="L1463" t="s">
        <v>1750</v>
      </c>
      <c r="M1463">
        <v>128</v>
      </c>
      <c r="N1463" t="b">
        <v>1</v>
      </c>
      <c r="O1463">
        <v>69</v>
      </c>
      <c r="P1463" t="s">
        <v>1752</v>
      </c>
      <c r="Q1463" t="s">
        <v>1753</v>
      </c>
      <c r="R1463" t="s">
        <v>1759</v>
      </c>
    </row>
    <row r="1464" spans="1:18" x14ac:dyDescent="0.25">
      <c r="A1464" t="s">
        <v>3972</v>
      </c>
      <c r="B1464" t="s">
        <v>2150</v>
      </c>
      <c r="C1464" t="s">
        <v>4</v>
      </c>
      <c r="D1464" t="s">
        <v>3971</v>
      </c>
      <c r="E1464" s="2">
        <v>43381</v>
      </c>
      <c r="F1464">
        <v>2230</v>
      </c>
      <c r="G1464" t="s">
        <v>1746</v>
      </c>
      <c r="H1464" t="s">
        <v>1805</v>
      </c>
      <c r="I1464" t="b">
        <v>0</v>
      </c>
      <c r="J1464" t="s">
        <v>1748</v>
      </c>
      <c r="K1464" t="s">
        <v>1765</v>
      </c>
      <c r="L1464" t="s">
        <v>1750</v>
      </c>
      <c r="M1464">
        <v>128</v>
      </c>
      <c r="N1464" t="b">
        <v>1</v>
      </c>
      <c r="O1464">
        <v>84</v>
      </c>
      <c r="P1464" t="s">
        <v>1752</v>
      </c>
      <c r="Q1464" t="s">
        <v>1753</v>
      </c>
    </row>
    <row r="1465" spans="1:18" x14ac:dyDescent="0.25">
      <c r="A1465" t="s">
        <v>3974</v>
      </c>
      <c r="B1465" t="s">
        <v>1902</v>
      </c>
      <c r="C1465" t="s">
        <v>4</v>
      </c>
      <c r="D1465" t="s">
        <v>3973</v>
      </c>
      <c r="E1465" s="2">
        <v>41887</v>
      </c>
      <c r="F1465">
        <v>3724</v>
      </c>
      <c r="G1465" t="s">
        <v>1746</v>
      </c>
      <c r="H1465" t="s">
        <v>1798</v>
      </c>
      <c r="I1465" t="b">
        <v>1</v>
      </c>
      <c r="J1465" t="s">
        <v>1748</v>
      </c>
      <c r="K1465" t="s">
        <v>1776</v>
      </c>
      <c r="L1465" t="s">
        <v>1750</v>
      </c>
      <c r="M1465">
        <v>128</v>
      </c>
      <c r="N1465" t="b">
        <v>0</v>
      </c>
      <c r="O1465">
        <v>60</v>
      </c>
      <c r="P1465" t="s">
        <v>1752</v>
      </c>
      <c r="Q1465" t="s">
        <v>1753</v>
      </c>
    </row>
    <row r="1466" spans="1:18" x14ac:dyDescent="0.25">
      <c r="A1466" t="s">
        <v>3976</v>
      </c>
      <c r="B1466" t="s">
        <v>1907</v>
      </c>
      <c r="C1466" t="s">
        <v>6</v>
      </c>
      <c r="D1466" t="s">
        <v>3975</v>
      </c>
      <c r="E1466" s="2">
        <v>44021</v>
      </c>
      <c r="F1466">
        <v>1590</v>
      </c>
      <c r="G1466" t="s">
        <v>1746</v>
      </c>
      <c r="H1466" t="s">
        <v>1798</v>
      </c>
      <c r="I1466" t="b">
        <v>1</v>
      </c>
      <c r="J1466" t="s">
        <v>1748</v>
      </c>
      <c r="K1466" t="s">
        <v>1749</v>
      </c>
      <c r="L1466" t="s">
        <v>1817</v>
      </c>
      <c r="M1466">
        <v>128</v>
      </c>
      <c r="N1466" t="b">
        <v>0</v>
      </c>
      <c r="O1466">
        <v>92</v>
      </c>
      <c r="P1466" t="s">
        <v>1819</v>
      </c>
      <c r="Q1466" t="s">
        <v>1753</v>
      </c>
    </row>
    <row r="1467" spans="1:18" x14ac:dyDescent="0.25">
      <c r="A1467" t="s">
        <v>3978</v>
      </c>
      <c r="B1467" t="s">
        <v>2082</v>
      </c>
      <c r="C1467" t="s">
        <v>4</v>
      </c>
      <c r="D1467" t="s">
        <v>3977</v>
      </c>
      <c r="E1467" s="2">
        <v>44841</v>
      </c>
      <c r="F1467">
        <v>770</v>
      </c>
      <c r="G1467" t="s">
        <v>1833</v>
      </c>
      <c r="H1467" t="s">
        <v>2001</v>
      </c>
      <c r="I1467" t="b">
        <v>0</v>
      </c>
      <c r="J1467" t="s">
        <v>1748</v>
      </c>
      <c r="K1467" t="s">
        <v>1776</v>
      </c>
      <c r="L1467" t="s">
        <v>1750</v>
      </c>
      <c r="M1467">
        <v>128</v>
      </c>
      <c r="N1467" t="b">
        <v>1</v>
      </c>
      <c r="O1467">
        <v>128</v>
      </c>
      <c r="P1467" t="s">
        <v>1752</v>
      </c>
      <c r="Q1467" t="s">
        <v>1753</v>
      </c>
    </row>
    <row r="1468" spans="1:18" x14ac:dyDescent="0.25">
      <c r="A1468" t="s">
        <v>3979</v>
      </c>
      <c r="B1468" t="s">
        <v>1998</v>
      </c>
      <c r="C1468" t="s">
        <v>4</v>
      </c>
      <c r="D1468" t="s">
        <v>973</v>
      </c>
      <c r="E1468" s="2">
        <v>41960</v>
      </c>
      <c r="F1468">
        <v>3651</v>
      </c>
      <c r="G1468" t="s">
        <v>1746</v>
      </c>
      <c r="H1468" t="s">
        <v>1747</v>
      </c>
      <c r="I1468" t="b">
        <v>0</v>
      </c>
      <c r="J1468" t="s">
        <v>1761</v>
      </c>
      <c r="K1468" t="s">
        <v>1830</v>
      </c>
      <c r="L1468" t="s">
        <v>1817</v>
      </c>
      <c r="M1468">
        <v>128</v>
      </c>
      <c r="N1468" t="b">
        <v>0</v>
      </c>
      <c r="O1468">
        <v>296</v>
      </c>
      <c r="P1468" t="s">
        <v>1819</v>
      </c>
      <c r="Q1468" t="s">
        <v>1753</v>
      </c>
    </row>
    <row r="1469" spans="1:18" x14ac:dyDescent="0.25">
      <c r="A1469" t="s">
        <v>3981</v>
      </c>
      <c r="B1469" t="s">
        <v>2157</v>
      </c>
      <c r="C1469" t="s">
        <v>4</v>
      </c>
      <c r="D1469" t="s">
        <v>3980</v>
      </c>
      <c r="E1469" s="2">
        <v>45421</v>
      </c>
      <c r="F1469">
        <v>190</v>
      </c>
      <c r="G1469" t="s">
        <v>1746</v>
      </c>
      <c r="H1469" t="s">
        <v>1798</v>
      </c>
      <c r="I1469" t="b">
        <v>0</v>
      </c>
      <c r="J1469" t="s">
        <v>1761</v>
      </c>
      <c r="K1469" t="s">
        <v>1774</v>
      </c>
      <c r="L1469" t="s">
        <v>1817</v>
      </c>
      <c r="M1469">
        <v>127</v>
      </c>
      <c r="N1469" t="b">
        <v>1</v>
      </c>
      <c r="O1469">
        <v>213</v>
      </c>
      <c r="P1469" t="s">
        <v>1819</v>
      </c>
      <c r="Q1469" t="s">
        <v>1753</v>
      </c>
      <c r="R1469" t="s">
        <v>1759</v>
      </c>
    </row>
    <row r="1470" spans="1:18" x14ac:dyDescent="0.25">
      <c r="A1470" t="s">
        <v>3983</v>
      </c>
      <c r="B1470" t="s">
        <v>1803</v>
      </c>
      <c r="C1470" t="s">
        <v>572</v>
      </c>
      <c r="D1470" t="s">
        <v>3982</v>
      </c>
      <c r="E1470" s="2">
        <v>39674</v>
      </c>
      <c r="F1470">
        <v>5937</v>
      </c>
      <c r="G1470" t="s">
        <v>1746</v>
      </c>
      <c r="H1470" t="s">
        <v>1747</v>
      </c>
      <c r="I1470" t="b">
        <v>0</v>
      </c>
      <c r="J1470" t="s">
        <v>1761</v>
      </c>
      <c r="K1470" t="s">
        <v>1853</v>
      </c>
      <c r="L1470" t="s">
        <v>1750</v>
      </c>
      <c r="M1470">
        <v>127</v>
      </c>
      <c r="N1470" t="b">
        <v>0</v>
      </c>
      <c r="O1470">
        <v>254</v>
      </c>
      <c r="P1470" t="s">
        <v>1752</v>
      </c>
      <c r="Q1470" t="s">
        <v>1753</v>
      </c>
    </row>
    <row r="1471" spans="1:18" x14ac:dyDescent="0.25">
      <c r="A1471" t="s">
        <v>3985</v>
      </c>
      <c r="B1471" t="s">
        <v>2277</v>
      </c>
      <c r="C1471" t="s">
        <v>4</v>
      </c>
      <c r="D1471" t="s">
        <v>3984</v>
      </c>
      <c r="E1471" s="2">
        <v>44503</v>
      </c>
      <c r="F1471">
        <v>1108</v>
      </c>
      <c r="G1471" t="s">
        <v>1746</v>
      </c>
      <c r="H1471" t="s">
        <v>1747</v>
      </c>
      <c r="I1471" t="b">
        <v>1</v>
      </c>
      <c r="J1471" t="s">
        <v>1748</v>
      </c>
      <c r="K1471" t="s">
        <v>1770</v>
      </c>
      <c r="L1471" t="s">
        <v>1756</v>
      </c>
      <c r="M1471">
        <v>127</v>
      </c>
      <c r="N1471" t="b">
        <v>1</v>
      </c>
      <c r="O1471">
        <v>134</v>
      </c>
      <c r="P1471" t="s">
        <v>1752</v>
      </c>
      <c r="Q1471" t="s">
        <v>1753</v>
      </c>
      <c r="R1471" t="s">
        <v>1759</v>
      </c>
    </row>
    <row r="1472" spans="1:18" x14ac:dyDescent="0.25">
      <c r="A1472" t="s">
        <v>3986</v>
      </c>
      <c r="B1472" t="s">
        <v>2997</v>
      </c>
      <c r="C1472" t="s">
        <v>6</v>
      </c>
      <c r="D1472" t="s">
        <v>832</v>
      </c>
      <c r="E1472" s="2">
        <v>43984</v>
      </c>
      <c r="F1472">
        <v>1627</v>
      </c>
      <c r="G1472" t="s">
        <v>1746</v>
      </c>
      <c r="H1472" t="s">
        <v>1798</v>
      </c>
      <c r="I1472" t="b">
        <v>1</v>
      </c>
      <c r="J1472" t="s">
        <v>1761</v>
      </c>
      <c r="K1472" t="s">
        <v>1824</v>
      </c>
      <c r="L1472" t="s">
        <v>1817</v>
      </c>
      <c r="M1472">
        <v>127</v>
      </c>
      <c r="N1472" t="b">
        <v>0</v>
      </c>
      <c r="O1472">
        <v>1041</v>
      </c>
      <c r="P1472" t="s">
        <v>1819</v>
      </c>
      <c r="Q1472" t="s">
        <v>1753</v>
      </c>
      <c r="R1472" t="s">
        <v>1759</v>
      </c>
    </row>
    <row r="1473" spans="1:18" x14ac:dyDescent="0.25">
      <c r="A1473" t="s">
        <v>3987</v>
      </c>
      <c r="B1473" t="s">
        <v>2197</v>
      </c>
      <c r="C1473" t="s">
        <v>4</v>
      </c>
      <c r="D1473" t="s">
        <v>680</v>
      </c>
      <c r="E1473" s="2">
        <v>40414</v>
      </c>
      <c r="F1473">
        <v>5197</v>
      </c>
      <c r="G1473" t="s">
        <v>1746</v>
      </c>
      <c r="H1473" t="s">
        <v>1747</v>
      </c>
      <c r="I1473" t="b">
        <v>1</v>
      </c>
      <c r="J1473" t="s">
        <v>1748</v>
      </c>
      <c r="K1473" t="s">
        <v>1757</v>
      </c>
      <c r="L1473" t="s">
        <v>1750</v>
      </c>
      <c r="M1473">
        <v>127</v>
      </c>
      <c r="N1473" t="b">
        <v>0</v>
      </c>
      <c r="O1473">
        <v>99</v>
      </c>
      <c r="P1473" t="s">
        <v>1752</v>
      </c>
      <c r="Q1473" t="s">
        <v>1753</v>
      </c>
    </row>
    <row r="1474" spans="1:18" x14ac:dyDescent="0.25">
      <c r="A1474" t="s">
        <v>3989</v>
      </c>
      <c r="B1474" t="s">
        <v>2032</v>
      </c>
      <c r="C1474" t="s">
        <v>6</v>
      </c>
      <c r="D1474" t="s">
        <v>3988</v>
      </c>
      <c r="E1474" s="2">
        <v>44419</v>
      </c>
      <c r="F1474">
        <v>1192</v>
      </c>
      <c r="G1474" t="s">
        <v>1746</v>
      </c>
      <c r="H1474" t="s">
        <v>1747</v>
      </c>
      <c r="I1474" t="b">
        <v>0</v>
      </c>
      <c r="J1474" t="s">
        <v>1761</v>
      </c>
      <c r="K1474" t="s">
        <v>1776</v>
      </c>
      <c r="L1474" t="s">
        <v>1750</v>
      </c>
      <c r="M1474">
        <v>127</v>
      </c>
      <c r="N1474" t="b">
        <v>1</v>
      </c>
      <c r="O1474">
        <v>114</v>
      </c>
      <c r="P1474" t="s">
        <v>1752</v>
      </c>
      <c r="Q1474" t="s">
        <v>1753</v>
      </c>
      <c r="R1474" t="s">
        <v>2028</v>
      </c>
    </row>
    <row r="1475" spans="1:18" x14ac:dyDescent="0.25">
      <c r="A1475" t="s">
        <v>3990</v>
      </c>
      <c r="B1475" t="s">
        <v>1810</v>
      </c>
      <c r="C1475" t="s">
        <v>6</v>
      </c>
      <c r="D1475" t="s">
        <v>1159</v>
      </c>
      <c r="E1475" s="2">
        <v>42643</v>
      </c>
      <c r="F1475">
        <v>2968</v>
      </c>
      <c r="G1475" t="s">
        <v>1746</v>
      </c>
      <c r="H1475" t="s">
        <v>1747</v>
      </c>
      <c r="I1475" t="b">
        <v>0</v>
      </c>
      <c r="J1475" t="s">
        <v>1761</v>
      </c>
      <c r="K1475" t="s">
        <v>1822</v>
      </c>
      <c r="L1475" t="s">
        <v>1750</v>
      </c>
      <c r="M1475">
        <v>126</v>
      </c>
      <c r="N1475" t="b">
        <v>0</v>
      </c>
      <c r="O1475">
        <v>15</v>
      </c>
      <c r="P1475" t="s">
        <v>1819</v>
      </c>
      <c r="Q1475" t="s">
        <v>1753</v>
      </c>
    </row>
    <row r="1476" spans="1:18" x14ac:dyDescent="0.25">
      <c r="A1476" t="s">
        <v>3992</v>
      </c>
      <c r="B1476" t="s">
        <v>1803</v>
      </c>
      <c r="C1476" t="s">
        <v>572</v>
      </c>
      <c r="D1476" t="s">
        <v>3991</v>
      </c>
      <c r="E1476" s="2">
        <v>38803</v>
      </c>
      <c r="F1476">
        <v>6808</v>
      </c>
      <c r="G1476" t="s">
        <v>1746</v>
      </c>
      <c r="H1476" t="s">
        <v>1798</v>
      </c>
      <c r="I1476" t="b">
        <v>0</v>
      </c>
      <c r="J1476" t="s">
        <v>1761</v>
      </c>
      <c r="K1476" t="s">
        <v>1857</v>
      </c>
      <c r="L1476" t="s">
        <v>1750</v>
      </c>
      <c r="M1476">
        <v>126</v>
      </c>
      <c r="N1476" t="b">
        <v>1</v>
      </c>
      <c r="O1476">
        <v>82</v>
      </c>
      <c r="P1476" t="s">
        <v>1752</v>
      </c>
      <c r="Q1476" t="s">
        <v>1753</v>
      </c>
      <c r="R1476" t="s">
        <v>1828</v>
      </c>
    </row>
    <row r="1477" spans="1:18" x14ac:dyDescent="0.25">
      <c r="A1477" t="s">
        <v>3993</v>
      </c>
      <c r="B1477" t="s">
        <v>2456</v>
      </c>
      <c r="C1477" t="s">
        <v>6</v>
      </c>
      <c r="D1477" t="s">
        <v>31</v>
      </c>
      <c r="E1477" s="2">
        <v>42759</v>
      </c>
      <c r="F1477">
        <v>2852</v>
      </c>
      <c r="G1477" t="s">
        <v>1746</v>
      </c>
      <c r="H1477" t="s">
        <v>1747</v>
      </c>
      <c r="I1477" t="b">
        <v>0</v>
      </c>
      <c r="J1477" t="s">
        <v>1748</v>
      </c>
      <c r="K1477" t="s">
        <v>1755</v>
      </c>
      <c r="L1477" t="s">
        <v>1817</v>
      </c>
      <c r="M1477">
        <v>126</v>
      </c>
      <c r="N1477" t="b">
        <v>1</v>
      </c>
      <c r="O1477">
        <v>3199</v>
      </c>
      <c r="P1477" t="s">
        <v>1819</v>
      </c>
      <c r="Q1477" t="s">
        <v>1753</v>
      </c>
      <c r="R1477" t="s">
        <v>1759</v>
      </c>
    </row>
    <row r="1478" spans="1:18" x14ac:dyDescent="0.25">
      <c r="A1478" t="s">
        <v>3995</v>
      </c>
      <c r="B1478" t="s">
        <v>2177</v>
      </c>
      <c r="C1478" t="s">
        <v>4</v>
      </c>
      <c r="D1478" t="s">
        <v>3994</v>
      </c>
      <c r="E1478" s="2">
        <v>44168</v>
      </c>
      <c r="F1478">
        <v>1443</v>
      </c>
      <c r="G1478" t="s">
        <v>1746</v>
      </c>
      <c r="H1478" t="s">
        <v>1805</v>
      </c>
      <c r="I1478" t="b">
        <v>0</v>
      </c>
      <c r="J1478" t="s">
        <v>1761</v>
      </c>
      <c r="K1478" t="s">
        <v>1863</v>
      </c>
      <c r="L1478" t="s">
        <v>1756</v>
      </c>
      <c r="M1478">
        <v>126</v>
      </c>
      <c r="N1478" t="b">
        <v>1</v>
      </c>
      <c r="O1478">
        <v>238</v>
      </c>
      <c r="P1478" t="s">
        <v>1819</v>
      </c>
      <c r="Q1478" t="s">
        <v>1753</v>
      </c>
      <c r="R1478" t="s">
        <v>1759</v>
      </c>
    </row>
    <row r="1479" spans="1:18" x14ac:dyDescent="0.25">
      <c r="A1479" t="s">
        <v>3996</v>
      </c>
      <c r="B1479" t="s">
        <v>2353</v>
      </c>
      <c r="C1479" t="s">
        <v>6</v>
      </c>
      <c r="D1479" t="s">
        <v>1487</v>
      </c>
      <c r="E1479" s="2">
        <v>44847</v>
      </c>
      <c r="F1479">
        <v>764</v>
      </c>
      <c r="G1479" t="s">
        <v>1746</v>
      </c>
      <c r="H1479" t="s">
        <v>1798</v>
      </c>
      <c r="I1479" t="b">
        <v>0</v>
      </c>
      <c r="J1479" t="s">
        <v>1761</v>
      </c>
      <c r="K1479" t="s">
        <v>1774</v>
      </c>
      <c r="L1479" t="s">
        <v>1817</v>
      </c>
      <c r="M1479">
        <v>126</v>
      </c>
      <c r="N1479" t="b">
        <v>1</v>
      </c>
      <c r="O1479">
        <v>487</v>
      </c>
      <c r="P1479" t="s">
        <v>1819</v>
      </c>
      <c r="Q1479" t="s">
        <v>1753</v>
      </c>
      <c r="R1479" t="s">
        <v>1828</v>
      </c>
    </row>
    <row r="1480" spans="1:18" x14ac:dyDescent="0.25">
      <c r="A1480" t="s">
        <v>3997</v>
      </c>
      <c r="B1480" t="s">
        <v>2810</v>
      </c>
      <c r="C1480" t="s">
        <v>4</v>
      </c>
      <c r="D1480" t="s">
        <v>1316</v>
      </c>
      <c r="E1480" s="2">
        <v>44173</v>
      </c>
      <c r="F1480">
        <v>1438</v>
      </c>
      <c r="G1480" t="s">
        <v>1833</v>
      </c>
      <c r="H1480" t="s">
        <v>1798</v>
      </c>
      <c r="I1480" t="b">
        <v>0</v>
      </c>
      <c r="J1480" t="s">
        <v>1748</v>
      </c>
      <c r="K1480" t="s">
        <v>1776</v>
      </c>
      <c r="L1480" t="s">
        <v>1750</v>
      </c>
      <c r="M1480">
        <v>125</v>
      </c>
      <c r="N1480" t="b">
        <v>0</v>
      </c>
      <c r="O1480">
        <v>14545</v>
      </c>
      <c r="P1480" t="s">
        <v>1752</v>
      </c>
      <c r="Q1480" t="s">
        <v>1753</v>
      </c>
      <c r="R1480" t="s">
        <v>1759</v>
      </c>
    </row>
    <row r="1481" spans="1:18" x14ac:dyDescent="0.25">
      <c r="A1481" t="s">
        <v>3999</v>
      </c>
      <c r="B1481" t="s">
        <v>2620</v>
      </c>
      <c r="C1481" t="s">
        <v>4</v>
      </c>
      <c r="D1481" t="s">
        <v>3998</v>
      </c>
      <c r="E1481" s="2">
        <v>43997</v>
      </c>
      <c r="F1481">
        <v>1614</v>
      </c>
      <c r="G1481" t="s">
        <v>1746</v>
      </c>
      <c r="H1481" t="s">
        <v>1798</v>
      </c>
      <c r="I1481" t="b">
        <v>1</v>
      </c>
      <c r="J1481" t="s">
        <v>1761</v>
      </c>
      <c r="K1481" t="s">
        <v>1770</v>
      </c>
      <c r="L1481" t="s">
        <v>1750</v>
      </c>
      <c r="M1481">
        <v>125</v>
      </c>
      <c r="N1481" t="b">
        <v>0</v>
      </c>
      <c r="O1481">
        <v>62</v>
      </c>
      <c r="P1481" t="s">
        <v>1752</v>
      </c>
      <c r="Q1481" t="s">
        <v>1753</v>
      </c>
    </row>
    <row r="1482" spans="1:18" x14ac:dyDescent="0.25">
      <c r="A1482" t="s">
        <v>4001</v>
      </c>
      <c r="B1482" t="s">
        <v>2177</v>
      </c>
      <c r="C1482" t="s">
        <v>4</v>
      </c>
      <c r="D1482" t="s">
        <v>4000</v>
      </c>
      <c r="E1482" s="2">
        <v>42677</v>
      </c>
      <c r="F1482">
        <v>2934</v>
      </c>
      <c r="G1482" t="s">
        <v>1746</v>
      </c>
      <c r="H1482" t="s">
        <v>1747</v>
      </c>
      <c r="I1482" t="b">
        <v>0</v>
      </c>
      <c r="J1482" t="s">
        <v>1761</v>
      </c>
      <c r="K1482" t="s">
        <v>1787</v>
      </c>
      <c r="L1482" t="s">
        <v>1756</v>
      </c>
      <c r="M1482">
        <v>125</v>
      </c>
      <c r="N1482" t="b">
        <v>1</v>
      </c>
      <c r="O1482">
        <v>300</v>
      </c>
      <c r="P1482" t="s">
        <v>1752</v>
      </c>
      <c r="Q1482" t="s">
        <v>1753</v>
      </c>
    </row>
    <row r="1483" spans="1:18" x14ac:dyDescent="0.25">
      <c r="A1483" t="s">
        <v>796</v>
      </c>
      <c r="B1483" t="s">
        <v>1876</v>
      </c>
      <c r="C1483" t="s">
        <v>4</v>
      </c>
      <c r="D1483" t="s">
        <v>797</v>
      </c>
      <c r="E1483" s="2">
        <v>44210</v>
      </c>
      <c r="F1483">
        <v>1401</v>
      </c>
      <c r="G1483" t="s">
        <v>1746</v>
      </c>
      <c r="H1483" t="s">
        <v>1747</v>
      </c>
      <c r="I1483" t="b">
        <v>0</v>
      </c>
      <c r="J1483" t="s">
        <v>1761</v>
      </c>
      <c r="K1483" t="s">
        <v>1863</v>
      </c>
      <c r="L1483" t="s">
        <v>1817</v>
      </c>
      <c r="M1483">
        <v>125</v>
      </c>
      <c r="N1483" t="b">
        <v>1</v>
      </c>
      <c r="O1483">
        <v>1472</v>
      </c>
      <c r="P1483" t="s">
        <v>1819</v>
      </c>
      <c r="Q1483" t="s">
        <v>1753</v>
      </c>
      <c r="R1483" t="s">
        <v>1759</v>
      </c>
    </row>
    <row r="1484" spans="1:18" x14ac:dyDescent="0.25">
      <c r="A1484" t="s">
        <v>4003</v>
      </c>
      <c r="B1484" t="s">
        <v>1840</v>
      </c>
      <c r="C1484" t="s">
        <v>4</v>
      </c>
      <c r="D1484" t="s">
        <v>4002</v>
      </c>
      <c r="E1484" s="2">
        <v>41185</v>
      </c>
      <c r="F1484">
        <v>4426</v>
      </c>
      <c r="G1484" t="s">
        <v>1746</v>
      </c>
      <c r="H1484" t="s">
        <v>1747</v>
      </c>
      <c r="I1484" t="b">
        <v>1</v>
      </c>
      <c r="J1484" t="s">
        <v>1761</v>
      </c>
      <c r="K1484" t="s">
        <v>1755</v>
      </c>
      <c r="L1484" t="s">
        <v>1817</v>
      </c>
      <c r="M1484">
        <v>125</v>
      </c>
      <c r="N1484" t="b">
        <v>0</v>
      </c>
      <c r="O1484">
        <v>758</v>
      </c>
      <c r="P1484" t="s">
        <v>1819</v>
      </c>
      <c r="Q1484" t="s">
        <v>1753</v>
      </c>
      <c r="R1484" t="s">
        <v>1759</v>
      </c>
    </row>
    <row r="1485" spans="1:18" x14ac:dyDescent="0.25">
      <c r="A1485" t="s">
        <v>4004</v>
      </c>
      <c r="B1485" t="s">
        <v>2836</v>
      </c>
      <c r="C1485" t="s">
        <v>4</v>
      </c>
      <c r="D1485" t="s">
        <v>556</v>
      </c>
      <c r="E1485" s="2">
        <v>45070</v>
      </c>
      <c r="F1485">
        <v>541</v>
      </c>
      <c r="G1485" t="s">
        <v>1746</v>
      </c>
      <c r="H1485" t="s">
        <v>1798</v>
      </c>
      <c r="I1485" t="b">
        <v>0</v>
      </c>
      <c r="J1485" t="s">
        <v>1748</v>
      </c>
      <c r="K1485" t="s">
        <v>1863</v>
      </c>
      <c r="L1485" t="s">
        <v>1817</v>
      </c>
      <c r="M1485">
        <v>125</v>
      </c>
      <c r="N1485" t="b">
        <v>1</v>
      </c>
      <c r="O1485">
        <v>460</v>
      </c>
      <c r="P1485" t="s">
        <v>1819</v>
      </c>
      <c r="Q1485" t="s">
        <v>1753</v>
      </c>
      <c r="R1485" t="s">
        <v>1759</v>
      </c>
    </row>
    <row r="1486" spans="1:18" x14ac:dyDescent="0.25">
      <c r="A1486" t="s">
        <v>4005</v>
      </c>
      <c r="B1486" t="s">
        <v>2353</v>
      </c>
      <c r="C1486" t="s">
        <v>4</v>
      </c>
      <c r="D1486" t="s">
        <v>994</v>
      </c>
      <c r="E1486" s="2">
        <v>43784</v>
      </c>
      <c r="F1486">
        <v>1827</v>
      </c>
      <c r="G1486" t="s">
        <v>1746</v>
      </c>
      <c r="H1486" t="s">
        <v>1798</v>
      </c>
      <c r="I1486" t="b">
        <v>1</v>
      </c>
      <c r="J1486" t="s">
        <v>1748</v>
      </c>
      <c r="K1486" t="s">
        <v>2042</v>
      </c>
      <c r="L1486" t="s">
        <v>1817</v>
      </c>
      <c r="M1486">
        <v>125</v>
      </c>
      <c r="N1486" t="b">
        <v>0</v>
      </c>
      <c r="O1486">
        <v>486</v>
      </c>
      <c r="P1486" t="s">
        <v>1819</v>
      </c>
      <c r="Q1486" t="s">
        <v>1753</v>
      </c>
      <c r="R1486" t="s">
        <v>1772</v>
      </c>
    </row>
    <row r="1487" spans="1:18" x14ac:dyDescent="0.25">
      <c r="A1487" t="s">
        <v>4006</v>
      </c>
      <c r="B1487" t="s">
        <v>2269</v>
      </c>
      <c r="C1487" t="s">
        <v>4</v>
      </c>
      <c r="D1487" t="s">
        <v>1476</v>
      </c>
      <c r="E1487" s="2">
        <v>42947</v>
      </c>
      <c r="F1487">
        <v>2664</v>
      </c>
      <c r="G1487" t="s">
        <v>1746</v>
      </c>
      <c r="H1487" t="s">
        <v>1798</v>
      </c>
      <c r="I1487" t="b">
        <v>0</v>
      </c>
      <c r="J1487" t="s">
        <v>1761</v>
      </c>
      <c r="K1487" t="s">
        <v>1868</v>
      </c>
      <c r="L1487" t="s">
        <v>1756</v>
      </c>
      <c r="M1487">
        <v>125</v>
      </c>
      <c r="N1487" t="b">
        <v>1</v>
      </c>
      <c r="O1487">
        <v>304</v>
      </c>
      <c r="P1487" t="s">
        <v>1819</v>
      </c>
      <c r="Q1487" t="s">
        <v>1753</v>
      </c>
      <c r="R1487" t="s">
        <v>1772</v>
      </c>
    </row>
    <row r="1488" spans="1:18" x14ac:dyDescent="0.25">
      <c r="A1488" t="s">
        <v>4007</v>
      </c>
      <c r="B1488" t="s">
        <v>2997</v>
      </c>
      <c r="C1488" t="s">
        <v>6</v>
      </c>
      <c r="D1488" t="s">
        <v>840</v>
      </c>
      <c r="E1488" s="2">
        <v>43992</v>
      </c>
      <c r="F1488">
        <v>1619</v>
      </c>
      <c r="G1488" t="s">
        <v>1746</v>
      </c>
      <c r="H1488" t="s">
        <v>1798</v>
      </c>
      <c r="I1488" t="b">
        <v>0</v>
      </c>
      <c r="J1488" t="s">
        <v>1761</v>
      </c>
      <c r="K1488" t="s">
        <v>1774</v>
      </c>
      <c r="L1488" t="s">
        <v>1750</v>
      </c>
      <c r="M1488">
        <v>125</v>
      </c>
      <c r="N1488" t="b">
        <v>0</v>
      </c>
      <c r="O1488">
        <v>48</v>
      </c>
      <c r="P1488" t="s">
        <v>1819</v>
      </c>
      <c r="Q1488" t="s">
        <v>1753</v>
      </c>
    </row>
    <row r="1489" spans="1:18" x14ac:dyDescent="0.25">
      <c r="A1489" t="s">
        <v>626</v>
      </c>
      <c r="B1489" t="s">
        <v>2532</v>
      </c>
      <c r="C1489" t="s">
        <v>4</v>
      </c>
      <c r="D1489" t="s">
        <v>627</v>
      </c>
      <c r="E1489" s="2">
        <v>39269</v>
      </c>
      <c r="F1489">
        <v>6342</v>
      </c>
      <c r="G1489" t="s">
        <v>1746</v>
      </c>
      <c r="H1489" t="s">
        <v>1798</v>
      </c>
      <c r="I1489" t="b">
        <v>1</v>
      </c>
      <c r="J1489" t="s">
        <v>1761</v>
      </c>
      <c r="K1489" t="s">
        <v>1880</v>
      </c>
      <c r="L1489" t="s">
        <v>1750</v>
      </c>
      <c r="M1489">
        <v>125</v>
      </c>
      <c r="N1489" t="b">
        <v>0</v>
      </c>
      <c r="O1489">
        <v>40</v>
      </c>
      <c r="P1489" t="s">
        <v>1752</v>
      </c>
      <c r="Q1489" t="s">
        <v>1753</v>
      </c>
    </row>
    <row r="1490" spans="1:18" x14ac:dyDescent="0.25">
      <c r="A1490" t="s">
        <v>4008</v>
      </c>
      <c r="B1490" t="s">
        <v>1876</v>
      </c>
      <c r="C1490" t="s">
        <v>4</v>
      </c>
      <c r="D1490" t="s">
        <v>288</v>
      </c>
      <c r="E1490" s="2">
        <v>44685</v>
      </c>
      <c r="F1490">
        <v>926</v>
      </c>
      <c r="G1490" t="s">
        <v>1746</v>
      </c>
      <c r="H1490" t="s">
        <v>1747</v>
      </c>
      <c r="I1490" t="b">
        <v>0</v>
      </c>
      <c r="J1490" t="s">
        <v>1748</v>
      </c>
      <c r="K1490" t="s">
        <v>1757</v>
      </c>
      <c r="L1490" t="s">
        <v>1750</v>
      </c>
      <c r="M1490">
        <v>124</v>
      </c>
      <c r="N1490" t="b">
        <v>0</v>
      </c>
      <c r="O1490">
        <v>26</v>
      </c>
      <c r="P1490" t="s">
        <v>1752</v>
      </c>
      <c r="Q1490" t="s">
        <v>1753</v>
      </c>
      <c r="R1490" t="s">
        <v>1759</v>
      </c>
    </row>
    <row r="1491" spans="1:18" x14ac:dyDescent="0.25">
      <c r="A1491" t="s">
        <v>4010</v>
      </c>
      <c r="B1491" t="s">
        <v>2854</v>
      </c>
      <c r="C1491" t="s">
        <v>6</v>
      </c>
      <c r="D1491" t="s">
        <v>4009</v>
      </c>
      <c r="E1491" s="2">
        <v>44007</v>
      </c>
      <c r="F1491">
        <v>1604</v>
      </c>
      <c r="G1491" t="s">
        <v>1746</v>
      </c>
      <c r="H1491" t="s">
        <v>1798</v>
      </c>
      <c r="I1491" t="b">
        <v>1</v>
      </c>
      <c r="J1491" t="s">
        <v>1748</v>
      </c>
      <c r="K1491" t="s">
        <v>1824</v>
      </c>
      <c r="L1491" t="s">
        <v>1750</v>
      </c>
      <c r="M1491">
        <v>124</v>
      </c>
      <c r="N1491" t="b">
        <v>1</v>
      </c>
      <c r="O1491">
        <v>130</v>
      </c>
      <c r="P1491" t="s">
        <v>1752</v>
      </c>
      <c r="Q1491" t="s">
        <v>1753</v>
      </c>
      <c r="R1491" t="s">
        <v>1828</v>
      </c>
    </row>
    <row r="1492" spans="1:18" x14ac:dyDescent="0.25">
      <c r="A1492" t="s">
        <v>4012</v>
      </c>
      <c r="B1492" t="s">
        <v>1803</v>
      </c>
      <c r="C1492" t="s">
        <v>572</v>
      </c>
      <c r="D1492" t="s">
        <v>4011</v>
      </c>
      <c r="E1492" s="2">
        <v>37445</v>
      </c>
      <c r="F1492">
        <v>8166</v>
      </c>
      <c r="G1492" t="s">
        <v>1746</v>
      </c>
      <c r="H1492" t="s">
        <v>1798</v>
      </c>
      <c r="I1492" t="b">
        <v>0</v>
      </c>
      <c r="J1492" t="s">
        <v>1761</v>
      </c>
      <c r="K1492" t="s">
        <v>1912</v>
      </c>
      <c r="L1492" t="s">
        <v>1750</v>
      </c>
      <c r="M1492">
        <v>124</v>
      </c>
      <c r="N1492" t="b">
        <v>0</v>
      </c>
      <c r="O1492">
        <v>13</v>
      </c>
      <c r="P1492" t="s">
        <v>1752</v>
      </c>
      <c r="Q1492" t="s">
        <v>1753</v>
      </c>
      <c r="R1492" t="s">
        <v>1828</v>
      </c>
    </row>
    <row r="1493" spans="1:18" x14ac:dyDescent="0.25">
      <c r="A1493" t="s">
        <v>4013</v>
      </c>
      <c r="B1493" t="s">
        <v>3874</v>
      </c>
      <c r="C1493" t="s">
        <v>4</v>
      </c>
      <c r="D1493" t="s">
        <v>698</v>
      </c>
      <c r="E1493" s="2">
        <v>44658</v>
      </c>
      <c r="F1493">
        <v>953</v>
      </c>
      <c r="G1493" t="s">
        <v>1746</v>
      </c>
      <c r="H1493" t="s">
        <v>1747</v>
      </c>
      <c r="I1493" t="b">
        <v>0</v>
      </c>
      <c r="J1493" t="s">
        <v>1761</v>
      </c>
      <c r="K1493" t="s">
        <v>1770</v>
      </c>
      <c r="L1493" t="s">
        <v>1750</v>
      </c>
      <c r="M1493">
        <v>123</v>
      </c>
      <c r="N1493" t="b">
        <v>1</v>
      </c>
      <c r="O1493">
        <v>53</v>
      </c>
      <c r="P1493" t="s">
        <v>1752</v>
      </c>
      <c r="Q1493" t="s">
        <v>1753</v>
      </c>
      <c r="R1493" t="s">
        <v>1759</v>
      </c>
    </row>
    <row r="1494" spans="1:18" x14ac:dyDescent="0.25">
      <c r="A1494" t="s">
        <v>4014</v>
      </c>
      <c r="B1494" t="s">
        <v>1810</v>
      </c>
      <c r="C1494" t="s">
        <v>4</v>
      </c>
      <c r="D1494" t="s">
        <v>503</v>
      </c>
      <c r="E1494" s="2">
        <v>43476</v>
      </c>
      <c r="F1494">
        <v>2135</v>
      </c>
      <c r="G1494" t="s">
        <v>1746</v>
      </c>
      <c r="H1494" t="s">
        <v>1747</v>
      </c>
      <c r="I1494" t="b">
        <v>1</v>
      </c>
      <c r="J1494" t="s">
        <v>1761</v>
      </c>
      <c r="K1494" t="s">
        <v>1985</v>
      </c>
      <c r="L1494" t="s">
        <v>1817</v>
      </c>
      <c r="M1494">
        <v>121</v>
      </c>
      <c r="N1494" t="b">
        <v>0</v>
      </c>
      <c r="O1494">
        <v>96</v>
      </c>
      <c r="P1494" t="s">
        <v>1819</v>
      </c>
      <c r="Q1494" t="s">
        <v>1753</v>
      </c>
    </row>
    <row r="1495" spans="1:18" x14ac:dyDescent="0.25">
      <c r="A1495" t="s">
        <v>4016</v>
      </c>
      <c r="B1495" t="s">
        <v>2085</v>
      </c>
      <c r="C1495" t="s">
        <v>4</v>
      </c>
      <c r="D1495" t="s">
        <v>4015</v>
      </c>
      <c r="E1495" s="2">
        <v>43154</v>
      </c>
      <c r="F1495">
        <v>2457</v>
      </c>
      <c r="G1495" t="s">
        <v>1746</v>
      </c>
      <c r="H1495" t="s">
        <v>1747</v>
      </c>
      <c r="I1495" t="b">
        <v>1</v>
      </c>
      <c r="J1495" t="s">
        <v>1761</v>
      </c>
      <c r="K1495" t="s">
        <v>1776</v>
      </c>
      <c r="L1495" t="s">
        <v>1756</v>
      </c>
      <c r="M1495">
        <v>121</v>
      </c>
      <c r="N1495" t="b">
        <v>0</v>
      </c>
      <c r="O1495">
        <v>394</v>
      </c>
      <c r="P1495" t="s">
        <v>1752</v>
      </c>
      <c r="Q1495" t="s">
        <v>1753</v>
      </c>
      <c r="R1495" t="s">
        <v>1759</v>
      </c>
    </row>
    <row r="1496" spans="1:18" x14ac:dyDescent="0.25">
      <c r="A1496" t="s">
        <v>4017</v>
      </c>
      <c r="B1496" t="s">
        <v>1876</v>
      </c>
      <c r="C1496" t="s">
        <v>4</v>
      </c>
      <c r="D1496" t="s">
        <v>771</v>
      </c>
      <c r="E1496" s="2">
        <v>43802</v>
      </c>
      <c r="F1496">
        <v>1809</v>
      </c>
      <c r="G1496" t="s">
        <v>1746</v>
      </c>
      <c r="H1496" t="s">
        <v>1747</v>
      </c>
      <c r="I1496" t="b">
        <v>0</v>
      </c>
      <c r="J1496" t="s">
        <v>1748</v>
      </c>
      <c r="K1496" t="s">
        <v>1917</v>
      </c>
      <c r="L1496" t="s">
        <v>1817</v>
      </c>
      <c r="M1496">
        <v>121</v>
      </c>
      <c r="N1496" t="b">
        <v>1</v>
      </c>
      <c r="O1496">
        <v>404</v>
      </c>
      <c r="P1496" t="s">
        <v>1819</v>
      </c>
      <c r="Q1496" t="s">
        <v>1753</v>
      </c>
      <c r="R1496" t="s">
        <v>1772</v>
      </c>
    </row>
    <row r="1497" spans="1:18" x14ac:dyDescent="0.25">
      <c r="A1497" t="s">
        <v>4019</v>
      </c>
      <c r="B1497" t="s">
        <v>2150</v>
      </c>
      <c r="C1497" t="s">
        <v>4</v>
      </c>
      <c r="D1497" t="s">
        <v>4018</v>
      </c>
      <c r="E1497" s="2">
        <v>44936</v>
      </c>
      <c r="F1497">
        <v>675</v>
      </c>
      <c r="G1497" t="s">
        <v>1746</v>
      </c>
      <c r="H1497" t="s">
        <v>1805</v>
      </c>
      <c r="I1497" t="b">
        <v>0</v>
      </c>
      <c r="J1497" t="s">
        <v>1761</v>
      </c>
      <c r="K1497" t="s">
        <v>1853</v>
      </c>
      <c r="L1497" t="s">
        <v>1817</v>
      </c>
      <c r="M1497">
        <v>121</v>
      </c>
      <c r="N1497" t="b">
        <v>1</v>
      </c>
      <c r="O1497">
        <v>1033</v>
      </c>
      <c r="P1497" t="s">
        <v>1819</v>
      </c>
      <c r="Q1497" t="s">
        <v>1753</v>
      </c>
      <c r="R1497" t="s">
        <v>1759</v>
      </c>
    </row>
    <row r="1498" spans="1:18" x14ac:dyDescent="0.25">
      <c r="A1498" t="s">
        <v>4020</v>
      </c>
      <c r="B1498" t="s">
        <v>1860</v>
      </c>
      <c r="C1498" t="s">
        <v>4</v>
      </c>
      <c r="D1498" t="s">
        <v>1205</v>
      </c>
      <c r="E1498" s="2">
        <v>44399</v>
      </c>
      <c r="F1498">
        <v>1212</v>
      </c>
      <c r="G1498" t="s">
        <v>1746</v>
      </c>
      <c r="H1498" t="s">
        <v>1798</v>
      </c>
      <c r="I1498" t="b">
        <v>0</v>
      </c>
      <c r="J1498" t="s">
        <v>1748</v>
      </c>
      <c r="K1498" t="s">
        <v>1774</v>
      </c>
      <c r="L1498" t="s">
        <v>1750</v>
      </c>
      <c r="M1498">
        <v>121</v>
      </c>
      <c r="N1498" t="b">
        <v>1</v>
      </c>
      <c r="O1498">
        <v>197</v>
      </c>
      <c r="P1498" t="s">
        <v>1752</v>
      </c>
      <c r="Q1498" t="s">
        <v>1753</v>
      </c>
      <c r="R1498" t="s">
        <v>1828</v>
      </c>
    </row>
    <row r="1499" spans="1:18" x14ac:dyDescent="0.25">
      <c r="A1499" t="s">
        <v>4022</v>
      </c>
      <c r="B1499" t="s">
        <v>2133</v>
      </c>
      <c r="C1499" t="s">
        <v>4</v>
      </c>
      <c r="D1499" t="s">
        <v>4021</v>
      </c>
      <c r="E1499" s="2">
        <v>44292</v>
      </c>
      <c r="F1499">
        <v>1319</v>
      </c>
      <c r="G1499" t="s">
        <v>1746</v>
      </c>
      <c r="H1499" t="s">
        <v>1747</v>
      </c>
      <c r="I1499" t="b">
        <v>1</v>
      </c>
      <c r="J1499" t="s">
        <v>1761</v>
      </c>
      <c r="K1499" t="s">
        <v>1755</v>
      </c>
      <c r="L1499" t="s">
        <v>1750</v>
      </c>
      <c r="M1499">
        <v>121</v>
      </c>
      <c r="N1499" t="b">
        <v>0</v>
      </c>
      <c r="O1499">
        <v>504</v>
      </c>
      <c r="P1499" t="s">
        <v>1752</v>
      </c>
      <c r="Q1499" t="s">
        <v>1753</v>
      </c>
    </row>
    <row r="1500" spans="1:18" x14ac:dyDescent="0.25">
      <c r="A1500" t="s">
        <v>4023</v>
      </c>
      <c r="B1500" t="s">
        <v>1847</v>
      </c>
      <c r="C1500" t="s">
        <v>6</v>
      </c>
      <c r="D1500" t="s">
        <v>919</v>
      </c>
      <c r="E1500" s="2">
        <v>38940</v>
      </c>
      <c r="F1500">
        <v>6671</v>
      </c>
      <c r="G1500" t="s">
        <v>1746</v>
      </c>
      <c r="H1500" t="s">
        <v>1798</v>
      </c>
      <c r="I1500" t="b">
        <v>0</v>
      </c>
      <c r="J1500" t="s">
        <v>1748</v>
      </c>
      <c r="K1500" t="s">
        <v>1856</v>
      </c>
      <c r="L1500" t="s">
        <v>1766</v>
      </c>
      <c r="M1500">
        <v>121</v>
      </c>
      <c r="N1500" t="b">
        <v>0</v>
      </c>
      <c r="P1500" t="s">
        <v>1752</v>
      </c>
      <c r="Q1500" t="s">
        <v>1753</v>
      </c>
    </row>
    <row r="1501" spans="1:18" x14ac:dyDescent="0.25">
      <c r="A1501" t="s">
        <v>4025</v>
      </c>
      <c r="B1501" t="s">
        <v>2173</v>
      </c>
      <c r="C1501" t="s">
        <v>6</v>
      </c>
      <c r="D1501" t="s">
        <v>4024</v>
      </c>
      <c r="E1501" s="2">
        <v>45079</v>
      </c>
      <c r="F1501">
        <v>532</v>
      </c>
      <c r="G1501" t="s">
        <v>1746</v>
      </c>
      <c r="H1501" t="s">
        <v>1747</v>
      </c>
      <c r="I1501" t="b">
        <v>0</v>
      </c>
      <c r="J1501" t="s">
        <v>1748</v>
      </c>
      <c r="K1501" t="s">
        <v>1985</v>
      </c>
      <c r="L1501" t="s">
        <v>1750</v>
      </c>
      <c r="M1501">
        <v>121</v>
      </c>
      <c r="N1501" t="b">
        <v>0</v>
      </c>
      <c r="P1501" t="s">
        <v>1819</v>
      </c>
      <c r="Q1501" t="s">
        <v>1753</v>
      </c>
    </row>
    <row r="1502" spans="1:18" x14ac:dyDescent="0.25">
      <c r="A1502" t="s">
        <v>4026</v>
      </c>
      <c r="B1502" t="s">
        <v>2180</v>
      </c>
      <c r="C1502" t="s">
        <v>6</v>
      </c>
      <c r="D1502" t="s">
        <v>941</v>
      </c>
      <c r="E1502" s="2">
        <v>38954</v>
      </c>
      <c r="F1502">
        <v>6657</v>
      </c>
      <c r="G1502" t="s">
        <v>1746</v>
      </c>
      <c r="H1502" t="s">
        <v>1798</v>
      </c>
      <c r="I1502" t="b">
        <v>0</v>
      </c>
      <c r="J1502" t="s">
        <v>1748</v>
      </c>
      <c r="K1502" t="s">
        <v>1853</v>
      </c>
      <c r="L1502" t="s">
        <v>1766</v>
      </c>
      <c r="M1502">
        <v>120</v>
      </c>
      <c r="N1502" t="b">
        <v>0</v>
      </c>
      <c r="P1502" t="s">
        <v>1752</v>
      </c>
      <c r="Q1502" t="s">
        <v>1753</v>
      </c>
      <c r="R1502" t="s">
        <v>1828</v>
      </c>
    </row>
    <row r="1503" spans="1:18" x14ac:dyDescent="0.25">
      <c r="A1503" t="s">
        <v>4028</v>
      </c>
      <c r="B1503" t="s">
        <v>1907</v>
      </c>
      <c r="C1503" t="s">
        <v>6</v>
      </c>
      <c r="D1503" t="s">
        <v>4027</v>
      </c>
      <c r="E1503" s="2">
        <v>44098</v>
      </c>
      <c r="F1503">
        <v>1513</v>
      </c>
      <c r="G1503" t="s">
        <v>1746</v>
      </c>
      <c r="H1503" t="s">
        <v>1798</v>
      </c>
      <c r="I1503" t="b">
        <v>1</v>
      </c>
      <c r="J1503" t="s">
        <v>1761</v>
      </c>
      <c r="K1503" t="s">
        <v>1863</v>
      </c>
      <c r="L1503" t="s">
        <v>1750</v>
      </c>
      <c r="M1503">
        <v>120</v>
      </c>
      <c r="N1503" t="b">
        <v>0</v>
      </c>
      <c r="O1503">
        <v>38</v>
      </c>
      <c r="P1503" t="s">
        <v>1819</v>
      </c>
      <c r="Q1503" t="s">
        <v>1753</v>
      </c>
      <c r="R1503" t="s">
        <v>1828</v>
      </c>
    </row>
    <row r="1504" spans="1:18" x14ac:dyDescent="0.25">
      <c r="A1504" t="s">
        <v>4030</v>
      </c>
      <c r="B1504" t="s">
        <v>3349</v>
      </c>
      <c r="C1504" t="s">
        <v>186</v>
      </c>
      <c r="D1504" t="s">
        <v>4029</v>
      </c>
      <c r="E1504" s="2">
        <v>38987</v>
      </c>
      <c r="F1504">
        <v>6624</v>
      </c>
      <c r="G1504" t="s">
        <v>1746</v>
      </c>
      <c r="H1504" t="s">
        <v>1747</v>
      </c>
      <c r="I1504" t="b">
        <v>0</v>
      </c>
      <c r="J1504" t="s">
        <v>1748</v>
      </c>
      <c r="K1504" t="s">
        <v>1830</v>
      </c>
      <c r="L1504" t="s">
        <v>2102</v>
      </c>
      <c r="M1504">
        <v>119</v>
      </c>
      <c r="N1504" t="b">
        <v>0</v>
      </c>
      <c r="P1504" t="s">
        <v>2070</v>
      </c>
      <c r="Q1504" t="s">
        <v>1779</v>
      </c>
    </row>
    <row r="1505" spans="1:18" x14ac:dyDescent="0.25">
      <c r="A1505" t="s">
        <v>4032</v>
      </c>
      <c r="B1505" t="s">
        <v>2133</v>
      </c>
      <c r="C1505" t="s">
        <v>4</v>
      </c>
      <c r="D1505" t="s">
        <v>4031</v>
      </c>
      <c r="E1505" s="2">
        <v>44671</v>
      </c>
      <c r="F1505">
        <v>940</v>
      </c>
      <c r="G1505" t="s">
        <v>1746</v>
      </c>
      <c r="H1505" t="s">
        <v>1747</v>
      </c>
      <c r="I1505" t="b">
        <v>0</v>
      </c>
      <c r="J1505" t="s">
        <v>1761</v>
      </c>
      <c r="K1505" t="s">
        <v>1824</v>
      </c>
      <c r="L1505" t="s">
        <v>1750</v>
      </c>
      <c r="M1505">
        <v>119</v>
      </c>
      <c r="N1505" t="b">
        <v>1</v>
      </c>
      <c r="O1505">
        <v>271</v>
      </c>
      <c r="P1505" t="s">
        <v>1752</v>
      </c>
      <c r="Q1505" t="s">
        <v>1753</v>
      </c>
    </row>
    <row r="1506" spans="1:18" x14ac:dyDescent="0.25">
      <c r="A1506" t="s">
        <v>4033</v>
      </c>
      <c r="B1506" t="s">
        <v>2060</v>
      </c>
      <c r="C1506" t="s">
        <v>6</v>
      </c>
      <c r="D1506" t="s">
        <v>1542</v>
      </c>
      <c r="E1506" s="2">
        <v>43229</v>
      </c>
      <c r="F1506">
        <v>2382</v>
      </c>
      <c r="G1506" t="s">
        <v>1746</v>
      </c>
      <c r="H1506" t="s">
        <v>1747</v>
      </c>
      <c r="I1506" t="b">
        <v>1</v>
      </c>
      <c r="J1506" t="s">
        <v>1761</v>
      </c>
      <c r="K1506" t="s">
        <v>1776</v>
      </c>
      <c r="L1506" t="s">
        <v>1817</v>
      </c>
      <c r="M1506">
        <v>119</v>
      </c>
      <c r="N1506" t="b">
        <v>0</v>
      </c>
      <c r="O1506">
        <v>526</v>
      </c>
      <c r="P1506" t="s">
        <v>1819</v>
      </c>
      <c r="Q1506" t="s">
        <v>1753</v>
      </c>
      <c r="R1506" t="s">
        <v>1772</v>
      </c>
    </row>
    <row r="1507" spans="1:18" x14ac:dyDescent="0.25">
      <c r="A1507" t="s">
        <v>4034</v>
      </c>
      <c r="B1507" t="s">
        <v>2997</v>
      </c>
      <c r="C1507" t="s">
        <v>6</v>
      </c>
      <c r="D1507" t="s">
        <v>826</v>
      </c>
      <c r="E1507" s="2">
        <v>45330</v>
      </c>
      <c r="F1507">
        <v>281</v>
      </c>
      <c r="G1507" t="s">
        <v>1746</v>
      </c>
      <c r="H1507" t="s">
        <v>1798</v>
      </c>
      <c r="I1507" t="b">
        <v>0</v>
      </c>
      <c r="J1507" t="s">
        <v>1761</v>
      </c>
      <c r="K1507" t="s">
        <v>1853</v>
      </c>
      <c r="L1507" t="s">
        <v>1817</v>
      </c>
      <c r="M1507">
        <v>119</v>
      </c>
      <c r="N1507" t="b">
        <v>1</v>
      </c>
      <c r="O1507">
        <v>112</v>
      </c>
      <c r="P1507" t="s">
        <v>1819</v>
      </c>
      <c r="Q1507" t="s">
        <v>1753</v>
      </c>
      <c r="R1507" t="s">
        <v>1828</v>
      </c>
    </row>
    <row r="1508" spans="1:18" x14ac:dyDescent="0.25">
      <c r="A1508" t="s">
        <v>4035</v>
      </c>
      <c r="B1508" t="s">
        <v>2060</v>
      </c>
      <c r="C1508" t="s">
        <v>6</v>
      </c>
      <c r="D1508" t="s">
        <v>1532</v>
      </c>
      <c r="E1508" s="2">
        <v>41500</v>
      </c>
      <c r="F1508">
        <v>4111</v>
      </c>
      <c r="G1508" t="s">
        <v>1746</v>
      </c>
      <c r="H1508" t="s">
        <v>1798</v>
      </c>
      <c r="I1508" t="b">
        <v>1</v>
      </c>
      <c r="J1508" t="s">
        <v>1748</v>
      </c>
      <c r="K1508" t="s">
        <v>1755</v>
      </c>
      <c r="L1508" t="s">
        <v>1817</v>
      </c>
      <c r="M1508">
        <v>119</v>
      </c>
      <c r="N1508" t="b">
        <v>0</v>
      </c>
      <c r="O1508">
        <v>154</v>
      </c>
      <c r="P1508" t="s">
        <v>1819</v>
      </c>
      <c r="Q1508" t="s">
        <v>1753</v>
      </c>
      <c r="R1508" t="s">
        <v>1759</v>
      </c>
    </row>
    <row r="1509" spans="1:18" x14ac:dyDescent="0.25">
      <c r="A1509" t="s">
        <v>4037</v>
      </c>
      <c r="B1509" t="s">
        <v>1803</v>
      </c>
      <c r="C1509" t="s">
        <v>6</v>
      </c>
      <c r="D1509" t="s">
        <v>4036</v>
      </c>
      <c r="E1509" s="2">
        <v>42907</v>
      </c>
      <c r="F1509">
        <v>2704</v>
      </c>
      <c r="G1509" t="s">
        <v>1746</v>
      </c>
      <c r="H1509" t="s">
        <v>1798</v>
      </c>
      <c r="I1509" t="b">
        <v>0</v>
      </c>
      <c r="J1509" t="s">
        <v>1748</v>
      </c>
      <c r="K1509" t="s">
        <v>1853</v>
      </c>
      <c r="L1509" t="s">
        <v>1817</v>
      </c>
      <c r="M1509">
        <v>118</v>
      </c>
      <c r="N1509" t="b">
        <v>1</v>
      </c>
      <c r="O1509">
        <v>1004</v>
      </c>
      <c r="P1509" t="s">
        <v>1819</v>
      </c>
      <c r="Q1509" t="s">
        <v>1753</v>
      </c>
      <c r="R1509" t="s">
        <v>1759</v>
      </c>
    </row>
    <row r="1510" spans="1:18" x14ac:dyDescent="0.25">
      <c r="A1510" t="s">
        <v>4038</v>
      </c>
      <c r="B1510" t="s">
        <v>1876</v>
      </c>
      <c r="C1510" t="s">
        <v>4</v>
      </c>
      <c r="D1510" t="s">
        <v>1590</v>
      </c>
      <c r="E1510" s="2">
        <v>44908</v>
      </c>
      <c r="F1510">
        <v>703</v>
      </c>
      <c r="G1510" t="s">
        <v>1746</v>
      </c>
      <c r="H1510" t="s">
        <v>1747</v>
      </c>
      <c r="I1510" t="b">
        <v>0</v>
      </c>
      <c r="J1510" t="s">
        <v>1748</v>
      </c>
      <c r="K1510" t="s">
        <v>1880</v>
      </c>
      <c r="L1510" t="s">
        <v>1750</v>
      </c>
      <c r="M1510">
        <v>118</v>
      </c>
      <c r="N1510" t="b">
        <v>1</v>
      </c>
      <c r="O1510">
        <v>144</v>
      </c>
      <c r="P1510" t="s">
        <v>1752</v>
      </c>
      <c r="Q1510" t="s">
        <v>1753</v>
      </c>
      <c r="R1510" t="s">
        <v>1759</v>
      </c>
    </row>
    <row r="1511" spans="1:18" x14ac:dyDescent="0.25">
      <c r="A1511" t="s">
        <v>4039</v>
      </c>
      <c r="B1511" t="s">
        <v>1814</v>
      </c>
      <c r="C1511" t="s">
        <v>6</v>
      </c>
      <c r="D1511" t="s">
        <v>964</v>
      </c>
      <c r="E1511" s="2">
        <v>40679</v>
      </c>
      <c r="F1511">
        <v>4932</v>
      </c>
      <c r="G1511" t="s">
        <v>1746</v>
      </c>
      <c r="H1511" t="s">
        <v>1798</v>
      </c>
      <c r="I1511" t="b">
        <v>0</v>
      </c>
      <c r="J1511" t="s">
        <v>1748</v>
      </c>
      <c r="K1511" t="s">
        <v>1853</v>
      </c>
      <c r="L1511" t="s">
        <v>1817</v>
      </c>
      <c r="M1511">
        <v>118</v>
      </c>
      <c r="N1511" t="b">
        <v>1</v>
      </c>
      <c r="O1511">
        <v>479</v>
      </c>
      <c r="P1511" t="s">
        <v>1752</v>
      </c>
      <c r="Q1511" t="s">
        <v>1753</v>
      </c>
      <c r="R1511" t="s">
        <v>1828</v>
      </c>
    </row>
    <row r="1512" spans="1:18" x14ac:dyDescent="0.25">
      <c r="A1512" t="s">
        <v>4041</v>
      </c>
      <c r="B1512" t="s">
        <v>2173</v>
      </c>
      <c r="C1512" t="s">
        <v>4</v>
      </c>
      <c r="D1512" t="s">
        <v>4040</v>
      </c>
      <c r="E1512" s="2">
        <v>43621</v>
      </c>
      <c r="F1512">
        <v>1990</v>
      </c>
      <c r="G1512" t="s">
        <v>1746</v>
      </c>
      <c r="H1512" t="s">
        <v>2231</v>
      </c>
      <c r="I1512" t="b">
        <v>1</v>
      </c>
      <c r="J1512" t="s">
        <v>1748</v>
      </c>
      <c r="K1512" t="s">
        <v>1776</v>
      </c>
      <c r="L1512" t="s">
        <v>1817</v>
      </c>
      <c r="M1512">
        <v>118</v>
      </c>
      <c r="N1512" t="b">
        <v>0</v>
      </c>
      <c r="O1512">
        <v>13583</v>
      </c>
      <c r="P1512" t="s">
        <v>1819</v>
      </c>
      <c r="Q1512" t="s">
        <v>1753</v>
      </c>
      <c r="R1512" t="s">
        <v>1759</v>
      </c>
    </row>
    <row r="1513" spans="1:18" x14ac:dyDescent="0.25">
      <c r="A1513" t="s">
        <v>4043</v>
      </c>
      <c r="B1513" t="s">
        <v>2011</v>
      </c>
      <c r="C1513" t="s">
        <v>6</v>
      </c>
      <c r="D1513" t="s">
        <v>4042</v>
      </c>
      <c r="E1513" s="2">
        <v>45238</v>
      </c>
      <c r="F1513">
        <v>373</v>
      </c>
      <c r="G1513" t="s">
        <v>1746</v>
      </c>
      <c r="H1513" t="s">
        <v>1798</v>
      </c>
      <c r="I1513" t="b">
        <v>0</v>
      </c>
      <c r="J1513" t="s">
        <v>1761</v>
      </c>
      <c r="K1513" t="s">
        <v>1774</v>
      </c>
      <c r="L1513" t="s">
        <v>1756</v>
      </c>
      <c r="M1513">
        <v>118</v>
      </c>
      <c r="N1513" t="b">
        <v>1</v>
      </c>
      <c r="O1513">
        <v>324</v>
      </c>
      <c r="P1513" t="s">
        <v>1819</v>
      </c>
      <c r="Q1513" t="s">
        <v>1753</v>
      </c>
      <c r="R1513" t="s">
        <v>1759</v>
      </c>
    </row>
    <row r="1514" spans="1:18" x14ac:dyDescent="0.25">
      <c r="A1514" t="s">
        <v>4044</v>
      </c>
      <c r="B1514" t="s">
        <v>2384</v>
      </c>
      <c r="C1514" t="s">
        <v>4</v>
      </c>
      <c r="D1514" t="s">
        <v>1282</v>
      </c>
      <c r="E1514" s="2">
        <v>44880</v>
      </c>
      <c r="F1514">
        <v>731</v>
      </c>
      <c r="G1514" t="s">
        <v>1746</v>
      </c>
      <c r="H1514" t="s">
        <v>1798</v>
      </c>
      <c r="I1514" t="b">
        <v>0</v>
      </c>
      <c r="J1514" t="s">
        <v>1748</v>
      </c>
      <c r="K1514" t="s">
        <v>1784</v>
      </c>
      <c r="L1514" t="s">
        <v>1817</v>
      </c>
      <c r="M1514">
        <v>117</v>
      </c>
      <c r="N1514" t="b">
        <v>1</v>
      </c>
      <c r="O1514">
        <v>1053</v>
      </c>
      <c r="P1514" t="s">
        <v>1819</v>
      </c>
      <c r="Q1514" t="s">
        <v>1753</v>
      </c>
      <c r="R1514" t="s">
        <v>1759</v>
      </c>
    </row>
    <row r="1515" spans="1:18" x14ac:dyDescent="0.25">
      <c r="A1515" t="s">
        <v>4045</v>
      </c>
      <c r="B1515" t="s">
        <v>1860</v>
      </c>
      <c r="C1515" t="s">
        <v>4</v>
      </c>
      <c r="D1515" t="s">
        <v>767</v>
      </c>
      <c r="E1515" s="2">
        <v>44649</v>
      </c>
      <c r="F1515">
        <v>962</v>
      </c>
      <c r="G1515" t="s">
        <v>1833</v>
      </c>
      <c r="H1515" t="s">
        <v>1798</v>
      </c>
      <c r="I1515" t="b">
        <v>0</v>
      </c>
      <c r="J1515" t="s">
        <v>1748</v>
      </c>
      <c r="K1515" t="s">
        <v>1755</v>
      </c>
      <c r="L1515" t="s">
        <v>1750</v>
      </c>
      <c r="M1515">
        <v>117</v>
      </c>
      <c r="N1515" t="b">
        <v>1</v>
      </c>
      <c r="O1515">
        <v>246</v>
      </c>
      <c r="P1515" t="s">
        <v>1752</v>
      </c>
      <c r="Q1515" t="s">
        <v>1753</v>
      </c>
    </row>
    <row r="1516" spans="1:18" x14ac:dyDescent="0.25">
      <c r="A1516" t="s">
        <v>4046</v>
      </c>
      <c r="B1516" t="s">
        <v>1876</v>
      </c>
      <c r="C1516" t="s">
        <v>4</v>
      </c>
      <c r="D1516" t="s">
        <v>1419</v>
      </c>
      <c r="E1516" s="2">
        <v>42310</v>
      </c>
      <c r="F1516">
        <v>3301</v>
      </c>
      <c r="G1516" t="s">
        <v>1746</v>
      </c>
      <c r="H1516" t="s">
        <v>1747</v>
      </c>
      <c r="I1516" t="b">
        <v>0</v>
      </c>
      <c r="J1516" t="s">
        <v>1748</v>
      </c>
      <c r="K1516" t="s">
        <v>2021</v>
      </c>
      <c r="L1516" t="s">
        <v>1756</v>
      </c>
      <c r="M1516">
        <v>117</v>
      </c>
      <c r="N1516" t="b">
        <v>1</v>
      </c>
      <c r="O1516">
        <v>496</v>
      </c>
      <c r="P1516" t="s">
        <v>1752</v>
      </c>
      <c r="Q1516" t="s">
        <v>1753</v>
      </c>
    </row>
    <row r="1517" spans="1:18" x14ac:dyDescent="0.25">
      <c r="A1517" t="s">
        <v>2983</v>
      </c>
      <c r="B1517" t="s">
        <v>2342</v>
      </c>
      <c r="C1517" t="s">
        <v>11</v>
      </c>
      <c r="D1517" t="s">
        <v>4047</v>
      </c>
      <c r="E1517" s="2">
        <v>42212</v>
      </c>
      <c r="F1517">
        <v>3399</v>
      </c>
      <c r="G1517" t="s">
        <v>1746</v>
      </c>
      <c r="H1517" t="s">
        <v>1798</v>
      </c>
      <c r="I1517" t="b">
        <v>0</v>
      </c>
      <c r="J1517" t="s">
        <v>1761</v>
      </c>
      <c r="K1517" t="s">
        <v>1824</v>
      </c>
      <c r="L1517" t="s">
        <v>1750</v>
      </c>
      <c r="M1517">
        <v>117</v>
      </c>
      <c r="N1517" t="b">
        <v>0</v>
      </c>
      <c r="O1517">
        <v>50</v>
      </c>
      <c r="P1517" t="s">
        <v>1752</v>
      </c>
      <c r="Q1517" t="s">
        <v>1753</v>
      </c>
      <c r="R1517" t="s">
        <v>1828</v>
      </c>
    </row>
    <row r="1518" spans="1:18" x14ac:dyDescent="0.25">
      <c r="A1518" t="s">
        <v>4048</v>
      </c>
      <c r="B1518" t="s">
        <v>1781</v>
      </c>
      <c r="C1518" t="s">
        <v>4</v>
      </c>
      <c r="D1518" t="s">
        <v>433</v>
      </c>
      <c r="E1518" s="2">
        <v>41892</v>
      </c>
      <c r="F1518">
        <v>3719</v>
      </c>
      <c r="G1518" t="s">
        <v>1746</v>
      </c>
      <c r="H1518" t="s">
        <v>2001</v>
      </c>
      <c r="I1518" t="b">
        <v>0</v>
      </c>
      <c r="J1518" t="s">
        <v>1748</v>
      </c>
      <c r="K1518" t="s">
        <v>1809</v>
      </c>
      <c r="L1518" t="s">
        <v>1766</v>
      </c>
      <c r="M1518">
        <v>117</v>
      </c>
      <c r="N1518" t="b">
        <v>0</v>
      </c>
      <c r="P1518" t="s">
        <v>1752</v>
      </c>
      <c r="Q1518" t="s">
        <v>1753</v>
      </c>
    </row>
    <row r="1519" spans="1:18" x14ac:dyDescent="0.25">
      <c r="A1519" t="s">
        <v>4050</v>
      </c>
      <c r="B1519" t="s">
        <v>1803</v>
      </c>
      <c r="C1519" t="s">
        <v>572</v>
      </c>
      <c r="D1519" t="s">
        <v>4049</v>
      </c>
      <c r="E1519" s="2">
        <v>39973</v>
      </c>
      <c r="F1519">
        <v>5638</v>
      </c>
      <c r="G1519" t="s">
        <v>1746</v>
      </c>
      <c r="H1519" t="s">
        <v>1798</v>
      </c>
      <c r="I1519" t="b">
        <v>0</v>
      </c>
      <c r="J1519" t="s">
        <v>1761</v>
      </c>
      <c r="K1519" t="s">
        <v>1776</v>
      </c>
      <c r="L1519" t="s">
        <v>1750</v>
      </c>
      <c r="M1519">
        <v>117</v>
      </c>
      <c r="N1519" t="b">
        <v>1</v>
      </c>
      <c r="O1519">
        <v>178</v>
      </c>
      <c r="P1519" t="s">
        <v>1752</v>
      </c>
      <c r="Q1519" t="s">
        <v>1753</v>
      </c>
    </row>
    <row r="1520" spans="1:18" x14ac:dyDescent="0.25">
      <c r="A1520" t="s">
        <v>4051</v>
      </c>
      <c r="B1520" t="s">
        <v>1810</v>
      </c>
      <c r="C1520" t="s">
        <v>4</v>
      </c>
      <c r="D1520" t="s">
        <v>1071</v>
      </c>
      <c r="E1520" s="2">
        <v>40830</v>
      </c>
      <c r="F1520">
        <v>4781</v>
      </c>
      <c r="G1520" t="s">
        <v>1746</v>
      </c>
      <c r="H1520" t="s">
        <v>1747</v>
      </c>
      <c r="I1520" t="b">
        <v>1</v>
      </c>
      <c r="J1520" t="s">
        <v>1761</v>
      </c>
      <c r="K1520" t="s">
        <v>1913</v>
      </c>
      <c r="L1520" t="s">
        <v>1750</v>
      </c>
      <c r="M1520">
        <v>116</v>
      </c>
      <c r="N1520" t="b">
        <v>0</v>
      </c>
      <c r="O1520">
        <v>50</v>
      </c>
      <c r="P1520" t="s">
        <v>1752</v>
      </c>
      <c r="Q1520" t="s">
        <v>1753</v>
      </c>
      <c r="R1520" t="s">
        <v>1772</v>
      </c>
    </row>
    <row r="1521" spans="1:18" x14ac:dyDescent="0.25">
      <c r="A1521" t="s">
        <v>4053</v>
      </c>
      <c r="B1521" t="s">
        <v>2173</v>
      </c>
      <c r="C1521" t="s">
        <v>6</v>
      </c>
      <c r="D1521" t="s">
        <v>4052</v>
      </c>
      <c r="E1521" s="2">
        <v>43131</v>
      </c>
      <c r="F1521">
        <v>2480</v>
      </c>
      <c r="G1521" t="s">
        <v>1746</v>
      </c>
      <c r="H1521" t="s">
        <v>1747</v>
      </c>
      <c r="I1521" t="b">
        <v>0</v>
      </c>
      <c r="J1521" t="s">
        <v>1748</v>
      </c>
      <c r="K1521" t="s">
        <v>1749</v>
      </c>
      <c r="L1521" t="s">
        <v>1750</v>
      </c>
      <c r="M1521">
        <v>116</v>
      </c>
      <c r="N1521" t="b">
        <v>0</v>
      </c>
      <c r="O1521">
        <v>12</v>
      </c>
      <c r="P1521" t="s">
        <v>1819</v>
      </c>
      <c r="Q1521" t="s">
        <v>1753</v>
      </c>
    </row>
    <row r="1522" spans="1:18" x14ac:dyDescent="0.25">
      <c r="A1522" t="s">
        <v>4055</v>
      </c>
      <c r="B1522" t="s">
        <v>2085</v>
      </c>
      <c r="C1522" t="s">
        <v>4</v>
      </c>
      <c r="D1522" t="s">
        <v>4054</v>
      </c>
      <c r="E1522" s="2">
        <v>43284</v>
      </c>
      <c r="F1522">
        <v>2327</v>
      </c>
      <c r="G1522" t="s">
        <v>1746</v>
      </c>
      <c r="H1522" t="s">
        <v>1747</v>
      </c>
      <c r="I1522" t="b">
        <v>1</v>
      </c>
      <c r="J1522" t="s">
        <v>1748</v>
      </c>
      <c r="K1522" t="s">
        <v>1776</v>
      </c>
      <c r="L1522" t="s">
        <v>1817</v>
      </c>
      <c r="M1522">
        <v>116</v>
      </c>
      <c r="N1522" t="b">
        <v>0</v>
      </c>
      <c r="O1522">
        <v>2723</v>
      </c>
      <c r="P1522" t="s">
        <v>1819</v>
      </c>
      <c r="Q1522" t="s">
        <v>1753</v>
      </c>
      <c r="R1522" t="s">
        <v>1759</v>
      </c>
    </row>
    <row r="1523" spans="1:18" x14ac:dyDescent="0.25">
      <c r="A1523" t="s">
        <v>4057</v>
      </c>
      <c r="B1523" t="s">
        <v>3867</v>
      </c>
      <c r="C1523" t="s">
        <v>6</v>
      </c>
      <c r="D1523" t="s">
        <v>4056</v>
      </c>
      <c r="E1523" s="2">
        <v>44509</v>
      </c>
      <c r="F1523">
        <v>1102</v>
      </c>
      <c r="G1523" t="s">
        <v>1746</v>
      </c>
      <c r="H1523" t="s">
        <v>1747</v>
      </c>
      <c r="I1523" t="b">
        <v>0</v>
      </c>
      <c r="J1523" t="s">
        <v>1748</v>
      </c>
      <c r="K1523" t="s">
        <v>1880</v>
      </c>
      <c r="L1523" t="s">
        <v>1750</v>
      </c>
      <c r="M1523">
        <v>116</v>
      </c>
      <c r="N1523" t="b">
        <v>1</v>
      </c>
      <c r="O1523">
        <v>192</v>
      </c>
      <c r="P1523" t="s">
        <v>1752</v>
      </c>
      <c r="Q1523" t="s">
        <v>1753</v>
      </c>
    </row>
    <row r="1524" spans="1:18" x14ac:dyDescent="0.25">
      <c r="A1524" t="s">
        <v>4058</v>
      </c>
      <c r="B1524" t="s">
        <v>1829</v>
      </c>
      <c r="C1524" t="s">
        <v>4</v>
      </c>
      <c r="D1524" t="s">
        <v>666</v>
      </c>
      <c r="E1524" s="2">
        <v>41530</v>
      </c>
      <c r="F1524">
        <v>4081</v>
      </c>
      <c r="G1524" t="s">
        <v>1746</v>
      </c>
      <c r="H1524" t="s">
        <v>1798</v>
      </c>
      <c r="I1524" t="b">
        <v>1</v>
      </c>
      <c r="J1524" t="s">
        <v>1748</v>
      </c>
      <c r="K1524" t="s">
        <v>1830</v>
      </c>
      <c r="L1524" t="s">
        <v>1750</v>
      </c>
      <c r="M1524">
        <v>116</v>
      </c>
      <c r="N1524" t="b">
        <v>0</v>
      </c>
      <c r="O1524">
        <v>101</v>
      </c>
      <c r="P1524" t="s">
        <v>1752</v>
      </c>
      <c r="Q1524" t="s">
        <v>1753</v>
      </c>
      <c r="R1524" t="s">
        <v>1828</v>
      </c>
    </row>
    <row r="1525" spans="1:18" x14ac:dyDescent="0.25">
      <c r="A1525" t="s">
        <v>330</v>
      </c>
      <c r="B1525" t="s">
        <v>2032</v>
      </c>
      <c r="C1525" t="s">
        <v>4</v>
      </c>
      <c r="D1525" t="s">
        <v>331</v>
      </c>
      <c r="E1525" s="2">
        <v>41544</v>
      </c>
      <c r="F1525">
        <v>4067</v>
      </c>
      <c r="G1525" t="s">
        <v>1746</v>
      </c>
      <c r="H1525" t="s">
        <v>1747</v>
      </c>
      <c r="I1525" t="b">
        <v>1</v>
      </c>
      <c r="J1525" t="s">
        <v>1748</v>
      </c>
      <c r="K1525" t="s">
        <v>1856</v>
      </c>
      <c r="L1525" t="s">
        <v>1756</v>
      </c>
      <c r="M1525">
        <v>116</v>
      </c>
      <c r="N1525" t="b">
        <v>0</v>
      </c>
      <c r="O1525">
        <v>910</v>
      </c>
      <c r="P1525" t="s">
        <v>1752</v>
      </c>
      <c r="Q1525" t="s">
        <v>1753</v>
      </c>
      <c r="R1525" t="s">
        <v>2028</v>
      </c>
    </row>
    <row r="1526" spans="1:18" x14ac:dyDescent="0.25">
      <c r="A1526" t="s">
        <v>345</v>
      </c>
      <c r="B1526" t="s">
        <v>1876</v>
      </c>
      <c r="C1526" t="s">
        <v>4</v>
      </c>
      <c r="D1526" t="s">
        <v>346</v>
      </c>
      <c r="E1526" s="2">
        <v>40630</v>
      </c>
      <c r="F1526">
        <v>4981</v>
      </c>
      <c r="G1526" t="s">
        <v>1746</v>
      </c>
      <c r="H1526" t="s">
        <v>1747</v>
      </c>
      <c r="I1526" t="b">
        <v>1</v>
      </c>
      <c r="J1526" t="s">
        <v>1761</v>
      </c>
      <c r="K1526" t="s">
        <v>1868</v>
      </c>
      <c r="L1526" t="s">
        <v>1750</v>
      </c>
      <c r="M1526">
        <v>116</v>
      </c>
      <c r="N1526" t="b">
        <v>0</v>
      </c>
      <c r="O1526">
        <v>21</v>
      </c>
      <c r="P1526" t="s">
        <v>1752</v>
      </c>
      <c r="Q1526" t="s">
        <v>1753</v>
      </c>
    </row>
    <row r="1527" spans="1:18" x14ac:dyDescent="0.25">
      <c r="A1527" t="s">
        <v>4059</v>
      </c>
      <c r="B1527" t="s">
        <v>2180</v>
      </c>
      <c r="C1527" t="s">
        <v>6</v>
      </c>
      <c r="D1527" t="s">
        <v>169</v>
      </c>
      <c r="E1527" s="2">
        <v>43735</v>
      </c>
      <c r="F1527">
        <v>1876</v>
      </c>
      <c r="G1527" t="s">
        <v>1746</v>
      </c>
      <c r="H1527" t="s">
        <v>1798</v>
      </c>
      <c r="I1527" t="b">
        <v>0</v>
      </c>
      <c r="J1527" t="s">
        <v>1748</v>
      </c>
      <c r="K1527" t="s">
        <v>1776</v>
      </c>
      <c r="L1527" t="s">
        <v>1750</v>
      </c>
      <c r="M1527">
        <v>116</v>
      </c>
      <c r="N1527" t="b">
        <v>1</v>
      </c>
      <c r="O1527">
        <v>62</v>
      </c>
      <c r="P1527" t="s">
        <v>1752</v>
      </c>
      <c r="Q1527" t="s">
        <v>1753</v>
      </c>
      <c r="R1527" t="s">
        <v>1828</v>
      </c>
    </row>
    <row r="1528" spans="1:18" x14ac:dyDescent="0.25">
      <c r="A1528" t="s">
        <v>4061</v>
      </c>
      <c r="B1528" t="s">
        <v>1907</v>
      </c>
      <c r="C1528" t="s">
        <v>4</v>
      </c>
      <c r="D1528" t="s">
        <v>4060</v>
      </c>
      <c r="E1528" s="2">
        <v>44062</v>
      </c>
      <c r="F1528">
        <v>1549</v>
      </c>
      <c r="G1528" t="s">
        <v>1746</v>
      </c>
      <c r="H1528" t="s">
        <v>1798</v>
      </c>
      <c r="I1528" t="b">
        <v>0</v>
      </c>
      <c r="J1528" t="s">
        <v>1748</v>
      </c>
      <c r="K1528" t="s">
        <v>1770</v>
      </c>
      <c r="L1528" t="s">
        <v>1817</v>
      </c>
      <c r="M1528">
        <v>116</v>
      </c>
      <c r="N1528" t="b">
        <v>1</v>
      </c>
      <c r="O1528">
        <v>94</v>
      </c>
      <c r="P1528" t="s">
        <v>1819</v>
      </c>
      <c r="Q1528" t="s">
        <v>1753</v>
      </c>
      <c r="R1528" t="s">
        <v>1759</v>
      </c>
    </row>
    <row r="1529" spans="1:18" x14ac:dyDescent="0.25">
      <c r="A1529" t="s">
        <v>4062</v>
      </c>
      <c r="B1529" t="s">
        <v>1829</v>
      </c>
      <c r="C1529" t="s">
        <v>4</v>
      </c>
      <c r="D1529" t="s">
        <v>406</v>
      </c>
      <c r="E1529" s="2">
        <v>43705</v>
      </c>
      <c r="F1529">
        <v>1906</v>
      </c>
      <c r="G1529" t="s">
        <v>1746</v>
      </c>
      <c r="H1529" t="s">
        <v>1798</v>
      </c>
      <c r="I1529" t="b">
        <v>0</v>
      </c>
      <c r="J1529" t="s">
        <v>1761</v>
      </c>
      <c r="K1529" t="s">
        <v>1822</v>
      </c>
      <c r="L1529" t="s">
        <v>1817</v>
      </c>
      <c r="M1529">
        <v>116</v>
      </c>
      <c r="N1529" t="b">
        <v>0</v>
      </c>
      <c r="O1529">
        <v>39</v>
      </c>
      <c r="P1529" t="s">
        <v>1819</v>
      </c>
      <c r="Q1529" t="s">
        <v>1753</v>
      </c>
      <c r="R1529" t="s">
        <v>1828</v>
      </c>
    </row>
    <row r="1530" spans="1:18" x14ac:dyDescent="0.25">
      <c r="A1530" t="s">
        <v>4064</v>
      </c>
      <c r="B1530" t="s">
        <v>2133</v>
      </c>
      <c r="C1530" t="s">
        <v>4</v>
      </c>
      <c r="D1530" t="s">
        <v>4063</v>
      </c>
      <c r="E1530" s="2">
        <v>44153</v>
      </c>
      <c r="F1530">
        <v>1458</v>
      </c>
      <c r="G1530" t="s">
        <v>1746</v>
      </c>
      <c r="H1530" t="s">
        <v>1798</v>
      </c>
      <c r="I1530" t="b">
        <v>0</v>
      </c>
      <c r="J1530" t="s">
        <v>1748</v>
      </c>
      <c r="K1530" t="s">
        <v>1770</v>
      </c>
      <c r="L1530" t="s">
        <v>1750</v>
      </c>
      <c r="M1530">
        <v>115</v>
      </c>
      <c r="N1530" t="b">
        <v>0</v>
      </c>
      <c r="O1530">
        <v>12</v>
      </c>
      <c r="P1530" t="s">
        <v>1752</v>
      </c>
      <c r="Q1530" t="s">
        <v>1753</v>
      </c>
      <c r="R1530" t="s">
        <v>1828</v>
      </c>
    </row>
    <row r="1531" spans="1:18" x14ac:dyDescent="0.25">
      <c r="A1531" t="s">
        <v>4065</v>
      </c>
      <c r="B1531" t="s">
        <v>1881</v>
      </c>
      <c r="C1531" t="s">
        <v>6</v>
      </c>
      <c r="D1531" t="s">
        <v>1203</v>
      </c>
      <c r="E1531" s="2">
        <v>42332</v>
      </c>
      <c r="F1531">
        <v>3279</v>
      </c>
      <c r="G1531" t="s">
        <v>1746</v>
      </c>
      <c r="H1531" t="s">
        <v>1798</v>
      </c>
      <c r="I1531" t="b">
        <v>0</v>
      </c>
      <c r="J1531" t="s">
        <v>1761</v>
      </c>
      <c r="K1531" t="s">
        <v>1776</v>
      </c>
      <c r="L1531" t="s">
        <v>1750</v>
      </c>
      <c r="M1531">
        <v>115</v>
      </c>
      <c r="N1531" t="b">
        <v>1</v>
      </c>
      <c r="O1531">
        <v>197</v>
      </c>
      <c r="P1531" t="s">
        <v>1752</v>
      </c>
      <c r="Q1531" t="s">
        <v>1753</v>
      </c>
    </row>
    <row r="1532" spans="1:18" x14ac:dyDescent="0.25">
      <c r="A1532" t="s">
        <v>498</v>
      </c>
      <c r="B1532" t="s">
        <v>1814</v>
      </c>
      <c r="C1532" t="s">
        <v>4</v>
      </c>
      <c r="D1532" t="s">
        <v>499</v>
      </c>
      <c r="E1532" s="2">
        <v>42614</v>
      </c>
      <c r="F1532">
        <v>2997</v>
      </c>
      <c r="G1532" t="s">
        <v>1746</v>
      </c>
      <c r="H1532" t="s">
        <v>1747</v>
      </c>
      <c r="I1532" t="b">
        <v>0</v>
      </c>
      <c r="J1532" t="s">
        <v>1761</v>
      </c>
      <c r="K1532" t="s">
        <v>1856</v>
      </c>
      <c r="L1532" t="s">
        <v>1817</v>
      </c>
      <c r="M1532">
        <v>115</v>
      </c>
      <c r="N1532" t="b">
        <v>0</v>
      </c>
      <c r="O1532">
        <v>83</v>
      </c>
      <c r="P1532" t="s">
        <v>1819</v>
      </c>
      <c r="Q1532" t="s">
        <v>1753</v>
      </c>
    </row>
    <row r="1533" spans="1:18" x14ac:dyDescent="0.25">
      <c r="A1533" t="s">
        <v>4067</v>
      </c>
      <c r="B1533" t="s">
        <v>2177</v>
      </c>
      <c r="C1533" t="s">
        <v>4</v>
      </c>
      <c r="D1533" t="s">
        <v>4066</v>
      </c>
      <c r="E1533" s="2">
        <v>43536</v>
      </c>
      <c r="F1533">
        <v>2075</v>
      </c>
      <c r="G1533" t="s">
        <v>1746</v>
      </c>
      <c r="H1533" t="s">
        <v>1805</v>
      </c>
      <c r="I1533" t="b">
        <v>1</v>
      </c>
      <c r="J1533" t="s">
        <v>1761</v>
      </c>
      <c r="K1533" t="s">
        <v>1822</v>
      </c>
      <c r="L1533" t="s">
        <v>1817</v>
      </c>
      <c r="M1533">
        <v>115</v>
      </c>
      <c r="N1533" t="b">
        <v>0</v>
      </c>
      <c r="O1533">
        <v>95</v>
      </c>
      <c r="P1533" t="s">
        <v>1819</v>
      </c>
      <c r="Q1533" t="s">
        <v>1753</v>
      </c>
    </row>
    <row r="1534" spans="1:18" x14ac:dyDescent="0.25">
      <c r="A1534" t="s">
        <v>4069</v>
      </c>
      <c r="B1534" t="s">
        <v>1803</v>
      </c>
      <c r="C1534" t="s">
        <v>572</v>
      </c>
      <c r="D1534" t="s">
        <v>4068</v>
      </c>
      <c r="E1534" s="2">
        <v>36887</v>
      </c>
      <c r="F1534">
        <v>8724</v>
      </c>
      <c r="G1534" t="s">
        <v>1746</v>
      </c>
      <c r="H1534" t="s">
        <v>1798</v>
      </c>
      <c r="I1534" t="b">
        <v>0</v>
      </c>
      <c r="J1534" t="s">
        <v>1761</v>
      </c>
      <c r="K1534" t="s">
        <v>1901</v>
      </c>
      <c r="L1534" t="s">
        <v>1750</v>
      </c>
      <c r="M1534">
        <v>115</v>
      </c>
      <c r="N1534" t="b">
        <v>0</v>
      </c>
      <c r="O1534">
        <v>50</v>
      </c>
      <c r="P1534" t="s">
        <v>1752</v>
      </c>
      <c r="Q1534" t="s">
        <v>1753</v>
      </c>
      <c r="R1534" t="s">
        <v>1828</v>
      </c>
    </row>
    <row r="1535" spans="1:18" x14ac:dyDescent="0.25">
      <c r="A1535" t="s">
        <v>563</v>
      </c>
      <c r="B1535" t="s">
        <v>1754</v>
      </c>
      <c r="C1535" t="s">
        <v>4</v>
      </c>
      <c r="D1535" t="s">
        <v>564</v>
      </c>
      <c r="E1535" s="2">
        <v>39192</v>
      </c>
      <c r="F1535">
        <v>6419</v>
      </c>
      <c r="G1535" t="s">
        <v>1746</v>
      </c>
      <c r="H1535" t="s">
        <v>1747</v>
      </c>
      <c r="I1535" t="b">
        <v>1</v>
      </c>
      <c r="J1535" t="s">
        <v>1761</v>
      </c>
      <c r="K1535" t="s">
        <v>1835</v>
      </c>
      <c r="L1535" t="s">
        <v>1750</v>
      </c>
      <c r="M1535">
        <v>114</v>
      </c>
      <c r="N1535" t="b">
        <v>0</v>
      </c>
      <c r="O1535">
        <v>54</v>
      </c>
      <c r="P1535" t="s">
        <v>1752</v>
      </c>
      <c r="Q1535" t="s">
        <v>1753</v>
      </c>
      <c r="R1535" t="s">
        <v>1772</v>
      </c>
    </row>
    <row r="1536" spans="1:18" x14ac:dyDescent="0.25">
      <c r="A1536" t="s">
        <v>4071</v>
      </c>
      <c r="B1536" t="s">
        <v>1907</v>
      </c>
      <c r="C1536" t="s">
        <v>4</v>
      </c>
      <c r="D1536" t="s">
        <v>4070</v>
      </c>
      <c r="E1536" s="2">
        <v>45175</v>
      </c>
      <c r="F1536">
        <v>436</v>
      </c>
      <c r="G1536" t="s">
        <v>1833</v>
      </c>
      <c r="H1536" t="s">
        <v>1798</v>
      </c>
      <c r="I1536" t="b">
        <v>0</v>
      </c>
      <c r="J1536" t="s">
        <v>1748</v>
      </c>
      <c r="K1536" t="s">
        <v>1755</v>
      </c>
      <c r="L1536" t="s">
        <v>1756</v>
      </c>
      <c r="M1536">
        <v>114</v>
      </c>
      <c r="N1536" t="b">
        <v>1</v>
      </c>
      <c r="O1536">
        <v>149</v>
      </c>
      <c r="P1536" t="s">
        <v>1752</v>
      </c>
      <c r="Q1536" t="s">
        <v>1753</v>
      </c>
    </row>
    <row r="1537" spans="1:18" x14ac:dyDescent="0.25">
      <c r="A1537" t="s">
        <v>4073</v>
      </c>
      <c r="B1537" t="s">
        <v>1907</v>
      </c>
      <c r="C1537" t="s">
        <v>6</v>
      </c>
      <c r="D1537" t="s">
        <v>4072</v>
      </c>
      <c r="E1537" s="2">
        <v>39692</v>
      </c>
      <c r="F1537">
        <v>5919</v>
      </c>
      <c r="G1537" t="s">
        <v>1746</v>
      </c>
      <c r="H1537" t="s">
        <v>1747</v>
      </c>
      <c r="I1537" t="b">
        <v>0</v>
      </c>
      <c r="J1537" t="s">
        <v>1761</v>
      </c>
      <c r="K1537" t="s">
        <v>1856</v>
      </c>
      <c r="L1537" t="s">
        <v>1766</v>
      </c>
      <c r="M1537">
        <v>114</v>
      </c>
      <c r="N1537" t="b">
        <v>0</v>
      </c>
      <c r="P1537" t="s">
        <v>1752</v>
      </c>
      <c r="Q1537" t="s">
        <v>1753</v>
      </c>
    </row>
    <row r="1538" spans="1:18" x14ac:dyDescent="0.25">
      <c r="A1538" t="s">
        <v>4075</v>
      </c>
      <c r="B1538" t="s">
        <v>2173</v>
      </c>
      <c r="C1538" t="s">
        <v>4</v>
      </c>
      <c r="D1538" t="s">
        <v>4074</v>
      </c>
      <c r="E1538" s="2">
        <v>43641</v>
      </c>
      <c r="F1538">
        <v>1970</v>
      </c>
      <c r="G1538" t="s">
        <v>1746</v>
      </c>
      <c r="H1538" t="s">
        <v>1747</v>
      </c>
      <c r="I1538" t="b">
        <v>0</v>
      </c>
      <c r="J1538" t="s">
        <v>1761</v>
      </c>
      <c r="K1538" t="s">
        <v>1776</v>
      </c>
      <c r="L1538" t="s">
        <v>1750</v>
      </c>
      <c r="M1538">
        <v>113</v>
      </c>
      <c r="N1538" t="b">
        <v>1</v>
      </c>
      <c r="O1538">
        <v>609</v>
      </c>
      <c r="P1538" t="s">
        <v>1752</v>
      </c>
      <c r="Q1538" t="s">
        <v>1753</v>
      </c>
      <c r="R1538" t="s">
        <v>1759</v>
      </c>
    </row>
    <row r="1539" spans="1:18" x14ac:dyDescent="0.25">
      <c r="A1539" t="s">
        <v>4076</v>
      </c>
      <c r="B1539" t="s">
        <v>2180</v>
      </c>
      <c r="C1539" t="s">
        <v>6</v>
      </c>
      <c r="D1539" t="s">
        <v>158</v>
      </c>
      <c r="E1539" s="2">
        <v>44217</v>
      </c>
      <c r="F1539">
        <v>1394</v>
      </c>
      <c r="G1539" t="s">
        <v>1746</v>
      </c>
      <c r="H1539" t="s">
        <v>1798</v>
      </c>
      <c r="I1539" t="b">
        <v>0</v>
      </c>
      <c r="J1539" t="s">
        <v>1748</v>
      </c>
      <c r="K1539" t="s">
        <v>1909</v>
      </c>
      <c r="L1539" t="s">
        <v>1750</v>
      </c>
      <c r="M1539">
        <v>113</v>
      </c>
      <c r="N1539" t="b">
        <v>1</v>
      </c>
      <c r="O1539">
        <v>542</v>
      </c>
      <c r="P1539" t="s">
        <v>1819</v>
      </c>
      <c r="Q1539" t="s">
        <v>1753</v>
      </c>
      <c r="R1539" t="s">
        <v>1772</v>
      </c>
    </row>
    <row r="1540" spans="1:18" x14ac:dyDescent="0.25">
      <c r="A1540" t="s">
        <v>4078</v>
      </c>
      <c r="B1540" t="s">
        <v>1785</v>
      </c>
      <c r="C1540" t="s">
        <v>4</v>
      </c>
      <c r="D1540" t="s">
        <v>4077</v>
      </c>
      <c r="E1540" s="2">
        <v>40564</v>
      </c>
      <c r="F1540">
        <v>5047</v>
      </c>
      <c r="G1540" t="s">
        <v>1746</v>
      </c>
      <c r="H1540" t="s">
        <v>1747</v>
      </c>
      <c r="I1540" t="b">
        <v>1</v>
      </c>
      <c r="J1540" t="s">
        <v>1748</v>
      </c>
      <c r="K1540" t="s">
        <v>1835</v>
      </c>
      <c r="L1540" t="s">
        <v>1750</v>
      </c>
      <c r="M1540">
        <v>113</v>
      </c>
      <c r="N1540" t="b">
        <v>0</v>
      </c>
      <c r="O1540">
        <v>14</v>
      </c>
      <c r="P1540" t="s">
        <v>1752</v>
      </c>
      <c r="Q1540" t="s">
        <v>1753</v>
      </c>
    </row>
    <row r="1541" spans="1:18" x14ac:dyDescent="0.25">
      <c r="A1541" t="s">
        <v>1610</v>
      </c>
      <c r="B1541" t="s">
        <v>2060</v>
      </c>
      <c r="C1541" t="s">
        <v>4</v>
      </c>
      <c r="D1541" t="s">
        <v>1611</v>
      </c>
      <c r="E1541" s="2">
        <v>42069</v>
      </c>
      <c r="F1541">
        <v>3542</v>
      </c>
      <c r="G1541" t="s">
        <v>1746</v>
      </c>
      <c r="H1541" t="s">
        <v>1747</v>
      </c>
      <c r="I1541" t="b">
        <v>1</v>
      </c>
      <c r="J1541" t="s">
        <v>1748</v>
      </c>
      <c r="K1541" t="s">
        <v>1749</v>
      </c>
      <c r="L1541" t="s">
        <v>1750</v>
      </c>
      <c r="M1541">
        <v>113</v>
      </c>
      <c r="N1541" t="b">
        <v>1</v>
      </c>
      <c r="O1541">
        <v>535</v>
      </c>
      <c r="P1541" t="s">
        <v>1752</v>
      </c>
      <c r="Q1541" t="s">
        <v>1753</v>
      </c>
    </row>
    <row r="1542" spans="1:18" x14ac:dyDescent="0.25">
      <c r="A1542" t="s">
        <v>4079</v>
      </c>
      <c r="B1542" t="s">
        <v>1876</v>
      </c>
      <c r="C1542" t="s">
        <v>4</v>
      </c>
      <c r="D1542" t="s">
        <v>1383</v>
      </c>
      <c r="E1542" s="2">
        <v>41957</v>
      </c>
      <c r="F1542">
        <v>3654</v>
      </c>
      <c r="G1542" t="s">
        <v>1746</v>
      </c>
      <c r="H1542" t="s">
        <v>1747</v>
      </c>
      <c r="I1542" t="b">
        <v>0</v>
      </c>
      <c r="J1542" t="s">
        <v>1761</v>
      </c>
      <c r="K1542" t="s">
        <v>1912</v>
      </c>
      <c r="L1542" t="s">
        <v>1756</v>
      </c>
      <c r="M1542">
        <v>113</v>
      </c>
      <c r="N1542" t="b">
        <v>1</v>
      </c>
      <c r="O1542">
        <v>496</v>
      </c>
      <c r="P1542" t="s">
        <v>1752</v>
      </c>
      <c r="Q1542" t="s">
        <v>1753</v>
      </c>
      <c r="R1542" t="s">
        <v>1772</v>
      </c>
    </row>
    <row r="1543" spans="1:18" x14ac:dyDescent="0.25">
      <c r="A1543" t="s">
        <v>4081</v>
      </c>
      <c r="B1543" t="s">
        <v>2133</v>
      </c>
      <c r="C1543" t="s">
        <v>4</v>
      </c>
      <c r="D1543" t="s">
        <v>4080</v>
      </c>
      <c r="E1543" s="2">
        <v>43493</v>
      </c>
      <c r="F1543">
        <v>2118</v>
      </c>
      <c r="G1543" t="s">
        <v>1746</v>
      </c>
      <c r="H1543" t="s">
        <v>1747</v>
      </c>
      <c r="I1543" t="b">
        <v>0</v>
      </c>
      <c r="J1543" t="s">
        <v>1748</v>
      </c>
      <c r="K1543" t="s">
        <v>1934</v>
      </c>
      <c r="L1543" t="s">
        <v>1766</v>
      </c>
      <c r="M1543">
        <v>112</v>
      </c>
      <c r="N1543" t="b">
        <v>0</v>
      </c>
      <c r="P1543" t="s">
        <v>1752</v>
      </c>
      <c r="Q1543" t="s">
        <v>1753</v>
      </c>
    </row>
    <row r="1544" spans="1:18" x14ac:dyDescent="0.25">
      <c r="A1544" t="s">
        <v>4082</v>
      </c>
      <c r="B1544" t="s">
        <v>1814</v>
      </c>
      <c r="C1544" t="s">
        <v>6</v>
      </c>
      <c r="D1544" t="s">
        <v>901</v>
      </c>
      <c r="E1544" s="2">
        <v>38554</v>
      </c>
      <c r="F1544">
        <v>7057</v>
      </c>
      <c r="G1544" t="s">
        <v>1746</v>
      </c>
      <c r="H1544" t="s">
        <v>1798</v>
      </c>
      <c r="I1544" t="b">
        <v>0</v>
      </c>
      <c r="J1544" t="s">
        <v>1748</v>
      </c>
      <c r="K1544" t="s">
        <v>1868</v>
      </c>
      <c r="L1544" t="s">
        <v>1766</v>
      </c>
      <c r="M1544">
        <v>112</v>
      </c>
      <c r="N1544" t="b">
        <v>0</v>
      </c>
      <c r="P1544" t="s">
        <v>1752</v>
      </c>
      <c r="Q1544" t="s">
        <v>1753</v>
      </c>
      <c r="R1544" t="s">
        <v>4083</v>
      </c>
    </row>
    <row r="1545" spans="1:18" x14ac:dyDescent="0.25">
      <c r="A1545" t="s">
        <v>4084</v>
      </c>
      <c r="B1545" t="s">
        <v>3874</v>
      </c>
      <c r="C1545" t="s">
        <v>4</v>
      </c>
      <c r="D1545" t="s">
        <v>706</v>
      </c>
      <c r="E1545" s="2">
        <v>45008</v>
      </c>
      <c r="F1545">
        <v>603</v>
      </c>
      <c r="G1545" t="s">
        <v>1746</v>
      </c>
      <c r="H1545" t="s">
        <v>1747</v>
      </c>
      <c r="I1545" t="b">
        <v>0</v>
      </c>
      <c r="J1545" t="s">
        <v>1748</v>
      </c>
      <c r="K1545" t="s">
        <v>1776</v>
      </c>
      <c r="L1545" t="s">
        <v>1756</v>
      </c>
      <c r="M1545">
        <v>112</v>
      </c>
      <c r="N1545" t="b">
        <v>1</v>
      </c>
      <c r="O1545">
        <v>140</v>
      </c>
      <c r="P1545" t="s">
        <v>1752</v>
      </c>
      <c r="Q1545" t="s">
        <v>1753</v>
      </c>
      <c r="R1545" t="s">
        <v>1759</v>
      </c>
    </row>
    <row r="1546" spans="1:18" x14ac:dyDescent="0.25">
      <c r="A1546" t="s">
        <v>4086</v>
      </c>
      <c r="B1546" t="s">
        <v>1785</v>
      </c>
      <c r="C1546" t="s">
        <v>4</v>
      </c>
      <c r="D1546" t="s">
        <v>4085</v>
      </c>
      <c r="E1546" s="2">
        <v>41668</v>
      </c>
      <c r="F1546">
        <v>3943</v>
      </c>
      <c r="G1546" t="s">
        <v>1746</v>
      </c>
      <c r="H1546" t="s">
        <v>1747</v>
      </c>
      <c r="I1546" t="b">
        <v>0</v>
      </c>
      <c r="J1546" t="s">
        <v>1748</v>
      </c>
      <c r="K1546" t="s">
        <v>1917</v>
      </c>
      <c r="L1546" t="s">
        <v>1750</v>
      </c>
      <c r="M1546">
        <v>112</v>
      </c>
      <c r="N1546" t="b">
        <v>0</v>
      </c>
      <c r="O1546">
        <v>177</v>
      </c>
      <c r="P1546" t="s">
        <v>1752</v>
      </c>
      <c r="Q1546" t="s">
        <v>1753</v>
      </c>
      <c r="R1546" t="s">
        <v>2092</v>
      </c>
    </row>
    <row r="1547" spans="1:18" x14ac:dyDescent="0.25">
      <c r="A1547" t="s">
        <v>4088</v>
      </c>
      <c r="B1547" t="s">
        <v>2284</v>
      </c>
      <c r="C1547" t="s">
        <v>2338</v>
      </c>
      <c r="D1547" t="s">
        <v>4087</v>
      </c>
      <c r="E1547" s="2">
        <v>44137</v>
      </c>
      <c r="F1547">
        <v>1474</v>
      </c>
      <c r="G1547" t="s">
        <v>1746</v>
      </c>
      <c r="H1547" t="s">
        <v>1747</v>
      </c>
      <c r="I1547" t="b">
        <v>0</v>
      </c>
      <c r="J1547" t="s">
        <v>1748</v>
      </c>
      <c r="K1547" t="s">
        <v>1848</v>
      </c>
      <c r="L1547" t="s">
        <v>1775</v>
      </c>
      <c r="M1547">
        <v>112</v>
      </c>
      <c r="N1547" t="b">
        <v>0</v>
      </c>
      <c r="P1547" t="s">
        <v>2283</v>
      </c>
      <c r="Q1547" t="s">
        <v>1705</v>
      </c>
    </row>
    <row r="1548" spans="1:18" x14ac:dyDescent="0.25">
      <c r="A1548" t="s">
        <v>4090</v>
      </c>
      <c r="B1548" t="s">
        <v>1803</v>
      </c>
      <c r="C1548" t="s">
        <v>4</v>
      </c>
      <c r="D1548" t="s">
        <v>4089</v>
      </c>
      <c r="E1548" s="2">
        <v>41625</v>
      </c>
      <c r="F1548">
        <v>3986</v>
      </c>
      <c r="G1548" t="s">
        <v>1833</v>
      </c>
      <c r="H1548" t="s">
        <v>1798</v>
      </c>
      <c r="I1548" t="b">
        <v>0</v>
      </c>
      <c r="J1548" t="s">
        <v>1761</v>
      </c>
      <c r="K1548" t="s">
        <v>1857</v>
      </c>
      <c r="L1548" t="s">
        <v>1817</v>
      </c>
      <c r="M1548">
        <v>112</v>
      </c>
      <c r="N1548" t="b">
        <v>0</v>
      </c>
      <c r="O1548">
        <v>91</v>
      </c>
      <c r="P1548" t="s">
        <v>1819</v>
      </c>
      <c r="Q1548" t="s">
        <v>1753</v>
      </c>
      <c r="R1548" t="s">
        <v>1828</v>
      </c>
    </row>
    <row r="1549" spans="1:18" x14ac:dyDescent="0.25">
      <c r="A1549" t="s">
        <v>4092</v>
      </c>
      <c r="B1549" t="s">
        <v>2150</v>
      </c>
      <c r="C1549" t="s">
        <v>6</v>
      </c>
      <c r="D1549" t="s">
        <v>4091</v>
      </c>
      <c r="E1549" s="2">
        <v>44543</v>
      </c>
      <c r="F1549">
        <v>1068</v>
      </c>
      <c r="G1549" t="s">
        <v>1746</v>
      </c>
      <c r="H1549" t="s">
        <v>1747</v>
      </c>
      <c r="I1549" t="b">
        <v>1</v>
      </c>
      <c r="J1549" t="s">
        <v>1748</v>
      </c>
      <c r="K1549" t="s">
        <v>1985</v>
      </c>
      <c r="L1549" t="s">
        <v>1756</v>
      </c>
      <c r="M1549">
        <v>111</v>
      </c>
      <c r="N1549" t="b">
        <v>0</v>
      </c>
      <c r="O1549">
        <v>288</v>
      </c>
      <c r="P1549" t="s">
        <v>1819</v>
      </c>
      <c r="Q1549" t="s">
        <v>1753</v>
      </c>
    </row>
    <row r="1550" spans="1:18" x14ac:dyDescent="0.25">
      <c r="A1550" t="s">
        <v>4093</v>
      </c>
      <c r="B1550" t="s">
        <v>1945</v>
      </c>
      <c r="C1550" t="s">
        <v>6</v>
      </c>
      <c r="D1550" t="s">
        <v>157</v>
      </c>
      <c r="E1550" s="2">
        <v>41463</v>
      </c>
      <c r="F1550">
        <v>4148</v>
      </c>
      <c r="G1550" t="s">
        <v>1746</v>
      </c>
      <c r="H1550" t="s">
        <v>1798</v>
      </c>
      <c r="I1550" t="b">
        <v>0</v>
      </c>
      <c r="J1550" t="s">
        <v>1748</v>
      </c>
      <c r="K1550" t="s">
        <v>1865</v>
      </c>
      <c r="L1550" t="s">
        <v>1750</v>
      </c>
      <c r="M1550">
        <v>111</v>
      </c>
      <c r="N1550" t="b">
        <v>0</v>
      </c>
      <c r="O1550">
        <v>39</v>
      </c>
      <c r="P1550" t="s">
        <v>2266</v>
      </c>
      <c r="Q1550" t="s">
        <v>1753</v>
      </c>
      <c r="R1550" t="s">
        <v>1828</v>
      </c>
    </row>
    <row r="1551" spans="1:18" x14ac:dyDescent="0.25">
      <c r="A1551" t="s">
        <v>4094</v>
      </c>
      <c r="B1551" t="s">
        <v>2269</v>
      </c>
      <c r="C1551" t="s">
        <v>6</v>
      </c>
      <c r="D1551" t="s">
        <v>1469</v>
      </c>
      <c r="E1551" s="2">
        <v>39262</v>
      </c>
      <c r="F1551">
        <v>6349</v>
      </c>
      <c r="G1551" t="s">
        <v>1746</v>
      </c>
      <c r="H1551" t="s">
        <v>1798</v>
      </c>
      <c r="I1551" t="b">
        <v>0</v>
      </c>
      <c r="J1551" t="s">
        <v>1748</v>
      </c>
      <c r="K1551" t="s">
        <v>1917</v>
      </c>
      <c r="L1551" t="s">
        <v>1766</v>
      </c>
      <c r="M1551">
        <v>111</v>
      </c>
      <c r="N1551" t="b">
        <v>0</v>
      </c>
      <c r="P1551" t="s">
        <v>2070</v>
      </c>
      <c r="Q1551" t="s">
        <v>1753</v>
      </c>
    </row>
    <row r="1552" spans="1:18" x14ac:dyDescent="0.25">
      <c r="A1552" t="s">
        <v>4096</v>
      </c>
      <c r="B1552" t="s">
        <v>1704</v>
      </c>
      <c r="C1552" t="s">
        <v>4</v>
      </c>
      <c r="D1552" t="s">
        <v>4095</v>
      </c>
      <c r="E1552" s="2">
        <v>45441</v>
      </c>
      <c r="F1552">
        <v>170</v>
      </c>
      <c r="G1552" t="s">
        <v>1746</v>
      </c>
      <c r="H1552" t="s">
        <v>1798</v>
      </c>
      <c r="I1552" t="b">
        <v>1</v>
      </c>
      <c r="J1552" t="s">
        <v>1748</v>
      </c>
      <c r="K1552" t="s">
        <v>1824</v>
      </c>
      <c r="L1552" t="s">
        <v>1817</v>
      </c>
      <c r="M1552">
        <v>111</v>
      </c>
      <c r="N1552" t="b">
        <v>0</v>
      </c>
      <c r="O1552">
        <v>66</v>
      </c>
      <c r="P1552" t="s">
        <v>1819</v>
      </c>
      <c r="Q1552" t="s">
        <v>1753</v>
      </c>
      <c r="R1552" t="s">
        <v>1828</v>
      </c>
    </row>
    <row r="1553" spans="1:18" x14ac:dyDescent="0.25">
      <c r="A1553" t="s">
        <v>4097</v>
      </c>
      <c r="B1553" t="s">
        <v>2667</v>
      </c>
      <c r="C1553" t="s">
        <v>6</v>
      </c>
      <c r="D1553" t="s">
        <v>373</v>
      </c>
      <c r="E1553" s="2">
        <v>42914</v>
      </c>
      <c r="F1553">
        <v>2697</v>
      </c>
      <c r="G1553" t="s">
        <v>1746</v>
      </c>
      <c r="H1553" t="s">
        <v>1798</v>
      </c>
      <c r="I1553" t="b">
        <v>0</v>
      </c>
      <c r="J1553" t="s">
        <v>1748</v>
      </c>
      <c r="K1553" t="s">
        <v>1853</v>
      </c>
      <c r="L1553" t="s">
        <v>1750</v>
      </c>
      <c r="M1553">
        <v>111</v>
      </c>
      <c r="N1553" t="b">
        <v>1</v>
      </c>
      <c r="O1553">
        <v>143</v>
      </c>
      <c r="P1553" t="s">
        <v>1752</v>
      </c>
      <c r="Q1553" t="s">
        <v>1753</v>
      </c>
    </row>
    <row r="1554" spans="1:18" x14ac:dyDescent="0.25">
      <c r="A1554" t="s">
        <v>4099</v>
      </c>
      <c r="B1554" t="s">
        <v>1803</v>
      </c>
      <c r="C1554" t="s">
        <v>6</v>
      </c>
      <c r="D1554" t="s">
        <v>4098</v>
      </c>
      <c r="E1554" s="2">
        <v>42277</v>
      </c>
      <c r="F1554">
        <v>3334</v>
      </c>
      <c r="G1554" t="s">
        <v>1746</v>
      </c>
      <c r="H1554" t="s">
        <v>1747</v>
      </c>
      <c r="I1554" t="b">
        <v>1</v>
      </c>
      <c r="J1554" t="s">
        <v>1761</v>
      </c>
      <c r="K1554" t="s">
        <v>1774</v>
      </c>
      <c r="L1554" t="s">
        <v>1750</v>
      </c>
      <c r="M1554">
        <v>111</v>
      </c>
      <c r="N1554" t="b">
        <v>0</v>
      </c>
      <c r="O1554">
        <v>413</v>
      </c>
      <c r="P1554" t="s">
        <v>1752</v>
      </c>
      <c r="Q1554" t="s">
        <v>1753</v>
      </c>
      <c r="R1554" t="s">
        <v>1828</v>
      </c>
    </row>
    <row r="1555" spans="1:18" x14ac:dyDescent="0.25">
      <c r="A1555" t="s">
        <v>4101</v>
      </c>
      <c r="B1555" t="s">
        <v>3629</v>
      </c>
      <c r="C1555" t="s">
        <v>6</v>
      </c>
      <c r="D1555" t="s">
        <v>4100</v>
      </c>
      <c r="E1555" s="2">
        <v>43287</v>
      </c>
      <c r="F1555">
        <v>2324</v>
      </c>
      <c r="G1555" t="s">
        <v>1746</v>
      </c>
      <c r="H1555" t="s">
        <v>1798</v>
      </c>
      <c r="I1555" t="b">
        <v>0</v>
      </c>
      <c r="J1555" t="s">
        <v>1748</v>
      </c>
      <c r="K1555" t="s">
        <v>1922</v>
      </c>
      <c r="L1555" t="s">
        <v>1750</v>
      </c>
      <c r="M1555">
        <v>110</v>
      </c>
      <c r="N1555" t="b">
        <v>1</v>
      </c>
      <c r="P1555" t="s">
        <v>1752</v>
      </c>
      <c r="Q1555" t="s">
        <v>1753</v>
      </c>
      <c r="R1555" t="s">
        <v>1772</v>
      </c>
    </row>
    <row r="1556" spans="1:18" x14ac:dyDescent="0.25">
      <c r="A1556" t="s">
        <v>4102</v>
      </c>
      <c r="B1556" t="s">
        <v>2035</v>
      </c>
      <c r="C1556" t="s">
        <v>6</v>
      </c>
      <c r="D1556" t="s">
        <v>172</v>
      </c>
      <c r="E1556" s="2">
        <v>42872</v>
      </c>
      <c r="F1556">
        <v>2739</v>
      </c>
      <c r="G1556" t="s">
        <v>1746</v>
      </c>
      <c r="H1556" t="s">
        <v>1798</v>
      </c>
      <c r="I1556" t="b">
        <v>0</v>
      </c>
      <c r="J1556" t="s">
        <v>1748</v>
      </c>
      <c r="K1556" t="s">
        <v>1826</v>
      </c>
      <c r="L1556" t="s">
        <v>1750</v>
      </c>
      <c r="M1556">
        <v>110</v>
      </c>
      <c r="N1556" t="b">
        <v>1</v>
      </c>
      <c r="O1556">
        <v>155</v>
      </c>
      <c r="P1556" t="s">
        <v>1752</v>
      </c>
      <c r="Q1556" t="s">
        <v>1753</v>
      </c>
    </row>
    <row r="1557" spans="1:18" x14ac:dyDescent="0.25">
      <c r="A1557" t="s">
        <v>4103</v>
      </c>
      <c r="B1557" t="s">
        <v>1768</v>
      </c>
      <c r="C1557" t="s">
        <v>4</v>
      </c>
      <c r="D1557" t="s">
        <v>976</v>
      </c>
      <c r="E1557" s="2">
        <v>43873</v>
      </c>
      <c r="F1557">
        <v>1738</v>
      </c>
      <c r="G1557" t="s">
        <v>1746</v>
      </c>
      <c r="H1557" t="s">
        <v>1747</v>
      </c>
      <c r="I1557" t="b">
        <v>0</v>
      </c>
      <c r="J1557" t="s">
        <v>1748</v>
      </c>
      <c r="K1557" t="s">
        <v>1856</v>
      </c>
      <c r="L1557" t="s">
        <v>1750</v>
      </c>
      <c r="M1557">
        <v>110</v>
      </c>
      <c r="N1557" t="b">
        <v>1</v>
      </c>
      <c r="O1557">
        <v>28</v>
      </c>
      <c r="P1557" t="s">
        <v>1752</v>
      </c>
      <c r="Q1557" t="s">
        <v>1753</v>
      </c>
      <c r="R1557" t="s">
        <v>1759</v>
      </c>
    </row>
    <row r="1558" spans="1:18" x14ac:dyDescent="0.25">
      <c r="A1558" t="s">
        <v>649</v>
      </c>
      <c r="B1558" t="s">
        <v>1768</v>
      </c>
      <c r="C1558" t="s">
        <v>4</v>
      </c>
      <c r="D1558" t="s">
        <v>650</v>
      </c>
      <c r="E1558" s="2">
        <v>44902</v>
      </c>
      <c r="F1558">
        <v>709</v>
      </c>
      <c r="G1558" t="s">
        <v>1746</v>
      </c>
      <c r="H1558" t="s">
        <v>1747</v>
      </c>
      <c r="I1558" t="b">
        <v>0</v>
      </c>
      <c r="J1558" t="s">
        <v>1748</v>
      </c>
      <c r="K1558" t="s">
        <v>1868</v>
      </c>
      <c r="L1558" t="s">
        <v>1750</v>
      </c>
      <c r="M1558">
        <v>110</v>
      </c>
      <c r="N1558" t="b">
        <v>1</v>
      </c>
      <c r="O1558">
        <v>75</v>
      </c>
      <c r="P1558" t="s">
        <v>1752</v>
      </c>
      <c r="Q1558" t="s">
        <v>1753</v>
      </c>
      <c r="R1558" t="s">
        <v>1759</v>
      </c>
    </row>
    <row r="1559" spans="1:18" x14ac:dyDescent="0.25">
      <c r="A1559" t="s">
        <v>4105</v>
      </c>
      <c r="B1559" t="s">
        <v>2235</v>
      </c>
      <c r="C1559" t="s">
        <v>186</v>
      </c>
      <c r="D1559" t="s">
        <v>4104</v>
      </c>
      <c r="E1559" s="2">
        <v>44313</v>
      </c>
      <c r="F1559">
        <v>1298</v>
      </c>
      <c r="G1559" t="s">
        <v>1746</v>
      </c>
      <c r="H1559" t="s">
        <v>1747</v>
      </c>
      <c r="I1559" t="b">
        <v>0</v>
      </c>
      <c r="J1559" t="s">
        <v>1748</v>
      </c>
      <c r="K1559" t="s">
        <v>1880</v>
      </c>
      <c r="L1559" t="s">
        <v>1775</v>
      </c>
      <c r="M1559">
        <v>109</v>
      </c>
      <c r="N1559" t="b">
        <v>0</v>
      </c>
      <c r="P1559" t="s">
        <v>2283</v>
      </c>
      <c r="Q1559" t="s">
        <v>1705</v>
      </c>
    </row>
    <row r="1560" spans="1:18" x14ac:dyDescent="0.25">
      <c r="A1560" t="s">
        <v>4107</v>
      </c>
      <c r="B1560" t="s">
        <v>1704</v>
      </c>
      <c r="C1560" t="s">
        <v>6</v>
      </c>
      <c r="D1560" t="s">
        <v>4106</v>
      </c>
      <c r="E1560" s="2">
        <v>45267</v>
      </c>
      <c r="F1560">
        <v>344</v>
      </c>
      <c r="G1560" t="s">
        <v>1746</v>
      </c>
      <c r="H1560" t="s">
        <v>1798</v>
      </c>
      <c r="I1560" t="b">
        <v>1</v>
      </c>
      <c r="J1560" t="s">
        <v>1761</v>
      </c>
      <c r="K1560" t="s">
        <v>1751</v>
      </c>
      <c r="L1560" t="s">
        <v>1750</v>
      </c>
      <c r="M1560">
        <v>109</v>
      </c>
      <c r="N1560" t="b">
        <v>0</v>
      </c>
      <c r="O1560">
        <v>70</v>
      </c>
      <c r="P1560" t="s">
        <v>1752</v>
      </c>
      <c r="Q1560" t="s">
        <v>1753</v>
      </c>
    </row>
    <row r="1561" spans="1:18" x14ac:dyDescent="0.25">
      <c r="A1561" t="s">
        <v>4109</v>
      </c>
      <c r="B1561" t="s">
        <v>2503</v>
      </c>
      <c r="C1561" t="s">
        <v>4</v>
      </c>
      <c r="D1561" t="s">
        <v>4108</v>
      </c>
      <c r="E1561" s="2">
        <v>43755</v>
      </c>
      <c r="F1561">
        <v>1856</v>
      </c>
      <c r="G1561" t="s">
        <v>1746</v>
      </c>
      <c r="H1561" t="s">
        <v>1747</v>
      </c>
      <c r="I1561" t="b">
        <v>1</v>
      </c>
      <c r="J1561" t="s">
        <v>1761</v>
      </c>
      <c r="K1561" t="s">
        <v>1770</v>
      </c>
      <c r="L1561" t="s">
        <v>1750</v>
      </c>
      <c r="M1561">
        <v>109</v>
      </c>
      <c r="N1561" t="b">
        <v>0</v>
      </c>
      <c r="O1561">
        <v>97</v>
      </c>
      <c r="P1561" t="s">
        <v>1752</v>
      </c>
      <c r="Q1561" t="s">
        <v>1753</v>
      </c>
      <c r="R1561" t="s">
        <v>1759</v>
      </c>
    </row>
    <row r="1562" spans="1:18" x14ac:dyDescent="0.25">
      <c r="A1562" t="s">
        <v>4111</v>
      </c>
      <c r="B1562" t="s">
        <v>1785</v>
      </c>
      <c r="C1562" t="s">
        <v>4</v>
      </c>
      <c r="D1562" t="s">
        <v>4110</v>
      </c>
      <c r="E1562" s="2">
        <v>41648</v>
      </c>
      <c r="F1562">
        <v>3963</v>
      </c>
      <c r="G1562" t="s">
        <v>1746</v>
      </c>
      <c r="H1562" t="s">
        <v>1798</v>
      </c>
      <c r="I1562" t="b">
        <v>1</v>
      </c>
      <c r="J1562" t="s">
        <v>1761</v>
      </c>
      <c r="K1562" t="s">
        <v>2021</v>
      </c>
      <c r="L1562" t="s">
        <v>1750</v>
      </c>
      <c r="M1562">
        <v>109</v>
      </c>
      <c r="N1562" t="b">
        <v>1</v>
      </c>
      <c r="O1562">
        <v>47</v>
      </c>
      <c r="P1562" t="s">
        <v>1752</v>
      </c>
      <c r="Q1562" t="s">
        <v>1753</v>
      </c>
    </row>
    <row r="1563" spans="1:18" x14ac:dyDescent="0.25">
      <c r="A1563" t="s">
        <v>4113</v>
      </c>
      <c r="B1563" t="s">
        <v>1820</v>
      </c>
      <c r="C1563" t="s">
        <v>11</v>
      </c>
      <c r="D1563" t="s">
        <v>4112</v>
      </c>
      <c r="E1563" s="2">
        <v>39195</v>
      </c>
      <c r="F1563">
        <v>6416</v>
      </c>
      <c r="G1563" t="s">
        <v>1746</v>
      </c>
      <c r="H1563" t="s">
        <v>1747</v>
      </c>
      <c r="I1563" t="b">
        <v>0</v>
      </c>
      <c r="J1563" t="s">
        <v>1748</v>
      </c>
      <c r="K1563" t="s">
        <v>1913</v>
      </c>
      <c r="L1563" t="s">
        <v>1766</v>
      </c>
      <c r="M1563">
        <v>109</v>
      </c>
      <c r="N1563" t="b">
        <v>0</v>
      </c>
      <c r="P1563" t="s">
        <v>1752</v>
      </c>
      <c r="Q1563" t="s">
        <v>1753</v>
      </c>
      <c r="R1563" t="s">
        <v>1772</v>
      </c>
    </row>
    <row r="1564" spans="1:18" x14ac:dyDescent="0.25">
      <c r="A1564" t="s">
        <v>775</v>
      </c>
      <c r="B1564" t="s">
        <v>2071</v>
      </c>
      <c r="C1564" t="s">
        <v>4</v>
      </c>
      <c r="D1564" t="s">
        <v>776</v>
      </c>
      <c r="E1564" s="2">
        <v>44104</v>
      </c>
      <c r="F1564">
        <v>1507</v>
      </c>
      <c r="G1564" t="s">
        <v>1746</v>
      </c>
      <c r="H1564" t="s">
        <v>1798</v>
      </c>
      <c r="I1564" t="b">
        <v>0</v>
      </c>
      <c r="J1564" t="s">
        <v>1748</v>
      </c>
      <c r="K1564" t="s">
        <v>1848</v>
      </c>
      <c r="L1564" t="s">
        <v>1750</v>
      </c>
      <c r="M1564">
        <v>108</v>
      </c>
      <c r="N1564" t="b">
        <v>0</v>
      </c>
      <c r="O1564">
        <v>32</v>
      </c>
      <c r="P1564" t="s">
        <v>1752</v>
      </c>
      <c r="Q1564" t="s">
        <v>1753</v>
      </c>
    </row>
    <row r="1565" spans="1:18" x14ac:dyDescent="0.25">
      <c r="A1565" t="s">
        <v>4115</v>
      </c>
      <c r="B1565" t="s">
        <v>2662</v>
      </c>
      <c r="C1565" t="s">
        <v>4</v>
      </c>
      <c r="D1565" t="s">
        <v>4114</v>
      </c>
      <c r="E1565" s="2">
        <v>45189</v>
      </c>
      <c r="F1565">
        <v>422</v>
      </c>
      <c r="G1565" t="s">
        <v>1746</v>
      </c>
      <c r="H1565" t="s">
        <v>1747</v>
      </c>
      <c r="I1565" t="b">
        <v>1</v>
      </c>
      <c r="J1565" t="s">
        <v>1761</v>
      </c>
      <c r="K1565" t="s">
        <v>1776</v>
      </c>
      <c r="L1565" t="s">
        <v>1817</v>
      </c>
      <c r="M1565">
        <v>108</v>
      </c>
      <c r="N1565" t="b">
        <v>0</v>
      </c>
      <c r="O1565">
        <v>3729</v>
      </c>
      <c r="P1565" t="s">
        <v>1819</v>
      </c>
      <c r="Q1565" t="s">
        <v>1753</v>
      </c>
      <c r="R1565" t="s">
        <v>1759</v>
      </c>
    </row>
    <row r="1566" spans="1:18" x14ac:dyDescent="0.25">
      <c r="A1566" t="s">
        <v>4117</v>
      </c>
      <c r="B1566" t="s">
        <v>1803</v>
      </c>
      <c r="C1566" t="s">
        <v>6</v>
      </c>
      <c r="D1566" t="s">
        <v>4116</v>
      </c>
      <c r="E1566" s="2">
        <v>42837</v>
      </c>
      <c r="F1566">
        <v>2774</v>
      </c>
      <c r="G1566" t="s">
        <v>1746</v>
      </c>
      <c r="H1566" t="s">
        <v>1798</v>
      </c>
      <c r="I1566" t="b">
        <v>1</v>
      </c>
      <c r="J1566" t="s">
        <v>1761</v>
      </c>
      <c r="K1566" t="s">
        <v>1824</v>
      </c>
      <c r="L1566" t="s">
        <v>1750</v>
      </c>
      <c r="M1566">
        <v>107</v>
      </c>
      <c r="N1566" t="b">
        <v>0</v>
      </c>
      <c r="O1566">
        <v>601</v>
      </c>
      <c r="P1566" t="s">
        <v>1752</v>
      </c>
      <c r="Q1566" t="s">
        <v>1753</v>
      </c>
      <c r="R1566" t="s">
        <v>1828</v>
      </c>
    </row>
    <row r="1567" spans="1:18" x14ac:dyDescent="0.25">
      <c r="A1567" t="s">
        <v>4119</v>
      </c>
      <c r="B1567" t="s">
        <v>2620</v>
      </c>
      <c r="C1567" t="s">
        <v>4</v>
      </c>
      <c r="D1567" t="s">
        <v>4118</v>
      </c>
      <c r="E1567" s="2">
        <v>44308</v>
      </c>
      <c r="F1567">
        <v>1303</v>
      </c>
      <c r="G1567" t="s">
        <v>1746</v>
      </c>
      <c r="H1567" t="s">
        <v>1747</v>
      </c>
      <c r="I1567" t="b">
        <v>0</v>
      </c>
      <c r="J1567" t="s">
        <v>1761</v>
      </c>
      <c r="K1567" t="s">
        <v>1755</v>
      </c>
      <c r="L1567" t="s">
        <v>1750</v>
      </c>
      <c r="M1567">
        <v>107</v>
      </c>
      <c r="N1567" t="b">
        <v>1</v>
      </c>
      <c r="O1567">
        <v>590</v>
      </c>
      <c r="P1567" t="s">
        <v>1752</v>
      </c>
      <c r="Q1567" t="s">
        <v>1753</v>
      </c>
      <c r="R1567" t="s">
        <v>1759</v>
      </c>
    </row>
    <row r="1568" spans="1:18" x14ac:dyDescent="0.25">
      <c r="A1568" t="s">
        <v>4120</v>
      </c>
      <c r="B1568" t="s">
        <v>1810</v>
      </c>
      <c r="C1568" t="s">
        <v>4</v>
      </c>
      <c r="D1568" t="s">
        <v>688</v>
      </c>
      <c r="E1568" s="2">
        <v>40190</v>
      </c>
      <c r="F1568">
        <v>5421</v>
      </c>
      <c r="G1568" t="s">
        <v>1746</v>
      </c>
      <c r="H1568" t="s">
        <v>1805</v>
      </c>
      <c r="I1568" t="b">
        <v>1</v>
      </c>
      <c r="J1568" t="s">
        <v>1748</v>
      </c>
      <c r="K1568" t="s">
        <v>1787</v>
      </c>
      <c r="L1568" t="s">
        <v>1750</v>
      </c>
      <c r="M1568">
        <v>107</v>
      </c>
      <c r="N1568" t="b">
        <v>0</v>
      </c>
      <c r="O1568">
        <v>78</v>
      </c>
      <c r="P1568" t="s">
        <v>1752</v>
      </c>
      <c r="Q1568" t="s">
        <v>1753</v>
      </c>
    </row>
    <row r="1569" spans="1:18" x14ac:dyDescent="0.25">
      <c r="A1569" t="s">
        <v>4122</v>
      </c>
      <c r="B1569" t="s">
        <v>2173</v>
      </c>
      <c r="C1569" t="s">
        <v>6</v>
      </c>
      <c r="D1569" t="s">
        <v>4121</v>
      </c>
      <c r="E1569" s="2">
        <v>43131</v>
      </c>
      <c r="F1569">
        <v>2480</v>
      </c>
      <c r="G1569" t="s">
        <v>1746</v>
      </c>
      <c r="H1569" t="s">
        <v>1747</v>
      </c>
      <c r="I1569" t="b">
        <v>0</v>
      </c>
      <c r="J1569" t="s">
        <v>1748</v>
      </c>
      <c r="K1569" t="s">
        <v>1986</v>
      </c>
      <c r="L1569" t="s">
        <v>1817</v>
      </c>
      <c r="M1569">
        <v>107</v>
      </c>
      <c r="N1569" t="b">
        <v>0</v>
      </c>
      <c r="O1569">
        <v>605</v>
      </c>
      <c r="P1569" t="s">
        <v>1819</v>
      </c>
      <c r="Q1569" t="s">
        <v>1753</v>
      </c>
    </row>
    <row r="1570" spans="1:18" x14ac:dyDescent="0.25">
      <c r="A1570" t="s">
        <v>4123</v>
      </c>
      <c r="B1570" t="s">
        <v>2106</v>
      </c>
      <c r="C1570" t="s">
        <v>4</v>
      </c>
      <c r="D1570" t="s">
        <v>105</v>
      </c>
      <c r="E1570" s="2">
        <v>44824</v>
      </c>
      <c r="F1570">
        <v>787</v>
      </c>
      <c r="G1570" t="s">
        <v>1746</v>
      </c>
      <c r="H1570" t="s">
        <v>1798</v>
      </c>
      <c r="I1570" t="b">
        <v>0</v>
      </c>
      <c r="J1570" t="s">
        <v>1748</v>
      </c>
      <c r="K1570" t="s">
        <v>1770</v>
      </c>
      <c r="L1570" t="s">
        <v>1750</v>
      </c>
      <c r="M1570">
        <v>107</v>
      </c>
      <c r="N1570" t="b">
        <v>1</v>
      </c>
      <c r="O1570">
        <v>73</v>
      </c>
      <c r="P1570" t="s">
        <v>1752</v>
      </c>
      <c r="Q1570" t="s">
        <v>1753</v>
      </c>
      <c r="R1570" t="s">
        <v>1759</v>
      </c>
    </row>
    <row r="1571" spans="1:18" x14ac:dyDescent="0.25">
      <c r="A1571" t="s">
        <v>1708</v>
      </c>
      <c r="B1571" t="s">
        <v>2284</v>
      </c>
      <c r="C1571" t="s">
        <v>572</v>
      </c>
      <c r="D1571" t="s">
        <v>4124</v>
      </c>
      <c r="E1571" s="2">
        <v>44231</v>
      </c>
      <c r="F1571">
        <v>1380</v>
      </c>
      <c r="G1571" t="s">
        <v>1746</v>
      </c>
      <c r="H1571" t="s">
        <v>1747</v>
      </c>
      <c r="I1571" t="b">
        <v>0</v>
      </c>
      <c r="J1571" t="s">
        <v>1748</v>
      </c>
      <c r="K1571" t="s">
        <v>1845</v>
      </c>
      <c r="L1571" t="s">
        <v>1775</v>
      </c>
      <c r="M1571">
        <v>107</v>
      </c>
      <c r="N1571" t="b">
        <v>0</v>
      </c>
      <c r="P1571" t="s">
        <v>2283</v>
      </c>
      <c r="Q1571" t="s">
        <v>1705</v>
      </c>
    </row>
    <row r="1572" spans="1:18" x14ac:dyDescent="0.25">
      <c r="A1572" t="s">
        <v>4126</v>
      </c>
      <c r="B1572" t="s">
        <v>2483</v>
      </c>
      <c r="C1572" t="s">
        <v>6</v>
      </c>
      <c r="D1572" t="s">
        <v>4125</v>
      </c>
      <c r="E1572" s="2">
        <v>45504</v>
      </c>
      <c r="F1572">
        <v>107</v>
      </c>
      <c r="G1572" t="s">
        <v>1746</v>
      </c>
      <c r="H1572" t="s">
        <v>1747</v>
      </c>
      <c r="I1572" t="b">
        <v>0</v>
      </c>
      <c r="J1572" t="s">
        <v>1748</v>
      </c>
      <c r="K1572" t="s">
        <v>1880</v>
      </c>
      <c r="L1572" t="s">
        <v>2102</v>
      </c>
      <c r="M1572">
        <v>107</v>
      </c>
      <c r="N1572" t="b">
        <v>0</v>
      </c>
      <c r="P1572" t="s">
        <v>1752</v>
      </c>
      <c r="Q1572" t="s">
        <v>1753</v>
      </c>
    </row>
    <row r="1573" spans="1:18" x14ac:dyDescent="0.25">
      <c r="A1573" t="s">
        <v>4127</v>
      </c>
      <c r="B1573" t="s">
        <v>2220</v>
      </c>
      <c r="C1573" t="s">
        <v>4</v>
      </c>
      <c r="D1573" t="s">
        <v>461</v>
      </c>
      <c r="E1573" s="2">
        <v>43006</v>
      </c>
      <c r="F1573">
        <v>2605</v>
      </c>
      <c r="G1573" t="s">
        <v>1746</v>
      </c>
      <c r="H1573" t="s">
        <v>1747</v>
      </c>
      <c r="I1573" t="b">
        <v>1</v>
      </c>
      <c r="J1573" t="s">
        <v>1761</v>
      </c>
      <c r="K1573" t="s">
        <v>1868</v>
      </c>
      <c r="L1573" t="s">
        <v>1750</v>
      </c>
      <c r="M1573">
        <v>106</v>
      </c>
      <c r="N1573" t="b">
        <v>0</v>
      </c>
      <c r="O1573">
        <v>252</v>
      </c>
      <c r="P1573" t="s">
        <v>1752</v>
      </c>
      <c r="Q1573" t="s">
        <v>1753</v>
      </c>
    </row>
    <row r="1574" spans="1:18" x14ac:dyDescent="0.25">
      <c r="A1574" t="s">
        <v>4129</v>
      </c>
      <c r="B1574" t="s">
        <v>2564</v>
      </c>
      <c r="C1574" t="s">
        <v>6</v>
      </c>
      <c r="D1574" t="s">
        <v>4128</v>
      </c>
      <c r="E1574" s="2">
        <v>43511</v>
      </c>
      <c r="F1574">
        <v>2100</v>
      </c>
      <c r="G1574" t="s">
        <v>1746</v>
      </c>
      <c r="H1574" t="s">
        <v>1798</v>
      </c>
      <c r="I1574" t="b">
        <v>0</v>
      </c>
      <c r="J1574" t="s">
        <v>1748</v>
      </c>
      <c r="K1574" t="s">
        <v>1776</v>
      </c>
      <c r="L1574" t="s">
        <v>1750</v>
      </c>
      <c r="M1574">
        <v>106</v>
      </c>
      <c r="N1574" t="b">
        <v>1</v>
      </c>
      <c r="O1574">
        <v>116</v>
      </c>
      <c r="P1574" t="s">
        <v>1752</v>
      </c>
      <c r="Q1574" t="s">
        <v>1753</v>
      </c>
      <c r="R1574" t="s">
        <v>1828</v>
      </c>
    </row>
    <row r="1575" spans="1:18" x14ac:dyDescent="0.25">
      <c r="A1575" t="s">
        <v>4131</v>
      </c>
      <c r="B1575" t="s">
        <v>2157</v>
      </c>
      <c r="C1575" t="s">
        <v>4</v>
      </c>
      <c r="D1575" t="s">
        <v>4130</v>
      </c>
      <c r="E1575" s="2">
        <v>45229</v>
      </c>
      <c r="F1575">
        <v>382</v>
      </c>
      <c r="G1575" t="s">
        <v>1833</v>
      </c>
      <c r="H1575" t="s">
        <v>1747</v>
      </c>
      <c r="I1575" t="b">
        <v>0</v>
      </c>
      <c r="J1575" t="s">
        <v>1748</v>
      </c>
      <c r="K1575" t="s">
        <v>1770</v>
      </c>
      <c r="L1575" t="s">
        <v>1750</v>
      </c>
      <c r="M1575">
        <v>106</v>
      </c>
      <c r="N1575" t="b">
        <v>1</v>
      </c>
      <c r="P1575" t="s">
        <v>1819</v>
      </c>
      <c r="Q1575" t="s">
        <v>1753</v>
      </c>
      <c r="R1575" t="s">
        <v>1759</v>
      </c>
    </row>
    <row r="1576" spans="1:18" x14ac:dyDescent="0.25">
      <c r="A1576" t="s">
        <v>4132</v>
      </c>
      <c r="B1576" t="s">
        <v>1876</v>
      </c>
      <c r="C1576" t="s">
        <v>4</v>
      </c>
      <c r="D1576" t="s">
        <v>1236</v>
      </c>
      <c r="E1576" s="2">
        <v>43879</v>
      </c>
      <c r="F1576">
        <v>1732</v>
      </c>
      <c r="G1576" t="s">
        <v>1746</v>
      </c>
      <c r="H1576" t="s">
        <v>1747</v>
      </c>
      <c r="I1576" t="b">
        <v>0</v>
      </c>
      <c r="J1576" t="s">
        <v>1748</v>
      </c>
      <c r="K1576" t="s">
        <v>1988</v>
      </c>
      <c r="L1576" t="s">
        <v>2102</v>
      </c>
      <c r="M1576">
        <v>106</v>
      </c>
      <c r="N1576" t="b">
        <v>0</v>
      </c>
      <c r="P1576" t="s">
        <v>1752</v>
      </c>
      <c r="Q1576" t="s">
        <v>1753</v>
      </c>
    </row>
    <row r="1577" spans="1:18" x14ac:dyDescent="0.25">
      <c r="A1577" t="s">
        <v>4134</v>
      </c>
      <c r="B1577" t="s">
        <v>4135</v>
      </c>
      <c r="C1577" t="s">
        <v>4</v>
      </c>
      <c r="D1577" t="s">
        <v>4133</v>
      </c>
      <c r="E1577" s="2">
        <v>44615</v>
      </c>
      <c r="F1577">
        <v>996</v>
      </c>
      <c r="G1577" t="s">
        <v>1746</v>
      </c>
      <c r="H1577" t="s">
        <v>1747</v>
      </c>
      <c r="I1577" t="b">
        <v>1</v>
      </c>
      <c r="J1577" t="s">
        <v>1748</v>
      </c>
      <c r="K1577" t="s">
        <v>1757</v>
      </c>
      <c r="L1577" t="s">
        <v>1750</v>
      </c>
      <c r="M1577">
        <v>106</v>
      </c>
      <c r="N1577" t="b">
        <v>1</v>
      </c>
      <c r="O1577">
        <v>101</v>
      </c>
      <c r="P1577" t="s">
        <v>1752</v>
      </c>
      <c r="Q1577" t="s">
        <v>1753</v>
      </c>
      <c r="R1577" t="s">
        <v>1759</v>
      </c>
    </row>
    <row r="1578" spans="1:18" x14ac:dyDescent="0.25">
      <c r="A1578" t="s">
        <v>4136</v>
      </c>
      <c r="B1578" t="s">
        <v>2035</v>
      </c>
      <c r="C1578" t="s">
        <v>6</v>
      </c>
      <c r="D1578" t="s">
        <v>906</v>
      </c>
      <c r="E1578" s="2">
        <v>38443</v>
      </c>
      <c r="F1578">
        <v>7168</v>
      </c>
      <c r="G1578" t="s">
        <v>1746</v>
      </c>
      <c r="H1578" t="s">
        <v>1798</v>
      </c>
      <c r="I1578" t="b">
        <v>0</v>
      </c>
      <c r="J1578" t="s">
        <v>1761</v>
      </c>
      <c r="K1578" t="s">
        <v>1880</v>
      </c>
      <c r="L1578" t="s">
        <v>1750</v>
      </c>
      <c r="M1578">
        <v>106</v>
      </c>
      <c r="N1578" t="b">
        <v>0</v>
      </c>
      <c r="O1578">
        <v>104</v>
      </c>
      <c r="P1578" t="s">
        <v>1752</v>
      </c>
      <c r="Q1578" t="s">
        <v>1753</v>
      </c>
      <c r="R1578" t="s">
        <v>1828</v>
      </c>
    </row>
    <row r="1579" spans="1:18" x14ac:dyDescent="0.25">
      <c r="A1579" t="s">
        <v>4138</v>
      </c>
      <c r="B1579" t="s">
        <v>2032</v>
      </c>
      <c r="C1579" t="s">
        <v>6</v>
      </c>
      <c r="D1579" t="s">
        <v>4137</v>
      </c>
      <c r="E1579" s="2">
        <v>41744</v>
      </c>
      <c r="F1579">
        <v>3867</v>
      </c>
      <c r="G1579" t="s">
        <v>1746</v>
      </c>
      <c r="H1579" t="s">
        <v>1805</v>
      </c>
      <c r="I1579" t="b">
        <v>0</v>
      </c>
      <c r="J1579" t="s">
        <v>1761</v>
      </c>
      <c r="K1579" t="s">
        <v>1934</v>
      </c>
      <c r="L1579" t="s">
        <v>1766</v>
      </c>
      <c r="M1579">
        <v>105</v>
      </c>
      <c r="N1579" t="b">
        <v>0</v>
      </c>
      <c r="P1579" t="s">
        <v>1752</v>
      </c>
      <c r="Q1579" t="s">
        <v>1753</v>
      </c>
    </row>
    <row r="1580" spans="1:18" x14ac:dyDescent="0.25">
      <c r="A1580" t="s">
        <v>4139</v>
      </c>
      <c r="B1580" t="s">
        <v>1768</v>
      </c>
      <c r="C1580" t="s">
        <v>4</v>
      </c>
      <c r="D1580" t="s">
        <v>979</v>
      </c>
      <c r="E1580" s="2">
        <v>44070</v>
      </c>
      <c r="F1580">
        <v>1541</v>
      </c>
      <c r="G1580" t="s">
        <v>1746</v>
      </c>
      <c r="H1580" t="s">
        <v>1747</v>
      </c>
      <c r="I1580" t="b">
        <v>0</v>
      </c>
      <c r="J1580" t="s">
        <v>1748</v>
      </c>
      <c r="K1580" t="s">
        <v>1856</v>
      </c>
      <c r="L1580" t="s">
        <v>1750</v>
      </c>
      <c r="M1580">
        <v>105</v>
      </c>
      <c r="N1580" t="b">
        <v>1</v>
      </c>
      <c r="O1580">
        <v>55</v>
      </c>
      <c r="P1580" t="s">
        <v>1752</v>
      </c>
      <c r="Q1580" t="s">
        <v>1753</v>
      </c>
      <c r="R1580" t="s">
        <v>1759</v>
      </c>
    </row>
    <row r="1581" spans="1:18" x14ac:dyDescent="0.25">
      <c r="A1581" t="s">
        <v>4140</v>
      </c>
      <c r="B1581" t="s">
        <v>4141</v>
      </c>
      <c r="C1581" t="s">
        <v>6</v>
      </c>
      <c r="D1581" t="s">
        <v>936</v>
      </c>
      <c r="E1581" s="2">
        <v>41177</v>
      </c>
      <c r="F1581">
        <v>4434</v>
      </c>
      <c r="G1581" t="s">
        <v>1746</v>
      </c>
      <c r="H1581" t="s">
        <v>1798</v>
      </c>
      <c r="I1581" t="b">
        <v>0</v>
      </c>
      <c r="J1581" t="s">
        <v>1748</v>
      </c>
      <c r="K1581" t="s">
        <v>2042</v>
      </c>
      <c r="L1581" t="s">
        <v>1766</v>
      </c>
      <c r="M1581">
        <v>105</v>
      </c>
      <c r="N1581" t="b">
        <v>0</v>
      </c>
      <c r="P1581" t="s">
        <v>1752</v>
      </c>
      <c r="Q1581" t="s">
        <v>1753</v>
      </c>
    </row>
    <row r="1582" spans="1:18" x14ac:dyDescent="0.25">
      <c r="A1582" t="s">
        <v>4143</v>
      </c>
      <c r="B1582" t="s">
        <v>1907</v>
      </c>
      <c r="C1582" t="s">
        <v>4</v>
      </c>
      <c r="D1582" t="s">
        <v>4142</v>
      </c>
      <c r="E1582" s="2">
        <v>45042</v>
      </c>
      <c r="F1582">
        <v>569</v>
      </c>
      <c r="G1582" t="s">
        <v>1746</v>
      </c>
      <c r="H1582" t="s">
        <v>1798</v>
      </c>
      <c r="I1582" t="b">
        <v>1</v>
      </c>
      <c r="J1582" t="s">
        <v>1748</v>
      </c>
      <c r="K1582" t="s">
        <v>1826</v>
      </c>
      <c r="L1582" t="s">
        <v>1817</v>
      </c>
      <c r="M1582">
        <v>105</v>
      </c>
      <c r="N1582" t="b">
        <v>1</v>
      </c>
      <c r="O1582">
        <v>4586</v>
      </c>
      <c r="P1582" t="s">
        <v>1819</v>
      </c>
      <c r="Q1582" t="s">
        <v>1753</v>
      </c>
      <c r="R1582" t="s">
        <v>1759</v>
      </c>
    </row>
    <row r="1583" spans="1:18" x14ac:dyDescent="0.25">
      <c r="A1583" t="s">
        <v>4145</v>
      </c>
      <c r="B1583" t="s">
        <v>1704</v>
      </c>
      <c r="C1583" t="s">
        <v>4</v>
      </c>
      <c r="D1583" t="s">
        <v>4144</v>
      </c>
      <c r="E1583" s="2">
        <v>45461</v>
      </c>
      <c r="F1583">
        <v>150</v>
      </c>
      <c r="G1583" t="s">
        <v>1746</v>
      </c>
      <c r="H1583" t="s">
        <v>1798</v>
      </c>
      <c r="I1583" t="b">
        <v>0</v>
      </c>
      <c r="J1583" t="s">
        <v>1748</v>
      </c>
      <c r="K1583" t="s">
        <v>1755</v>
      </c>
      <c r="L1583" t="s">
        <v>1750</v>
      </c>
      <c r="M1583">
        <v>104</v>
      </c>
      <c r="N1583" t="b">
        <v>1</v>
      </c>
      <c r="O1583">
        <v>894</v>
      </c>
      <c r="P1583" t="s">
        <v>1752</v>
      </c>
      <c r="Q1583" t="s">
        <v>1753</v>
      </c>
      <c r="R1583" t="s">
        <v>1759</v>
      </c>
    </row>
    <row r="1584" spans="1:18" x14ac:dyDescent="0.25">
      <c r="A1584" t="s">
        <v>2888</v>
      </c>
      <c r="B1584" t="s">
        <v>1978</v>
      </c>
      <c r="C1584" t="s">
        <v>4</v>
      </c>
      <c r="D1584" t="s">
        <v>4146</v>
      </c>
      <c r="E1584" s="2">
        <v>43216</v>
      </c>
      <c r="F1584">
        <v>2395</v>
      </c>
      <c r="G1584" t="s">
        <v>1746</v>
      </c>
      <c r="H1584" t="s">
        <v>1805</v>
      </c>
      <c r="I1584" t="b">
        <v>1</v>
      </c>
      <c r="J1584" t="s">
        <v>1761</v>
      </c>
      <c r="K1584" t="s">
        <v>1755</v>
      </c>
      <c r="L1584" t="s">
        <v>1756</v>
      </c>
      <c r="M1584">
        <v>104</v>
      </c>
      <c r="N1584" t="b">
        <v>0</v>
      </c>
      <c r="O1584">
        <v>542</v>
      </c>
      <c r="P1584" t="s">
        <v>1752</v>
      </c>
      <c r="Q1584" t="s">
        <v>1753</v>
      </c>
    </row>
    <row r="1585" spans="1:18" x14ac:dyDescent="0.25">
      <c r="A1585" t="s">
        <v>4148</v>
      </c>
      <c r="B1585" t="s">
        <v>1803</v>
      </c>
      <c r="C1585" t="s">
        <v>4</v>
      </c>
      <c r="D1585" t="s">
        <v>4147</v>
      </c>
      <c r="E1585" s="2">
        <v>43634</v>
      </c>
      <c r="F1585">
        <v>1977</v>
      </c>
      <c r="G1585" t="s">
        <v>1746</v>
      </c>
      <c r="H1585" t="s">
        <v>1798</v>
      </c>
      <c r="I1585" t="b">
        <v>0</v>
      </c>
      <c r="J1585" t="s">
        <v>1761</v>
      </c>
      <c r="K1585" t="s">
        <v>1822</v>
      </c>
      <c r="L1585" t="s">
        <v>1817</v>
      </c>
      <c r="M1585">
        <v>104</v>
      </c>
      <c r="N1585" t="b">
        <v>0</v>
      </c>
      <c r="O1585">
        <v>9003</v>
      </c>
      <c r="P1585" t="s">
        <v>1819</v>
      </c>
      <c r="Q1585" t="s">
        <v>1753</v>
      </c>
      <c r="R1585" t="s">
        <v>1759</v>
      </c>
    </row>
    <row r="1586" spans="1:18" x14ac:dyDescent="0.25">
      <c r="A1586" t="s">
        <v>4150</v>
      </c>
      <c r="B1586" t="s">
        <v>2177</v>
      </c>
      <c r="C1586" t="s">
        <v>6</v>
      </c>
      <c r="D1586" t="s">
        <v>4149</v>
      </c>
      <c r="E1586" s="2">
        <v>43496</v>
      </c>
      <c r="F1586">
        <v>2115</v>
      </c>
      <c r="G1586" t="s">
        <v>1746</v>
      </c>
      <c r="H1586" t="s">
        <v>1805</v>
      </c>
      <c r="I1586" t="b">
        <v>0</v>
      </c>
      <c r="J1586" t="s">
        <v>1761</v>
      </c>
      <c r="K1586" t="s">
        <v>1986</v>
      </c>
      <c r="L1586" t="s">
        <v>1750</v>
      </c>
      <c r="M1586">
        <v>104</v>
      </c>
      <c r="N1586" t="b">
        <v>0</v>
      </c>
      <c r="O1586">
        <v>15</v>
      </c>
      <c r="P1586" t="s">
        <v>1819</v>
      </c>
      <c r="Q1586" t="s">
        <v>1753</v>
      </c>
    </row>
    <row r="1587" spans="1:18" x14ac:dyDescent="0.25">
      <c r="A1587" t="s">
        <v>4152</v>
      </c>
      <c r="B1587" t="s">
        <v>2051</v>
      </c>
      <c r="C1587" t="s">
        <v>4</v>
      </c>
      <c r="D1587" t="s">
        <v>4151</v>
      </c>
      <c r="E1587" s="2">
        <v>41536</v>
      </c>
      <c r="F1587">
        <v>4075</v>
      </c>
      <c r="G1587" t="s">
        <v>1746</v>
      </c>
      <c r="H1587" t="s">
        <v>1747</v>
      </c>
      <c r="I1587" t="b">
        <v>1</v>
      </c>
      <c r="J1587" t="s">
        <v>1761</v>
      </c>
      <c r="K1587" t="s">
        <v>1776</v>
      </c>
      <c r="L1587" t="s">
        <v>1817</v>
      </c>
      <c r="M1587">
        <v>104</v>
      </c>
      <c r="N1587" t="b">
        <v>0</v>
      </c>
      <c r="O1587">
        <v>2723</v>
      </c>
      <c r="P1587" t="s">
        <v>1819</v>
      </c>
      <c r="Q1587" t="s">
        <v>1753</v>
      </c>
      <c r="R1587" t="s">
        <v>1759</v>
      </c>
    </row>
    <row r="1588" spans="1:18" x14ac:dyDescent="0.25">
      <c r="A1588" t="s">
        <v>4153</v>
      </c>
      <c r="B1588" t="s">
        <v>2035</v>
      </c>
      <c r="C1588" t="s">
        <v>6</v>
      </c>
      <c r="D1588" t="s">
        <v>100</v>
      </c>
      <c r="E1588" s="2">
        <v>42038</v>
      </c>
      <c r="F1588">
        <v>3573</v>
      </c>
      <c r="G1588" t="s">
        <v>1746</v>
      </c>
      <c r="H1588" t="s">
        <v>1798</v>
      </c>
      <c r="I1588" t="b">
        <v>0</v>
      </c>
      <c r="J1588" t="s">
        <v>1748</v>
      </c>
      <c r="K1588" t="s">
        <v>1824</v>
      </c>
      <c r="L1588" t="s">
        <v>1766</v>
      </c>
      <c r="M1588">
        <v>104</v>
      </c>
      <c r="N1588" t="b">
        <v>0</v>
      </c>
      <c r="P1588" t="s">
        <v>1752</v>
      </c>
      <c r="Q1588" t="s">
        <v>1753</v>
      </c>
    </row>
    <row r="1589" spans="1:18" x14ac:dyDescent="0.25">
      <c r="A1589" t="s">
        <v>4155</v>
      </c>
      <c r="B1589" t="s">
        <v>1866</v>
      </c>
      <c r="C1589" t="s">
        <v>572</v>
      </c>
      <c r="D1589" t="s">
        <v>4154</v>
      </c>
      <c r="E1589" s="2">
        <v>42307</v>
      </c>
      <c r="F1589">
        <v>3304</v>
      </c>
      <c r="G1589" t="s">
        <v>1746</v>
      </c>
      <c r="H1589" t="s">
        <v>1798</v>
      </c>
      <c r="I1589" t="b">
        <v>0</v>
      </c>
      <c r="J1589" t="s">
        <v>1761</v>
      </c>
      <c r="K1589" t="s">
        <v>1853</v>
      </c>
      <c r="L1589" t="s">
        <v>1750</v>
      </c>
      <c r="M1589">
        <v>103</v>
      </c>
      <c r="N1589" t="b">
        <v>1</v>
      </c>
      <c r="O1589">
        <v>40</v>
      </c>
      <c r="P1589" t="s">
        <v>1752</v>
      </c>
      <c r="Q1589" t="s">
        <v>1753</v>
      </c>
    </row>
    <row r="1590" spans="1:18" x14ac:dyDescent="0.25">
      <c r="A1590" t="s">
        <v>4157</v>
      </c>
      <c r="B1590" t="s">
        <v>2965</v>
      </c>
      <c r="C1590" t="s">
        <v>4</v>
      </c>
      <c r="D1590" t="s">
        <v>4156</v>
      </c>
      <c r="E1590" s="2">
        <v>43440</v>
      </c>
      <c r="F1590">
        <v>2171</v>
      </c>
      <c r="G1590" t="s">
        <v>1746</v>
      </c>
      <c r="H1590" t="s">
        <v>1747</v>
      </c>
      <c r="I1590" t="b">
        <v>0</v>
      </c>
      <c r="J1590" t="s">
        <v>1761</v>
      </c>
      <c r="K1590" t="s">
        <v>1755</v>
      </c>
      <c r="L1590" t="s">
        <v>1750</v>
      </c>
      <c r="M1590">
        <v>103</v>
      </c>
      <c r="N1590" t="b">
        <v>1</v>
      </c>
      <c r="O1590">
        <v>52</v>
      </c>
      <c r="P1590" t="s">
        <v>1752</v>
      </c>
      <c r="Q1590" t="s">
        <v>1753</v>
      </c>
    </row>
    <row r="1591" spans="1:18" x14ac:dyDescent="0.25">
      <c r="A1591" t="s">
        <v>4159</v>
      </c>
      <c r="B1591" t="s">
        <v>3117</v>
      </c>
      <c r="C1591" t="s">
        <v>4</v>
      </c>
      <c r="D1591" t="s">
        <v>4158</v>
      </c>
      <c r="E1591" s="2">
        <v>41794</v>
      </c>
      <c r="F1591">
        <v>3817</v>
      </c>
      <c r="G1591" t="s">
        <v>1746</v>
      </c>
      <c r="H1591" t="s">
        <v>1798</v>
      </c>
      <c r="I1591" t="b">
        <v>1</v>
      </c>
      <c r="J1591" t="s">
        <v>1761</v>
      </c>
      <c r="K1591" t="s">
        <v>1822</v>
      </c>
      <c r="L1591" t="s">
        <v>1750</v>
      </c>
      <c r="M1591">
        <v>103</v>
      </c>
      <c r="N1591" t="b">
        <v>0</v>
      </c>
      <c r="O1591">
        <v>595</v>
      </c>
      <c r="P1591" t="s">
        <v>1752</v>
      </c>
      <c r="Q1591" t="s">
        <v>1753</v>
      </c>
    </row>
    <row r="1592" spans="1:18" x14ac:dyDescent="0.25">
      <c r="A1592" t="s">
        <v>4160</v>
      </c>
      <c r="B1592" t="s">
        <v>1814</v>
      </c>
      <c r="C1592" t="s">
        <v>4</v>
      </c>
      <c r="D1592" t="s">
        <v>1029</v>
      </c>
      <c r="E1592" s="2">
        <v>41978</v>
      </c>
      <c r="F1592">
        <v>3633</v>
      </c>
      <c r="G1592" t="s">
        <v>1746</v>
      </c>
      <c r="H1592" t="s">
        <v>1798</v>
      </c>
      <c r="I1592" t="b">
        <v>1</v>
      </c>
      <c r="J1592" t="s">
        <v>1748</v>
      </c>
      <c r="K1592" t="s">
        <v>1770</v>
      </c>
      <c r="L1592" t="s">
        <v>1750</v>
      </c>
      <c r="M1592">
        <v>103</v>
      </c>
      <c r="N1592" t="b">
        <v>0</v>
      </c>
      <c r="O1592">
        <v>47</v>
      </c>
      <c r="P1592" t="s">
        <v>1752</v>
      </c>
      <c r="Q1592" t="s">
        <v>1753</v>
      </c>
      <c r="R1592" t="s">
        <v>1828</v>
      </c>
    </row>
    <row r="1593" spans="1:18" x14ac:dyDescent="0.25">
      <c r="A1593" t="s">
        <v>4162</v>
      </c>
      <c r="B1593" t="s">
        <v>1829</v>
      </c>
      <c r="C1593" t="s">
        <v>6</v>
      </c>
      <c r="D1593" t="s">
        <v>4161</v>
      </c>
      <c r="E1593" s="2">
        <v>40183</v>
      </c>
      <c r="F1593">
        <v>5428</v>
      </c>
      <c r="G1593" t="s">
        <v>1746</v>
      </c>
      <c r="H1593" t="s">
        <v>1798</v>
      </c>
      <c r="I1593" t="b">
        <v>1</v>
      </c>
      <c r="J1593" t="s">
        <v>1761</v>
      </c>
      <c r="K1593" t="s">
        <v>1824</v>
      </c>
      <c r="L1593" t="s">
        <v>1817</v>
      </c>
      <c r="M1593">
        <v>103</v>
      </c>
      <c r="N1593" t="b">
        <v>0</v>
      </c>
      <c r="O1593">
        <v>65</v>
      </c>
      <c r="P1593" t="s">
        <v>1819</v>
      </c>
      <c r="Q1593" t="s">
        <v>1753</v>
      </c>
    </row>
    <row r="1594" spans="1:18" x14ac:dyDescent="0.25">
      <c r="A1594" t="s">
        <v>4164</v>
      </c>
      <c r="B1594" t="s">
        <v>2011</v>
      </c>
      <c r="C1594" t="s">
        <v>4</v>
      </c>
      <c r="D1594" t="s">
        <v>4163</v>
      </c>
      <c r="E1594" s="2">
        <v>45481</v>
      </c>
      <c r="F1594">
        <v>130</v>
      </c>
      <c r="G1594" t="s">
        <v>1746</v>
      </c>
      <c r="H1594" t="s">
        <v>1747</v>
      </c>
      <c r="I1594" t="b">
        <v>0</v>
      </c>
      <c r="J1594" t="s">
        <v>1748</v>
      </c>
      <c r="K1594" t="s">
        <v>1755</v>
      </c>
      <c r="L1594" t="s">
        <v>1750</v>
      </c>
      <c r="M1594">
        <v>103</v>
      </c>
      <c r="N1594" t="b">
        <v>1</v>
      </c>
      <c r="P1594" t="s">
        <v>1752</v>
      </c>
      <c r="Q1594" t="s">
        <v>1753</v>
      </c>
      <c r="R1594" t="s">
        <v>1759</v>
      </c>
    </row>
    <row r="1595" spans="1:18" x14ac:dyDescent="0.25">
      <c r="A1595" t="s">
        <v>4166</v>
      </c>
      <c r="B1595" t="s">
        <v>2150</v>
      </c>
      <c r="C1595" t="s">
        <v>4</v>
      </c>
      <c r="D1595" t="s">
        <v>4165</v>
      </c>
      <c r="E1595" s="2">
        <v>45117</v>
      </c>
      <c r="F1595">
        <v>494</v>
      </c>
      <c r="G1595" t="s">
        <v>1746</v>
      </c>
      <c r="H1595" t="s">
        <v>1747</v>
      </c>
      <c r="I1595" t="b">
        <v>1</v>
      </c>
      <c r="J1595" t="s">
        <v>1748</v>
      </c>
      <c r="K1595" t="s">
        <v>1880</v>
      </c>
      <c r="L1595" t="s">
        <v>1750</v>
      </c>
      <c r="M1595">
        <v>103</v>
      </c>
      <c r="N1595" t="b">
        <v>0</v>
      </c>
      <c r="O1595">
        <v>53</v>
      </c>
      <c r="P1595" t="s">
        <v>1752</v>
      </c>
      <c r="Q1595" t="s">
        <v>1753</v>
      </c>
    </row>
    <row r="1596" spans="1:18" x14ac:dyDescent="0.25">
      <c r="A1596" t="s">
        <v>4167</v>
      </c>
      <c r="B1596" t="s">
        <v>2180</v>
      </c>
      <c r="C1596" t="s">
        <v>6</v>
      </c>
      <c r="D1596" t="s">
        <v>113</v>
      </c>
      <c r="E1596" s="2">
        <v>39015</v>
      </c>
      <c r="F1596">
        <v>6596</v>
      </c>
      <c r="G1596" t="s">
        <v>1746</v>
      </c>
      <c r="H1596" t="s">
        <v>1798</v>
      </c>
      <c r="I1596" t="b">
        <v>0</v>
      </c>
      <c r="J1596" t="s">
        <v>1748</v>
      </c>
      <c r="K1596" t="s">
        <v>1853</v>
      </c>
      <c r="L1596" t="s">
        <v>1750</v>
      </c>
      <c r="M1596">
        <v>103</v>
      </c>
      <c r="N1596" t="b">
        <v>1</v>
      </c>
      <c r="O1596">
        <v>17</v>
      </c>
      <c r="P1596" t="s">
        <v>1752</v>
      </c>
      <c r="Q1596" t="s">
        <v>1753</v>
      </c>
      <c r="R1596" t="s">
        <v>1828</v>
      </c>
    </row>
    <row r="1597" spans="1:18" x14ac:dyDescent="0.25">
      <c r="A1597" t="s">
        <v>4169</v>
      </c>
      <c r="B1597" t="s">
        <v>2085</v>
      </c>
      <c r="C1597" t="s">
        <v>4</v>
      </c>
      <c r="D1597" t="s">
        <v>4168</v>
      </c>
      <c r="E1597" s="2">
        <v>43152</v>
      </c>
      <c r="F1597">
        <v>2459</v>
      </c>
      <c r="G1597" t="s">
        <v>1746</v>
      </c>
      <c r="H1597" t="s">
        <v>1747</v>
      </c>
      <c r="I1597" t="b">
        <v>1</v>
      </c>
      <c r="J1597" t="s">
        <v>1761</v>
      </c>
      <c r="K1597" t="s">
        <v>1755</v>
      </c>
      <c r="L1597" t="s">
        <v>1756</v>
      </c>
      <c r="M1597">
        <v>103</v>
      </c>
      <c r="N1597" t="b">
        <v>0</v>
      </c>
      <c r="O1597">
        <v>75</v>
      </c>
      <c r="P1597" t="s">
        <v>1752</v>
      </c>
      <c r="Q1597" t="s">
        <v>1753</v>
      </c>
    </row>
    <row r="1598" spans="1:18" x14ac:dyDescent="0.25">
      <c r="A1598" t="s">
        <v>4171</v>
      </c>
      <c r="B1598" t="s">
        <v>2173</v>
      </c>
      <c r="C1598" t="s">
        <v>4</v>
      </c>
      <c r="D1598" t="s">
        <v>4170</v>
      </c>
      <c r="E1598" s="2">
        <v>43174</v>
      </c>
      <c r="F1598">
        <v>2437</v>
      </c>
      <c r="G1598" t="s">
        <v>1746</v>
      </c>
      <c r="H1598" t="s">
        <v>2001</v>
      </c>
      <c r="I1598" t="b">
        <v>0</v>
      </c>
      <c r="J1598" t="s">
        <v>1748</v>
      </c>
      <c r="K1598" t="s">
        <v>1909</v>
      </c>
      <c r="L1598" t="s">
        <v>1756</v>
      </c>
      <c r="M1598">
        <v>102</v>
      </c>
      <c r="N1598" t="b">
        <v>1</v>
      </c>
      <c r="O1598">
        <v>1911</v>
      </c>
      <c r="P1598" t="s">
        <v>1752</v>
      </c>
      <c r="Q1598" t="s">
        <v>1753</v>
      </c>
      <c r="R1598" t="s">
        <v>1759</v>
      </c>
    </row>
    <row r="1599" spans="1:18" x14ac:dyDescent="0.25">
      <c r="A1599" t="s">
        <v>4173</v>
      </c>
      <c r="B1599" t="s">
        <v>1803</v>
      </c>
      <c r="C1599" t="s">
        <v>572</v>
      </c>
      <c r="D1599" t="s">
        <v>4172</v>
      </c>
      <c r="E1599" s="2">
        <v>39888</v>
      </c>
      <c r="F1599">
        <v>5723</v>
      </c>
      <c r="G1599" t="s">
        <v>1746</v>
      </c>
      <c r="H1599" t="s">
        <v>1798</v>
      </c>
      <c r="I1599" t="b">
        <v>0</v>
      </c>
      <c r="J1599" t="s">
        <v>1761</v>
      </c>
      <c r="K1599" t="s">
        <v>1824</v>
      </c>
      <c r="L1599" t="s">
        <v>1750</v>
      </c>
      <c r="M1599">
        <v>102</v>
      </c>
      <c r="N1599" t="b">
        <v>0</v>
      </c>
      <c r="O1599">
        <v>15</v>
      </c>
      <c r="P1599" t="s">
        <v>1819</v>
      </c>
      <c r="Q1599" t="s">
        <v>1753</v>
      </c>
    </row>
    <row r="1600" spans="1:18" x14ac:dyDescent="0.25">
      <c r="A1600" t="s">
        <v>4174</v>
      </c>
      <c r="B1600" t="s">
        <v>1881</v>
      </c>
      <c r="C1600" t="s">
        <v>4</v>
      </c>
      <c r="D1600" t="s">
        <v>1115</v>
      </c>
      <c r="E1600" s="2">
        <v>41886</v>
      </c>
      <c r="F1600">
        <v>3725</v>
      </c>
      <c r="G1600" t="s">
        <v>1746</v>
      </c>
      <c r="H1600" t="s">
        <v>1747</v>
      </c>
      <c r="I1600" t="b">
        <v>0</v>
      </c>
      <c r="J1600" t="s">
        <v>1761</v>
      </c>
      <c r="K1600" t="s">
        <v>1853</v>
      </c>
      <c r="L1600" t="s">
        <v>1750</v>
      </c>
      <c r="M1600">
        <v>102</v>
      </c>
      <c r="N1600" t="b">
        <v>1</v>
      </c>
      <c r="O1600">
        <v>96</v>
      </c>
      <c r="P1600" t="s">
        <v>1752</v>
      </c>
      <c r="Q1600" t="s">
        <v>1753</v>
      </c>
      <c r="R1600" t="s">
        <v>1759</v>
      </c>
    </row>
    <row r="1601" spans="1:18" x14ac:dyDescent="0.25">
      <c r="A1601" t="s">
        <v>4175</v>
      </c>
      <c r="B1601" t="s">
        <v>3838</v>
      </c>
      <c r="C1601" t="s">
        <v>11</v>
      </c>
      <c r="D1601" t="s">
        <v>15</v>
      </c>
      <c r="E1601" s="2">
        <v>45386</v>
      </c>
      <c r="F1601">
        <v>225</v>
      </c>
      <c r="G1601" t="s">
        <v>1746</v>
      </c>
      <c r="H1601" t="s">
        <v>1798</v>
      </c>
      <c r="I1601" t="b">
        <v>0</v>
      </c>
      <c r="J1601" t="s">
        <v>1748</v>
      </c>
      <c r="K1601" t="s">
        <v>1853</v>
      </c>
      <c r="L1601" t="s">
        <v>1750</v>
      </c>
      <c r="M1601">
        <v>102</v>
      </c>
      <c r="N1601" t="b">
        <v>0</v>
      </c>
      <c r="O1601">
        <v>36</v>
      </c>
      <c r="P1601" t="s">
        <v>1752</v>
      </c>
      <c r="Q1601" t="s">
        <v>1753</v>
      </c>
    </row>
    <row r="1602" spans="1:18" x14ac:dyDescent="0.25">
      <c r="A1602" t="s">
        <v>4177</v>
      </c>
      <c r="B1602" t="s">
        <v>1803</v>
      </c>
      <c r="C1602" t="s">
        <v>572</v>
      </c>
      <c r="D1602" t="s">
        <v>4176</v>
      </c>
      <c r="E1602" s="2">
        <v>38979</v>
      </c>
      <c r="F1602">
        <v>6632</v>
      </c>
      <c r="G1602" t="s">
        <v>1746</v>
      </c>
      <c r="H1602" t="s">
        <v>1798</v>
      </c>
      <c r="I1602" t="b">
        <v>0</v>
      </c>
      <c r="J1602" t="s">
        <v>1761</v>
      </c>
      <c r="K1602" t="s">
        <v>1912</v>
      </c>
      <c r="L1602" t="s">
        <v>1750</v>
      </c>
      <c r="M1602">
        <v>102</v>
      </c>
      <c r="N1602" t="b">
        <v>0</v>
      </c>
      <c r="O1602">
        <v>31</v>
      </c>
      <c r="P1602" t="s">
        <v>2266</v>
      </c>
      <c r="Q1602" t="s">
        <v>1753</v>
      </c>
      <c r="R1602" t="s">
        <v>1828</v>
      </c>
    </row>
    <row r="1603" spans="1:18" x14ac:dyDescent="0.25">
      <c r="A1603" t="s">
        <v>4178</v>
      </c>
      <c r="B1603" t="s">
        <v>1876</v>
      </c>
      <c r="C1603" t="s">
        <v>4</v>
      </c>
      <c r="D1603" t="s">
        <v>445</v>
      </c>
      <c r="E1603" s="2">
        <v>44536</v>
      </c>
      <c r="F1603">
        <v>1075</v>
      </c>
      <c r="G1603" t="s">
        <v>1746</v>
      </c>
      <c r="H1603" t="s">
        <v>1747</v>
      </c>
      <c r="I1603" t="b">
        <v>0</v>
      </c>
      <c r="J1603" t="s">
        <v>1748</v>
      </c>
      <c r="K1603" t="s">
        <v>1809</v>
      </c>
      <c r="L1603" t="s">
        <v>1750</v>
      </c>
      <c r="M1603">
        <v>102</v>
      </c>
      <c r="N1603" t="b">
        <v>1</v>
      </c>
      <c r="O1603">
        <v>89</v>
      </c>
      <c r="P1603" t="s">
        <v>1752</v>
      </c>
      <c r="Q1603" t="s">
        <v>1753</v>
      </c>
    </row>
    <row r="1604" spans="1:18" x14ac:dyDescent="0.25">
      <c r="A1604" t="s">
        <v>4179</v>
      </c>
      <c r="B1604" t="s">
        <v>1768</v>
      </c>
      <c r="C1604" t="s">
        <v>4</v>
      </c>
      <c r="D1604" t="s">
        <v>791</v>
      </c>
      <c r="E1604" s="2">
        <v>43123</v>
      </c>
      <c r="F1604">
        <v>2488</v>
      </c>
      <c r="G1604" t="s">
        <v>1746</v>
      </c>
      <c r="H1604" t="s">
        <v>1747</v>
      </c>
      <c r="I1604" t="b">
        <v>0</v>
      </c>
      <c r="J1604" t="s">
        <v>1748</v>
      </c>
      <c r="K1604" t="s">
        <v>1830</v>
      </c>
      <c r="L1604" t="s">
        <v>1750</v>
      </c>
      <c r="M1604">
        <v>102</v>
      </c>
      <c r="N1604" t="b">
        <v>0</v>
      </c>
      <c r="O1604">
        <v>43</v>
      </c>
      <c r="P1604" t="s">
        <v>1752</v>
      </c>
      <c r="Q1604" t="s">
        <v>1753</v>
      </c>
      <c r="R1604" t="s">
        <v>1759</v>
      </c>
    </row>
    <row r="1605" spans="1:18" x14ac:dyDescent="0.25">
      <c r="A1605" t="s">
        <v>4181</v>
      </c>
      <c r="B1605" t="s">
        <v>1803</v>
      </c>
      <c r="C1605" t="s">
        <v>4</v>
      </c>
      <c r="D1605" t="s">
        <v>4180</v>
      </c>
      <c r="E1605" s="2">
        <v>40002</v>
      </c>
      <c r="F1605">
        <v>5609</v>
      </c>
      <c r="G1605" t="s">
        <v>1746</v>
      </c>
      <c r="H1605" t="s">
        <v>1798</v>
      </c>
      <c r="I1605" t="b">
        <v>0</v>
      </c>
      <c r="J1605" t="s">
        <v>1748</v>
      </c>
      <c r="K1605" t="s">
        <v>1755</v>
      </c>
      <c r="L1605" t="s">
        <v>1766</v>
      </c>
      <c r="M1605">
        <v>101</v>
      </c>
      <c r="N1605" t="b">
        <v>0</v>
      </c>
      <c r="P1605" t="s">
        <v>1752</v>
      </c>
      <c r="Q1605" t="s">
        <v>1753</v>
      </c>
      <c r="R1605" t="s">
        <v>1828</v>
      </c>
    </row>
    <row r="1606" spans="1:18" x14ac:dyDescent="0.25">
      <c r="A1606" t="s">
        <v>4182</v>
      </c>
      <c r="B1606" t="s">
        <v>2060</v>
      </c>
      <c r="C1606" t="s">
        <v>6</v>
      </c>
      <c r="D1606" t="s">
        <v>94</v>
      </c>
      <c r="E1606" s="2">
        <v>43501</v>
      </c>
      <c r="F1606">
        <v>2110</v>
      </c>
      <c r="G1606" t="s">
        <v>1746</v>
      </c>
      <c r="H1606" t="s">
        <v>1798</v>
      </c>
      <c r="I1606" t="b">
        <v>1</v>
      </c>
      <c r="J1606" t="s">
        <v>1761</v>
      </c>
      <c r="K1606" t="s">
        <v>1765</v>
      </c>
      <c r="L1606" t="s">
        <v>1817</v>
      </c>
      <c r="M1606">
        <v>101</v>
      </c>
      <c r="N1606" t="b">
        <v>0</v>
      </c>
      <c r="O1606">
        <v>1047</v>
      </c>
      <c r="P1606" t="s">
        <v>1819</v>
      </c>
      <c r="Q1606" t="s">
        <v>1753</v>
      </c>
      <c r="R1606" t="s">
        <v>1759</v>
      </c>
    </row>
    <row r="1607" spans="1:18" x14ac:dyDescent="0.25">
      <c r="A1607" t="s">
        <v>4184</v>
      </c>
      <c r="B1607" t="s">
        <v>2085</v>
      </c>
      <c r="C1607" t="s">
        <v>4</v>
      </c>
      <c r="D1607" t="s">
        <v>4183</v>
      </c>
      <c r="E1607" s="2">
        <v>43152</v>
      </c>
      <c r="F1607">
        <v>2459</v>
      </c>
      <c r="G1607" t="s">
        <v>1746</v>
      </c>
      <c r="H1607" t="s">
        <v>1747</v>
      </c>
      <c r="I1607" t="b">
        <v>1</v>
      </c>
      <c r="J1607" t="s">
        <v>1761</v>
      </c>
      <c r="K1607" t="s">
        <v>1755</v>
      </c>
      <c r="L1607" t="s">
        <v>1750</v>
      </c>
      <c r="M1607">
        <v>100</v>
      </c>
      <c r="N1607" t="b">
        <v>0</v>
      </c>
      <c r="O1607">
        <v>149</v>
      </c>
      <c r="P1607" t="s">
        <v>1752</v>
      </c>
      <c r="Q1607" t="s">
        <v>1753</v>
      </c>
    </row>
    <row r="1608" spans="1:18" x14ac:dyDescent="0.25">
      <c r="A1608" t="s">
        <v>4185</v>
      </c>
      <c r="B1608" t="s">
        <v>1781</v>
      </c>
      <c r="C1608" t="s">
        <v>4</v>
      </c>
      <c r="D1608" t="s">
        <v>1544</v>
      </c>
      <c r="E1608" s="2">
        <v>44810</v>
      </c>
      <c r="F1608">
        <v>801</v>
      </c>
      <c r="G1608" t="s">
        <v>1746</v>
      </c>
      <c r="H1608" t="s">
        <v>1747</v>
      </c>
      <c r="I1608" t="b">
        <v>0</v>
      </c>
      <c r="J1608" t="s">
        <v>1748</v>
      </c>
      <c r="K1608" t="s">
        <v>1787</v>
      </c>
      <c r="L1608" t="s">
        <v>1750</v>
      </c>
      <c r="M1608">
        <v>100</v>
      </c>
      <c r="N1608" t="b">
        <v>0</v>
      </c>
      <c r="O1608">
        <v>33</v>
      </c>
      <c r="P1608" t="s">
        <v>1819</v>
      </c>
      <c r="Q1608" t="s">
        <v>1753</v>
      </c>
    </row>
    <row r="1609" spans="1:18" x14ac:dyDescent="0.25">
      <c r="A1609" t="s">
        <v>4187</v>
      </c>
      <c r="B1609" t="s">
        <v>3294</v>
      </c>
      <c r="C1609" t="s">
        <v>4</v>
      </c>
      <c r="D1609" t="s">
        <v>4186</v>
      </c>
      <c r="E1609" s="2">
        <v>45406</v>
      </c>
      <c r="F1609">
        <v>205</v>
      </c>
      <c r="G1609" t="s">
        <v>1746</v>
      </c>
      <c r="H1609" t="s">
        <v>1747</v>
      </c>
      <c r="I1609" t="b">
        <v>0</v>
      </c>
      <c r="J1609" t="s">
        <v>1748</v>
      </c>
      <c r="K1609" t="s">
        <v>1929</v>
      </c>
      <c r="L1609" t="s">
        <v>1750</v>
      </c>
      <c r="M1609">
        <v>100</v>
      </c>
      <c r="N1609" t="b">
        <v>1</v>
      </c>
      <c r="P1609" t="s">
        <v>1752</v>
      </c>
      <c r="Q1609" t="s">
        <v>1753</v>
      </c>
      <c r="R1609" t="s">
        <v>1759</v>
      </c>
    </row>
    <row r="1610" spans="1:18" x14ac:dyDescent="0.25">
      <c r="A1610" t="s">
        <v>4189</v>
      </c>
      <c r="B1610" t="s">
        <v>2284</v>
      </c>
      <c r="C1610" t="s">
        <v>2709</v>
      </c>
      <c r="D1610" t="s">
        <v>4188</v>
      </c>
      <c r="E1610" s="2">
        <v>44452</v>
      </c>
      <c r="F1610">
        <v>1159</v>
      </c>
      <c r="G1610" t="s">
        <v>1746</v>
      </c>
      <c r="H1610" t="s">
        <v>1747</v>
      </c>
      <c r="I1610" t="b">
        <v>0</v>
      </c>
      <c r="J1610" t="s">
        <v>1748</v>
      </c>
      <c r="K1610" t="s">
        <v>1884</v>
      </c>
      <c r="L1610" t="s">
        <v>1775</v>
      </c>
      <c r="M1610">
        <v>100</v>
      </c>
      <c r="N1610" t="b">
        <v>0</v>
      </c>
      <c r="P1610" t="s">
        <v>2283</v>
      </c>
      <c r="Q1610" t="s">
        <v>1705</v>
      </c>
    </row>
    <row r="1611" spans="1:18" x14ac:dyDescent="0.25">
      <c r="A1611" t="s">
        <v>4191</v>
      </c>
      <c r="B1611" t="s">
        <v>1803</v>
      </c>
      <c r="C1611" t="s">
        <v>6</v>
      </c>
      <c r="D1611" t="s">
        <v>4190</v>
      </c>
      <c r="E1611" s="2">
        <v>41575</v>
      </c>
      <c r="F1611">
        <v>4036</v>
      </c>
      <c r="G1611" t="s">
        <v>1746</v>
      </c>
      <c r="H1611" t="s">
        <v>1798</v>
      </c>
      <c r="I1611" t="b">
        <v>1</v>
      </c>
      <c r="J1611" t="s">
        <v>1761</v>
      </c>
      <c r="K1611" t="s">
        <v>1824</v>
      </c>
      <c r="L1611" t="s">
        <v>1817</v>
      </c>
      <c r="M1611">
        <v>100</v>
      </c>
      <c r="N1611" t="b">
        <v>0</v>
      </c>
      <c r="O1611">
        <v>179</v>
      </c>
      <c r="P1611" t="s">
        <v>1819</v>
      </c>
      <c r="Q1611" t="s">
        <v>1753</v>
      </c>
      <c r="R1611" t="s">
        <v>1828</v>
      </c>
    </row>
    <row r="1612" spans="1:18" x14ac:dyDescent="0.25">
      <c r="A1612" t="s">
        <v>4193</v>
      </c>
      <c r="B1612" t="s">
        <v>1866</v>
      </c>
      <c r="C1612" t="s">
        <v>6</v>
      </c>
      <c r="D1612" t="s">
        <v>4192</v>
      </c>
      <c r="E1612" s="2">
        <v>43678</v>
      </c>
      <c r="F1612">
        <v>1933</v>
      </c>
      <c r="G1612" t="s">
        <v>1746</v>
      </c>
      <c r="H1612" t="s">
        <v>1747</v>
      </c>
      <c r="I1612" t="b">
        <v>0</v>
      </c>
      <c r="J1612" t="s">
        <v>1748</v>
      </c>
      <c r="K1612" t="s">
        <v>1853</v>
      </c>
      <c r="L1612" t="s">
        <v>2102</v>
      </c>
      <c r="M1612">
        <v>99</v>
      </c>
      <c r="N1612" t="b">
        <v>0</v>
      </c>
      <c r="P1612" t="s">
        <v>1819</v>
      </c>
      <c r="Q1612" t="s">
        <v>1753</v>
      </c>
    </row>
    <row r="1613" spans="1:18" x14ac:dyDescent="0.25">
      <c r="A1613" t="s">
        <v>4195</v>
      </c>
      <c r="B1613" t="s">
        <v>2177</v>
      </c>
      <c r="C1613" t="s">
        <v>4</v>
      </c>
      <c r="D1613" t="s">
        <v>4194</v>
      </c>
      <c r="E1613" s="2">
        <v>42487</v>
      </c>
      <c r="F1613">
        <v>3124</v>
      </c>
      <c r="G1613" t="s">
        <v>1746</v>
      </c>
      <c r="H1613" t="s">
        <v>1747</v>
      </c>
      <c r="I1613" t="b">
        <v>0</v>
      </c>
      <c r="J1613" t="s">
        <v>1761</v>
      </c>
      <c r="K1613" t="s">
        <v>1880</v>
      </c>
      <c r="L1613" t="s">
        <v>1766</v>
      </c>
      <c r="M1613">
        <v>99</v>
      </c>
      <c r="N1613" t="b">
        <v>0</v>
      </c>
      <c r="P1613" t="s">
        <v>2070</v>
      </c>
      <c r="Q1613" t="s">
        <v>1753</v>
      </c>
    </row>
    <row r="1614" spans="1:18" x14ac:dyDescent="0.25">
      <c r="A1614" t="s">
        <v>4197</v>
      </c>
      <c r="B1614" t="s">
        <v>2483</v>
      </c>
      <c r="C1614" t="s">
        <v>4</v>
      </c>
      <c r="D1614" t="s">
        <v>4196</v>
      </c>
      <c r="E1614" s="2">
        <v>43145</v>
      </c>
      <c r="F1614">
        <v>2466</v>
      </c>
      <c r="G1614" t="s">
        <v>1746</v>
      </c>
      <c r="H1614" t="s">
        <v>1805</v>
      </c>
      <c r="I1614" t="b">
        <v>1</v>
      </c>
      <c r="J1614" t="s">
        <v>1761</v>
      </c>
      <c r="K1614" t="s">
        <v>1822</v>
      </c>
      <c r="L1614" t="s">
        <v>1817</v>
      </c>
      <c r="M1614">
        <v>99</v>
      </c>
      <c r="N1614" t="b">
        <v>0</v>
      </c>
      <c r="O1614">
        <v>10057</v>
      </c>
      <c r="P1614" t="s">
        <v>1819</v>
      </c>
      <c r="Q1614" t="s">
        <v>1753</v>
      </c>
      <c r="R1614" t="s">
        <v>1759</v>
      </c>
    </row>
    <row r="1615" spans="1:18" x14ac:dyDescent="0.25">
      <c r="A1615" t="s">
        <v>4198</v>
      </c>
      <c r="B1615" t="s">
        <v>2532</v>
      </c>
      <c r="C1615" t="s">
        <v>4</v>
      </c>
      <c r="D1615" t="s">
        <v>363</v>
      </c>
      <c r="E1615" s="2">
        <v>44586</v>
      </c>
      <c r="F1615">
        <v>1025</v>
      </c>
      <c r="G1615" t="s">
        <v>1746</v>
      </c>
      <c r="H1615" t="s">
        <v>1747</v>
      </c>
      <c r="I1615" t="b">
        <v>0</v>
      </c>
      <c r="J1615" t="s">
        <v>1748</v>
      </c>
      <c r="K1615" t="s">
        <v>1880</v>
      </c>
      <c r="L1615" t="s">
        <v>1750</v>
      </c>
      <c r="M1615">
        <v>99</v>
      </c>
      <c r="N1615" t="b">
        <v>0</v>
      </c>
      <c r="O1615">
        <v>80</v>
      </c>
      <c r="P1615" t="s">
        <v>1752</v>
      </c>
      <c r="Q1615" t="s">
        <v>1753</v>
      </c>
      <c r="R1615" t="s">
        <v>1759</v>
      </c>
    </row>
    <row r="1616" spans="1:18" x14ac:dyDescent="0.25">
      <c r="A1616" t="s">
        <v>4200</v>
      </c>
      <c r="B1616" t="s">
        <v>2177</v>
      </c>
      <c r="C1616" t="s">
        <v>4</v>
      </c>
      <c r="D1616" t="s">
        <v>4199</v>
      </c>
      <c r="E1616" s="2">
        <v>43542</v>
      </c>
      <c r="F1616">
        <v>2069</v>
      </c>
      <c r="G1616" t="s">
        <v>1746</v>
      </c>
      <c r="H1616" t="s">
        <v>1805</v>
      </c>
      <c r="I1616" t="b">
        <v>1</v>
      </c>
      <c r="J1616" t="s">
        <v>1761</v>
      </c>
      <c r="K1616" t="s">
        <v>1985</v>
      </c>
      <c r="L1616" t="s">
        <v>1817</v>
      </c>
      <c r="M1616">
        <v>98</v>
      </c>
      <c r="N1616" t="b">
        <v>0</v>
      </c>
      <c r="O1616">
        <v>61</v>
      </c>
      <c r="P1616" t="s">
        <v>1819</v>
      </c>
      <c r="Q1616" t="s">
        <v>1753</v>
      </c>
    </row>
    <row r="1617" spans="1:18" x14ac:dyDescent="0.25">
      <c r="A1617" t="s">
        <v>4202</v>
      </c>
      <c r="B1617" t="s">
        <v>1866</v>
      </c>
      <c r="C1617" t="s">
        <v>4</v>
      </c>
      <c r="D1617" t="s">
        <v>4201</v>
      </c>
      <c r="E1617" s="2">
        <v>42226</v>
      </c>
      <c r="F1617">
        <v>3385</v>
      </c>
      <c r="G1617" t="s">
        <v>1746</v>
      </c>
      <c r="H1617" t="s">
        <v>1798</v>
      </c>
      <c r="I1617" t="b">
        <v>1</v>
      </c>
      <c r="J1617" t="s">
        <v>1748</v>
      </c>
      <c r="K1617" t="s">
        <v>1853</v>
      </c>
      <c r="L1617" t="s">
        <v>1750</v>
      </c>
      <c r="M1617">
        <v>98</v>
      </c>
      <c r="N1617" t="b">
        <v>0</v>
      </c>
      <c r="O1617">
        <v>66</v>
      </c>
      <c r="P1617" t="s">
        <v>2266</v>
      </c>
      <c r="Q1617" t="s">
        <v>1753</v>
      </c>
      <c r="R1617" t="s">
        <v>1828</v>
      </c>
    </row>
    <row r="1618" spans="1:18" x14ac:dyDescent="0.25">
      <c r="A1618" t="s">
        <v>4203</v>
      </c>
      <c r="B1618" t="s">
        <v>1795</v>
      </c>
      <c r="C1618" t="s">
        <v>4</v>
      </c>
      <c r="D1618" t="s">
        <v>687</v>
      </c>
      <c r="E1618" s="2">
        <v>39024</v>
      </c>
      <c r="F1618">
        <v>6587</v>
      </c>
      <c r="G1618" t="s">
        <v>1746</v>
      </c>
      <c r="H1618" t="s">
        <v>1747</v>
      </c>
      <c r="I1618" t="b">
        <v>1</v>
      </c>
      <c r="J1618" t="s">
        <v>1761</v>
      </c>
      <c r="K1618" t="s">
        <v>1835</v>
      </c>
      <c r="L1618" t="s">
        <v>1750</v>
      </c>
      <c r="M1618">
        <v>98</v>
      </c>
      <c r="N1618" t="b">
        <v>0</v>
      </c>
      <c r="O1618">
        <v>18</v>
      </c>
      <c r="P1618" t="s">
        <v>1752</v>
      </c>
      <c r="Q1618" t="s">
        <v>1753</v>
      </c>
    </row>
    <row r="1619" spans="1:18" x14ac:dyDescent="0.25">
      <c r="A1619" t="s">
        <v>4205</v>
      </c>
      <c r="B1619" t="s">
        <v>1907</v>
      </c>
      <c r="C1619" t="s">
        <v>11</v>
      </c>
      <c r="D1619" t="s">
        <v>4204</v>
      </c>
      <c r="E1619" s="2">
        <v>44452</v>
      </c>
      <c r="F1619">
        <v>1159</v>
      </c>
      <c r="G1619" t="s">
        <v>1746</v>
      </c>
      <c r="H1619" t="s">
        <v>1747</v>
      </c>
      <c r="I1619" t="b">
        <v>0</v>
      </c>
      <c r="J1619" t="s">
        <v>1748</v>
      </c>
      <c r="K1619" t="s">
        <v>1776</v>
      </c>
      <c r="L1619" t="s">
        <v>1750</v>
      </c>
      <c r="M1619">
        <v>98</v>
      </c>
      <c r="N1619" t="b">
        <v>1</v>
      </c>
      <c r="O1619">
        <v>885</v>
      </c>
      <c r="P1619" t="s">
        <v>1752</v>
      </c>
      <c r="Q1619" t="s">
        <v>1753</v>
      </c>
      <c r="R1619" t="s">
        <v>1759</v>
      </c>
    </row>
    <row r="1620" spans="1:18" x14ac:dyDescent="0.25">
      <c r="A1620" t="s">
        <v>4206</v>
      </c>
      <c r="B1620" t="s">
        <v>2060</v>
      </c>
      <c r="C1620" t="s">
        <v>4</v>
      </c>
      <c r="D1620" t="s">
        <v>1477</v>
      </c>
      <c r="E1620" s="2">
        <v>42466</v>
      </c>
      <c r="F1620">
        <v>3145</v>
      </c>
      <c r="G1620" t="s">
        <v>1746</v>
      </c>
      <c r="H1620" t="s">
        <v>1747</v>
      </c>
      <c r="I1620" t="b">
        <v>0</v>
      </c>
      <c r="J1620" t="s">
        <v>1761</v>
      </c>
      <c r="K1620" t="s">
        <v>1856</v>
      </c>
      <c r="L1620" t="s">
        <v>1756</v>
      </c>
      <c r="M1620">
        <v>97</v>
      </c>
      <c r="N1620" t="b">
        <v>1</v>
      </c>
      <c r="O1620">
        <v>304</v>
      </c>
      <c r="P1620" t="s">
        <v>1819</v>
      </c>
      <c r="Q1620" t="s">
        <v>1753</v>
      </c>
      <c r="R1620" t="s">
        <v>1772</v>
      </c>
    </row>
    <row r="1621" spans="1:18" x14ac:dyDescent="0.25">
      <c r="A1621" t="s">
        <v>4208</v>
      </c>
      <c r="B1621" t="s">
        <v>1803</v>
      </c>
      <c r="C1621" t="s">
        <v>572</v>
      </c>
      <c r="D1621" t="s">
        <v>4207</v>
      </c>
      <c r="E1621" s="2">
        <v>39875</v>
      </c>
      <c r="F1621">
        <v>5736</v>
      </c>
      <c r="G1621" t="s">
        <v>1746</v>
      </c>
      <c r="H1621" t="s">
        <v>1798</v>
      </c>
      <c r="I1621" t="b">
        <v>0</v>
      </c>
      <c r="J1621" t="s">
        <v>1761</v>
      </c>
      <c r="K1621" t="s">
        <v>1824</v>
      </c>
      <c r="L1621" t="s">
        <v>1750</v>
      </c>
      <c r="M1621">
        <v>97</v>
      </c>
      <c r="N1621" t="b">
        <v>0</v>
      </c>
      <c r="O1621">
        <v>25</v>
      </c>
      <c r="P1621" t="s">
        <v>1819</v>
      </c>
      <c r="Q1621" t="s">
        <v>1753</v>
      </c>
      <c r="R1621" t="s">
        <v>1828</v>
      </c>
    </row>
    <row r="1622" spans="1:18" x14ac:dyDescent="0.25">
      <c r="A1622" t="s">
        <v>4210</v>
      </c>
      <c r="B1622" t="s">
        <v>1907</v>
      </c>
      <c r="C1622" t="s">
        <v>6</v>
      </c>
      <c r="D1622" t="s">
        <v>4209</v>
      </c>
      <c r="E1622" s="2">
        <v>44819</v>
      </c>
      <c r="F1622">
        <v>792</v>
      </c>
      <c r="G1622" t="s">
        <v>1746</v>
      </c>
      <c r="H1622" t="s">
        <v>1798</v>
      </c>
      <c r="I1622" t="b">
        <v>0</v>
      </c>
      <c r="J1622" t="s">
        <v>1748</v>
      </c>
      <c r="K1622" t="s">
        <v>1826</v>
      </c>
      <c r="L1622" t="s">
        <v>1817</v>
      </c>
      <c r="M1622">
        <v>97</v>
      </c>
      <c r="N1622" t="b">
        <v>1</v>
      </c>
      <c r="O1622">
        <v>1574</v>
      </c>
      <c r="P1622" t="s">
        <v>1819</v>
      </c>
      <c r="Q1622" t="s">
        <v>1753</v>
      </c>
      <c r="R1622" t="s">
        <v>1759</v>
      </c>
    </row>
    <row r="1623" spans="1:18" x14ac:dyDescent="0.25">
      <c r="A1623" t="s">
        <v>4212</v>
      </c>
      <c r="B1623" t="s">
        <v>2157</v>
      </c>
      <c r="C1623" t="s">
        <v>6</v>
      </c>
      <c r="D1623" t="s">
        <v>4211</v>
      </c>
      <c r="E1623" s="2">
        <v>45302</v>
      </c>
      <c r="F1623">
        <v>309</v>
      </c>
      <c r="G1623" t="s">
        <v>1833</v>
      </c>
      <c r="H1623" t="s">
        <v>1798</v>
      </c>
      <c r="I1623" t="b">
        <v>0</v>
      </c>
      <c r="J1623" t="s">
        <v>1748</v>
      </c>
      <c r="K1623" t="s">
        <v>1776</v>
      </c>
      <c r="L1623" t="s">
        <v>1750</v>
      </c>
      <c r="M1623">
        <v>97</v>
      </c>
      <c r="N1623" t="b">
        <v>1</v>
      </c>
      <c r="O1623">
        <v>444</v>
      </c>
      <c r="P1623" t="s">
        <v>1819</v>
      </c>
      <c r="Q1623" t="s">
        <v>1753</v>
      </c>
      <c r="R1623" t="s">
        <v>1828</v>
      </c>
    </row>
    <row r="1624" spans="1:18" x14ac:dyDescent="0.25">
      <c r="A1624" t="s">
        <v>4214</v>
      </c>
      <c r="B1624" t="s">
        <v>2370</v>
      </c>
      <c r="C1624" t="s">
        <v>4</v>
      </c>
      <c r="D1624" t="s">
        <v>4213</v>
      </c>
      <c r="E1624" s="2">
        <v>45421</v>
      </c>
      <c r="F1624">
        <v>190</v>
      </c>
      <c r="G1624" t="s">
        <v>1746</v>
      </c>
      <c r="H1624" t="s">
        <v>1747</v>
      </c>
      <c r="I1624" t="b">
        <v>0</v>
      </c>
      <c r="J1624" t="s">
        <v>1761</v>
      </c>
      <c r="K1624" t="s">
        <v>1774</v>
      </c>
      <c r="L1624" t="s">
        <v>1817</v>
      </c>
      <c r="M1624">
        <v>97</v>
      </c>
      <c r="N1624" t="b">
        <v>1</v>
      </c>
      <c r="O1624">
        <v>328</v>
      </c>
      <c r="P1624" t="s">
        <v>1819</v>
      </c>
      <c r="Q1624" t="s">
        <v>1753</v>
      </c>
      <c r="R1624" t="s">
        <v>1759</v>
      </c>
    </row>
    <row r="1625" spans="1:18" x14ac:dyDescent="0.25">
      <c r="A1625" t="s">
        <v>4216</v>
      </c>
      <c r="B1625" t="s">
        <v>2173</v>
      </c>
      <c r="C1625" t="s">
        <v>4</v>
      </c>
      <c r="D1625" t="s">
        <v>4215</v>
      </c>
      <c r="E1625" s="2">
        <v>45509</v>
      </c>
      <c r="F1625">
        <v>102</v>
      </c>
      <c r="G1625" t="s">
        <v>1746</v>
      </c>
      <c r="H1625" t="s">
        <v>2231</v>
      </c>
      <c r="I1625" t="b">
        <v>0</v>
      </c>
      <c r="J1625" t="s">
        <v>1748</v>
      </c>
      <c r="K1625" t="s">
        <v>1793</v>
      </c>
      <c r="L1625" t="s">
        <v>1817</v>
      </c>
      <c r="M1625">
        <v>97</v>
      </c>
      <c r="N1625" t="b">
        <v>0</v>
      </c>
      <c r="O1625">
        <v>1885</v>
      </c>
      <c r="P1625" t="s">
        <v>1819</v>
      </c>
      <c r="Q1625" t="s">
        <v>1753</v>
      </c>
      <c r="R1625" t="s">
        <v>1759</v>
      </c>
    </row>
    <row r="1626" spans="1:18" x14ac:dyDescent="0.25">
      <c r="A1626" t="s">
        <v>4218</v>
      </c>
      <c r="B1626" t="s">
        <v>2483</v>
      </c>
      <c r="C1626" t="s">
        <v>6</v>
      </c>
      <c r="D1626" t="s">
        <v>4217</v>
      </c>
      <c r="E1626" s="2">
        <v>45210</v>
      </c>
      <c r="F1626">
        <v>401</v>
      </c>
      <c r="G1626" t="s">
        <v>1746</v>
      </c>
      <c r="H1626" t="s">
        <v>1747</v>
      </c>
      <c r="I1626" t="b">
        <v>0</v>
      </c>
      <c r="J1626" t="s">
        <v>1761</v>
      </c>
      <c r="K1626" t="s">
        <v>1770</v>
      </c>
      <c r="L1626" t="s">
        <v>1766</v>
      </c>
      <c r="M1626">
        <v>96</v>
      </c>
      <c r="N1626" t="b">
        <v>0</v>
      </c>
      <c r="P1626" t="s">
        <v>1752</v>
      </c>
      <c r="Q1626" t="s">
        <v>1753</v>
      </c>
      <c r="R1626" t="s">
        <v>1772</v>
      </c>
    </row>
    <row r="1627" spans="1:18" x14ac:dyDescent="0.25">
      <c r="A1627" t="s">
        <v>4220</v>
      </c>
      <c r="B1627" t="s">
        <v>1803</v>
      </c>
      <c r="C1627" t="s">
        <v>572</v>
      </c>
      <c r="D1627" t="s">
        <v>4219</v>
      </c>
      <c r="E1627" s="2">
        <v>40360</v>
      </c>
      <c r="F1627">
        <v>5251</v>
      </c>
      <c r="G1627" t="s">
        <v>1746</v>
      </c>
      <c r="H1627" t="s">
        <v>1747</v>
      </c>
      <c r="I1627" t="b">
        <v>0</v>
      </c>
      <c r="J1627" t="s">
        <v>1748</v>
      </c>
      <c r="K1627" t="s">
        <v>1842</v>
      </c>
      <c r="L1627" t="s">
        <v>1766</v>
      </c>
      <c r="M1627">
        <v>96</v>
      </c>
      <c r="N1627" t="b">
        <v>0</v>
      </c>
      <c r="P1627" t="s">
        <v>1752</v>
      </c>
      <c r="Q1627" t="s">
        <v>1753</v>
      </c>
      <c r="R1627" t="s">
        <v>1772</v>
      </c>
    </row>
    <row r="1628" spans="1:18" x14ac:dyDescent="0.25">
      <c r="A1628" t="s">
        <v>4221</v>
      </c>
      <c r="B1628" t="s">
        <v>1781</v>
      </c>
      <c r="C1628" t="s">
        <v>186</v>
      </c>
      <c r="D1628" t="s">
        <v>1431</v>
      </c>
      <c r="E1628" s="2">
        <v>39196</v>
      </c>
      <c r="F1628">
        <v>6415</v>
      </c>
      <c r="G1628" t="s">
        <v>1746</v>
      </c>
      <c r="H1628" t="s">
        <v>1747</v>
      </c>
      <c r="I1628" t="b">
        <v>0</v>
      </c>
      <c r="J1628" t="s">
        <v>1748</v>
      </c>
      <c r="K1628" t="s">
        <v>1830</v>
      </c>
      <c r="L1628" t="s">
        <v>1775</v>
      </c>
      <c r="M1628">
        <v>96</v>
      </c>
      <c r="N1628" t="b">
        <v>0</v>
      </c>
      <c r="P1628" t="s">
        <v>1778</v>
      </c>
      <c r="Q1628" t="s">
        <v>1779</v>
      </c>
    </row>
    <row r="1629" spans="1:18" x14ac:dyDescent="0.25">
      <c r="A1629" t="s">
        <v>4223</v>
      </c>
      <c r="B1629" t="s">
        <v>2150</v>
      </c>
      <c r="C1629" t="s">
        <v>4</v>
      </c>
      <c r="D1629" t="s">
        <v>4222</v>
      </c>
      <c r="E1629" s="2">
        <v>43851</v>
      </c>
      <c r="F1629">
        <v>1760</v>
      </c>
      <c r="G1629" t="s">
        <v>1746</v>
      </c>
      <c r="H1629" t="s">
        <v>1805</v>
      </c>
      <c r="I1629" t="b">
        <v>1</v>
      </c>
      <c r="J1629" t="s">
        <v>1761</v>
      </c>
      <c r="K1629" t="s">
        <v>1822</v>
      </c>
      <c r="L1629" t="s">
        <v>1817</v>
      </c>
      <c r="M1629">
        <v>96</v>
      </c>
      <c r="N1629" t="b">
        <v>0</v>
      </c>
      <c r="O1629">
        <v>51</v>
      </c>
      <c r="P1629" t="s">
        <v>1819</v>
      </c>
      <c r="Q1629" t="s">
        <v>1753</v>
      </c>
    </row>
    <row r="1630" spans="1:18" x14ac:dyDescent="0.25">
      <c r="A1630" t="s">
        <v>4225</v>
      </c>
      <c r="B1630" t="s">
        <v>2857</v>
      </c>
      <c r="C1630" t="s">
        <v>4</v>
      </c>
      <c r="D1630" t="s">
        <v>4224</v>
      </c>
      <c r="E1630" s="2">
        <v>42153</v>
      </c>
      <c r="F1630">
        <v>3458</v>
      </c>
      <c r="G1630" t="s">
        <v>1746</v>
      </c>
      <c r="H1630" t="s">
        <v>2231</v>
      </c>
      <c r="I1630" t="b">
        <v>1</v>
      </c>
      <c r="J1630" t="s">
        <v>1748</v>
      </c>
      <c r="K1630" t="s">
        <v>1800</v>
      </c>
      <c r="L1630" t="s">
        <v>1750</v>
      </c>
      <c r="M1630">
        <v>96</v>
      </c>
      <c r="N1630" t="b">
        <v>0</v>
      </c>
      <c r="O1630">
        <v>222</v>
      </c>
      <c r="P1630" t="s">
        <v>1752</v>
      </c>
      <c r="Q1630" t="s">
        <v>1753</v>
      </c>
      <c r="R1630" t="s">
        <v>1828</v>
      </c>
    </row>
    <row r="1631" spans="1:18" x14ac:dyDescent="0.25">
      <c r="A1631" t="s">
        <v>4227</v>
      </c>
      <c r="B1631" t="s">
        <v>1840</v>
      </c>
      <c r="C1631" t="s">
        <v>4</v>
      </c>
      <c r="D1631" t="s">
        <v>4226</v>
      </c>
      <c r="E1631" s="2">
        <v>40644</v>
      </c>
      <c r="F1631">
        <v>4967</v>
      </c>
      <c r="G1631" t="s">
        <v>1746</v>
      </c>
      <c r="H1631" t="s">
        <v>1798</v>
      </c>
      <c r="I1631" t="b">
        <v>0</v>
      </c>
      <c r="J1631" t="s">
        <v>1748</v>
      </c>
      <c r="K1631" t="s">
        <v>1853</v>
      </c>
      <c r="L1631" t="s">
        <v>1766</v>
      </c>
      <c r="M1631">
        <v>96</v>
      </c>
      <c r="N1631" t="b">
        <v>0</v>
      </c>
      <c r="P1631" t="s">
        <v>1752</v>
      </c>
      <c r="Q1631" t="s">
        <v>1753</v>
      </c>
      <c r="R1631" t="s">
        <v>1828</v>
      </c>
    </row>
    <row r="1632" spans="1:18" x14ac:dyDescent="0.25">
      <c r="A1632" t="s">
        <v>4228</v>
      </c>
      <c r="B1632" t="s">
        <v>1998</v>
      </c>
      <c r="C1632" t="s">
        <v>4</v>
      </c>
      <c r="D1632" t="s">
        <v>968</v>
      </c>
      <c r="E1632" s="2">
        <v>41662</v>
      </c>
      <c r="F1632">
        <v>3949</v>
      </c>
      <c r="G1632" t="s">
        <v>1746</v>
      </c>
      <c r="H1632" t="s">
        <v>1747</v>
      </c>
      <c r="I1632" t="b">
        <v>0</v>
      </c>
      <c r="J1632" t="s">
        <v>1761</v>
      </c>
      <c r="K1632" t="s">
        <v>1917</v>
      </c>
      <c r="L1632" t="s">
        <v>1817</v>
      </c>
      <c r="M1632">
        <v>95</v>
      </c>
      <c r="N1632" t="b">
        <v>0</v>
      </c>
      <c r="O1632">
        <v>99</v>
      </c>
      <c r="P1632" t="s">
        <v>1819</v>
      </c>
      <c r="Q1632" t="s">
        <v>1753</v>
      </c>
      <c r="R1632" t="s">
        <v>1772</v>
      </c>
    </row>
    <row r="1633" spans="1:18" x14ac:dyDescent="0.25">
      <c r="A1633" t="s">
        <v>4229</v>
      </c>
      <c r="B1633" t="s">
        <v>1860</v>
      </c>
      <c r="C1633" t="s">
        <v>4</v>
      </c>
      <c r="D1633" t="s">
        <v>239</v>
      </c>
      <c r="E1633" s="2">
        <v>45040</v>
      </c>
      <c r="F1633">
        <v>571</v>
      </c>
      <c r="G1633" t="s">
        <v>1833</v>
      </c>
      <c r="H1633" t="s">
        <v>1798</v>
      </c>
      <c r="I1633" t="b">
        <v>0</v>
      </c>
      <c r="J1633" t="s">
        <v>1748</v>
      </c>
      <c r="K1633" t="s">
        <v>1824</v>
      </c>
      <c r="L1633" t="s">
        <v>1750</v>
      </c>
      <c r="M1633">
        <v>95</v>
      </c>
      <c r="N1633" t="b">
        <v>1</v>
      </c>
      <c r="O1633">
        <v>103</v>
      </c>
      <c r="P1633" t="s">
        <v>1819</v>
      </c>
      <c r="Q1633" t="s">
        <v>1753</v>
      </c>
      <c r="R1633" t="s">
        <v>1759</v>
      </c>
    </row>
    <row r="1634" spans="1:18" x14ac:dyDescent="0.25">
      <c r="A1634" t="s">
        <v>4230</v>
      </c>
      <c r="B1634" t="s">
        <v>1810</v>
      </c>
      <c r="C1634" t="s">
        <v>4</v>
      </c>
      <c r="D1634" t="s">
        <v>772</v>
      </c>
      <c r="E1634" s="2">
        <v>43146</v>
      </c>
      <c r="F1634">
        <v>2465</v>
      </c>
      <c r="G1634" t="s">
        <v>1746</v>
      </c>
      <c r="H1634" t="s">
        <v>1747</v>
      </c>
      <c r="I1634" t="b">
        <v>0</v>
      </c>
      <c r="J1634" t="s">
        <v>1761</v>
      </c>
      <c r="K1634" t="s">
        <v>1917</v>
      </c>
      <c r="L1634" t="s">
        <v>1817</v>
      </c>
      <c r="M1634">
        <v>95</v>
      </c>
      <c r="N1634" t="b">
        <v>1</v>
      </c>
      <c r="O1634">
        <v>404</v>
      </c>
      <c r="P1634" t="s">
        <v>1819</v>
      </c>
      <c r="Q1634" t="s">
        <v>1753</v>
      </c>
      <c r="R1634" t="s">
        <v>1772</v>
      </c>
    </row>
    <row r="1635" spans="1:18" x14ac:dyDescent="0.25">
      <c r="A1635" t="s">
        <v>4231</v>
      </c>
      <c r="B1635" t="s">
        <v>2353</v>
      </c>
      <c r="C1635" t="s">
        <v>6</v>
      </c>
      <c r="D1635" t="s">
        <v>1135</v>
      </c>
      <c r="E1635" s="2">
        <v>44007</v>
      </c>
      <c r="F1635">
        <v>1604</v>
      </c>
      <c r="G1635" t="s">
        <v>1746</v>
      </c>
      <c r="H1635" t="s">
        <v>1798</v>
      </c>
      <c r="I1635" t="b">
        <v>1</v>
      </c>
      <c r="J1635" t="s">
        <v>1748</v>
      </c>
      <c r="K1635" t="s">
        <v>1824</v>
      </c>
      <c r="L1635" t="s">
        <v>1750</v>
      </c>
      <c r="M1635">
        <v>95</v>
      </c>
      <c r="N1635" t="b">
        <v>0</v>
      </c>
      <c r="O1635">
        <v>198</v>
      </c>
      <c r="P1635" t="s">
        <v>1752</v>
      </c>
      <c r="Q1635" t="s">
        <v>1753</v>
      </c>
    </row>
    <row r="1636" spans="1:18" x14ac:dyDescent="0.25">
      <c r="A1636" t="s">
        <v>4232</v>
      </c>
      <c r="B1636" t="s">
        <v>1781</v>
      </c>
      <c r="C1636" t="s">
        <v>186</v>
      </c>
      <c r="D1636" t="s">
        <v>1369</v>
      </c>
      <c r="E1636" s="2">
        <v>38987</v>
      </c>
      <c r="F1636">
        <v>6624</v>
      </c>
      <c r="G1636" t="s">
        <v>1746</v>
      </c>
      <c r="H1636" t="s">
        <v>1747</v>
      </c>
      <c r="I1636" t="b">
        <v>0</v>
      </c>
      <c r="J1636" t="s">
        <v>1748</v>
      </c>
      <c r="K1636" t="s">
        <v>1830</v>
      </c>
      <c r="L1636" t="s">
        <v>2102</v>
      </c>
      <c r="M1636">
        <v>95</v>
      </c>
      <c r="N1636" t="b">
        <v>0</v>
      </c>
      <c r="P1636" t="s">
        <v>2070</v>
      </c>
      <c r="Q1636" t="s">
        <v>1779</v>
      </c>
    </row>
    <row r="1637" spans="1:18" x14ac:dyDescent="0.25">
      <c r="A1637" t="s">
        <v>4233</v>
      </c>
      <c r="B1637" t="s">
        <v>1810</v>
      </c>
      <c r="C1637" t="s">
        <v>4</v>
      </c>
      <c r="D1637" t="s">
        <v>774</v>
      </c>
      <c r="E1637" s="2">
        <v>43146</v>
      </c>
      <c r="F1637">
        <v>2465</v>
      </c>
      <c r="G1637" t="s">
        <v>1833</v>
      </c>
      <c r="H1637" t="s">
        <v>1747</v>
      </c>
      <c r="I1637" t="b">
        <v>0</v>
      </c>
      <c r="J1637" t="s">
        <v>1761</v>
      </c>
      <c r="K1637" t="s">
        <v>1770</v>
      </c>
      <c r="L1637" t="s">
        <v>1756</v>
      </c>
      <c r="M1637">
        <v>95</v>
      </c>
      <c r="N1637" t="b">
        <v>0</v>
      </c>
      <c r="O1637">
        <v>304</v>
      </c>
      <c r="P1637" t="s">
        <v>1819</v>
      </c>
      <c r="Q1637" t="s">
        <v>1753</v>
      </c>
      <c r="R1637" t="s">
        <v>1759</v>
      </c>
    </row>
    <row r="1638" spans="1:18" x14ac:dyDescent="0.25">
      <c r="A1638" t="s">
        <v>4234</v>
      </c>
      <c r="B1638" t="s">
        <v>1876</v>
      </c>
      <c r="C1638" t="s">
        <v>4</v>
      </c>
      <c r="D1638" t="s">
        <v>215</v>
      </c>
      <c r="E1638" s="2">
        <v>43969</v>
      </c>
      <c r="F1638">
        <v>1642</v>
      </c>
      <c r="G1638" t="s">
        <v>1833</v>
      </c>
      <c r="H1638" t="s">
        <v>1798</v>
      </c>
      <c r="I1638" t="b">
        <v>0</v>
      </c>
      <c r="J1638" t="s">
        <v>1748</v>
      </c>
      <c r="K1638" t="s">
        <v>1776</v>
      </c>
      <c r="L1638" t="s">
        <v>1750</v>
      </c>
      <c r="M1638">
        <v>95</v>
      </c>
      <c r="N1638" t="b">
        <v>1</v>
      </c>
      <c r="O1638">
        <v>202</v>
      </c>
      <c r="P1638" t="s">
        <v>1752</v>
      </c>
      <c r="Q1638" t="s">
        <v>1753</v>
      </c>
      <c r="R1638" t="s">
        <v>1828</v>
      </c>
    </row>
    <row r="1639" spans="1:18" x14ac:dyDescent="0.25">
      <c r="A1639" t="s">
        <v>4235</v>
      </c>
      <c r="B1639" t="s">
        <v>1876</v>
      </c>
      <c r="C1639" t="s">
        <v>4</v>
      </c>
      <c r="D1639" t="s">
        <v>1264</v>
      </c>
      <c r="E1639" s="2">
        <v>44463</v>
      </c>
      <c r="F1639">
        <v>1148</v>
      </c>
      <c r="G1639" t="s">
        <v>1746</v>
      </c>
      <c r="H1639" t="s">
        <v>1747</v>
      </c>
      <c r="I1639" t="b">
        <v>0</v>
      </c>
      <c r="J1639" t="s">
        <v>1748</v>
      </c>
      <c r="K1639" t="s">
        <v>1883</v>
      </c>
      <c r="L1639" t="s">
        <v>1750</v>
      </c>
      <c r="M1639">
        <v>94</v>
      </c>
      <c r="N1639" t="b">
        <v>0</v>
      </c>
      <c r="O1639">
        <v>23</v>
      </c>
      <c r="P1639" t="s">
        <v>1752</v>
      </c>
      <c r="Q1639" t="s">
        <v>1753</v>
      </c>
      <c r="R1639" t="s">
        <v>1759</v>
      </c>
    </row>
    <row r="1640" spans="1:18" x14ac:dyDescent="0.25">
      <c r="A1640" t="s">
        <v>4237</v>
      </c>
      <c r="B1640" t="s">
        <v>1803</v>
      </c>
      <c r="C1640" t="s">
        <v>572</v>
      </c>
      <c r="D1640" t="s">
        <v>4236</v>
      </c>
      <c r="E1640" s="2">
        <v>38568</v>
      </c>
      <c r="F1640">
        <v>7043</v>
      </c>
      <c r="G1640" t="s">
        <v>1746</v>
      </c>
      <c r="H1640" t="s">
        <v>1798</v>
      </c>
      <c r="I1640" t="b">
        <v>0</v>
      </c>
      <c r="J1640" t="s">
        <v>1761</v>
      </c>
      <c r="K1640" t="s">
        <v>1879</v>
      </c>
      <c r="L1640" t="s">
        <v>1750</v>
      </c>
      <c r="M1640">
        <v>94</v>
      </c>
      <c r="N1640" t="b">
        <v>0</v>
      </c>
      <c r="O1640">
        <v>20</v>
      </c>
      <c r="P1640" t="s">
        <v>1752</v>
      </c>
      <c r="Q1640" t="s">
        <v>1753</v>
      </c>
    </row>
    <row r="1641" spans="1:18" x14ac:dyDescent="0.25">
      <c r="A1641" t="s">
        <v>4238</v>
      </c>
      <c r="B1641" t="s">
        <v>2046</v>
      </c>
      <c r="C1641" t="s">
        <v>4</v>
      </c>
      <c r="D1641" t="s">
        <v>1237</v>
      </c>
      <c r="E1641" s="2">
        <v>40660</v>
      </c>
      <c r="F1641">
        <v>4951</v>
      </c>
      <c r="G1641" t="s">
        <v>1746</v>
      </c>
      <c r="H1641" t="s">
        <v>1747</v>
      </c>
      <c r="I1641" t="b">
        <v>0</v>
      </c>
      <c r="J1641" t="s">
        <v>1748</v>
      </c>
      <c r="K1641" t="s">
        <v>1934</v>
      </c>
      <c r="L1641" t="s">
        <v>2102</v>
      </c>
      <c r="M1641">
        <v>94</v>
      </c>
      <c r="N1641" t="b">
        <v>0</v>
      </c>
      <c r="P1641" t="s">
        <v>1752</v>
      </c>
      <c r="Q1641" t="s">
        <v>1753</v>
      </c>
      <c r="R1641" t="s">
        <v>1772</v>
      </c>
    </row>
    <row r="1642" spans="1:18" x14ac:dyDescent="0.25">
      <c r="A1642" t="s">
        <v>4240</v>
      </c>
      <c r="B1642" t="s">
        <v>2085</v>
      </c>
      <c r="C1642" t="s">
        <v>4</v>
      </c>
      <c r="D1642" t="s">
        <v>4239</v>
      </c>
      <c r="E1642" s="2">
        <v>43000</v>
      </c>
      <c r="F1642">
        <v>2611</v>
      </c>
      <c r="G1642" t="s">
        <v>1746</v>
      </c>
      <c r="H1642" t="s">
        <v>1798</v>
      </c>
      <c r="I1642" t="b">
        <v>1</v>
      </c>
      <c r="J1642" t="s">
        <v>1761</v>
      </c>
      <c r="K1642" t="s">
        <v>1755</v>
      </c>
      <c r="L1642" t="s">
        <v>1817</v>
      </c>
      <c r="M1642">
        <v>94</v>
      </c>
      <c r="N1642" t="b">
        <v>0</v>
      </c>
      <c r="O1642">
        <v>153</v>
      </c>
      <c r="P1642" t="s">
        <v>1819</v>
      </c>
      <c r="Q1642" t="s">
        <v>1753</v>
      </c>
      <c r="R1642" t="s">
        <v>1759</v>
      </c>
    </row>
    <row r="1643" spans="1:18" x14ac:dyDescent="0.25">
      <c r="A1643" t="s">
        <v>4242</v>
      </c>
      <c r="B1643" t="s">
        <v>2589</v>
      </c>
      <c r="C1643" t="s">
        <v>4</v>
      </c>
      <c r="D1643" t="s">
        <v>4241</v>
      </c>
      <c r="E1643" s="2">
        <v>42489</v>
      </c>
      <c r="F1643">
        <v>3122</v>
      </c>
      <c r="G1643" t="s">
        <v>1746</v>
      </c>
      <c r="H1643" t="s">
        <v>1747</v>
      </c>
      <c r="I1643" t="b">
        <v>1</v>
      </c>
      <c r="J1643" t="s">
        <v>1748</v>
      </c>
      <c r="K1643" t="s">
        <v>1853</v>
      </c>
      <c r="L1643" t="s">
        <v>1750</v>
      </c>
      <c r="M1643">
        <v>94</v>
      </c>
      <c r="N1643" t="b">
        <v>0</v>
      </c>
      <c r="O1643">
        <v>105</v>
      </c>
      <c r="P1643" t="s">
        <v>1752</v>
      </c>
      <c r="Q1643" t="s">
        <v>1753</v>
      </c>
      <c r="R1643" t="s">
        <v>1759</v>
      </c>
    </row>
    <row r="1644" spans="1:18" x14ac:dyDescent="0.25">
      <c r="A1644" t="s">
        <v>4244</v>
      </c>
      <c r="B1644" t="s">
        <v>4245</v>
      </c>
      <c r="C1644" t="s">
        <v>6</v>
      </c>
      <c r="D1644" t="s">
        <v>4243</v>
      </c>
      <c r="E1644" s="2">
        <v>40492</v>
      </c>
      <c r="F1644">
        <v>5119</v>
      </c>
      <c r="G1644" t="s">
        <v>1746</v>
      </c>
      <c r="H1644" t="s">
        <v>1805</v>
      </c>
      <c r="I1644" t="b">
        <v>0</v>
      </c>
      <c r="J1644" t="s">
        <v>1761</v>
      </c>
      <c r="K1644" t="s">
        <v>1749</v>
      </c>
      <c r="L1644" t="s">
        <v>1817</v>
      </c>
      <c r="M1644">
        <v>93</v>
      </c>
      <c r="N1644" t="b">
        <v>0</v>
      </c>
      <c r="O1644">
        <v>32</v>
      </c>
      <c r="P1644" t="s">
        <v>1819</v>
      </c>
      <c r="Q1644" t="s">
        <v>1753</v>
      </c>
    </row>
    <row r="1645" spans="1:18" x14ac:dyDescent="0.25">
      <c r="A1645" t="s">
        <v>4246</v>
      </c>
      <c r="B1645" t="s">
        <v>2269</v>
      </c>
      <c r="C1645" t="s">
        <v>6</v>
      </c>
      <c r="D1645" t="s">
        <v>1514</v>
      </c>
      <c r="E1645" s="2">
        <v>42012</v>
      </c>
      <c r="F1645">
        <v>3599</v>
      </c>
      <c r="G1645" t="s">
        <v>1746</v>
      </c>
      <c r="H1645" t="s">
        <v>1798</v>
      </c>
      <c r="I1645" t="b">
        <v>0</v>
      </c>
      <c r="J1645" t="s">
        <v>1761</v>
      </c>
      <c r="K1645" t="s">
        <v>1776</v>
      </c>
      <c r="L1645" t="s">
        <v>1766</v>
      </c>
      <c r="M1645">
        <v>93</v>
      </c>
      <c r="N1645" t="b">
        <v>0</v>
      </c>
      <c r="P1645" t="s">
        <v>1819</v>
      </c>
      <c r="Q1645" t="s">
        <v>1753</v>
      </c>
      <c r="R1645" t="s">
        <v>1759</v>
      </c>
    </row>
    <row r="1646" spans="1:18" x14ac:dyDescent="0.25">
      <c r="A1646" t="s">
        <v>4248</v>
      </c>
      <c r="B1646" t="s">
        <v>2662</v>
      </c>
      <c r="C1646" t="s">
        <v>4</v>
      </c>
      <c r="D1646" t="s">
        <v>4247</v>
      </c>
      <c r="E1646" s="2">
        <v>43789</v>
      </c>
      <c r="F1646">
        <v>1822</v>
      </c>
      <c r="G1646" t="s">
        <v>1746</v>
      </c>
      <c r="H1646" t="s">
        <v>1798</v>
      </c>
      <c r="I1646" t="b">
        <v>0</v>
      </c>
      <c r="J1646" t="s">
        <v>1748</v>
      </c>
      <c r="K1646" t="s">
        <v>1853</v>
      </c>
      <c r="L1646" t="s">
        <v>1817</v>
      </c>
      <c r="M1646">
        <v>93</v>
      </c>
      <c r="N1646" t="b">
        <v>0</v>
      </c>
      <c r="O1646">
        <v>33</v>
      </c>
      <c r="P1646" t="s">
        <v>1819</v>
      </c>
      <c r="Q1646" t="s">
        <v>1753</v>
      </c>
    </row>
    <row r="1647" spans="1:18" x14ac:dyDescent="0.25">
      <c r="A1647" t="s">
        <v>4250</v>
      </c>
      <c r="B1647" t="s">
        <v>1803</v>
      </c>
      <c r="C1647" t="s">
        <v>572</v>
      </c>
      <c r="D1647" t="s">
        <v>4249</v>
      </c>
      <c r="E1647" s="2">
        <v>38446</v>
      </c>
      <c r="F1647">
        <v>7165</v>
      </c>
      <c r="G1647" t="s">
        <v>1746</v>
      </c>
      <c r="H1647" t="s">
        <v>1798</v>
      </c>
      <c r="I1647" t="b">
        <v>0</v>
      </c>
      <c r="J1647" t="s">
        <v>1761</v>
      </c>
      <c r="K1647" t="s">
        <v>1943</v>
      </c>
      <c r="L1647" t="s">
        <v>1750</v>
      </c>
      <c r="M1647">
        <v>93</v>
      </c>
      <c r="N1647" t="b">
        <v>0</v>
      </c>
      <c r="O1647">
        <v>200</v>
      </c>
      <c r="P1647" t="s">
        <v>1752</v>
      </c>
      <c r="Q1647" t="s">
        <v>1753</v>
      </c>
      <c r="R1647" t="s">
        <v>1828</v>
      </c>
    </row>
    <row r="1648" spans="1:18" x14ac:dyDescent="0.25">
      <c r="A1648" t="s">
        <v>4252</v>
      </c>
      <c r="B1648" t="s">
        <v>2150</v>
      </c>
      <c r="C1648" t="s">
        <v>4</v>
      </c>
      <c r="D1648" t="s">
        <v>4251</v>
      </c>
      <c r="E1648" s="2">
        <v>44336</v>
      </c>
      <c r="F1648">
        <v>1275</v>
      </c>
      <c r="G1648" t="s">
        <v>1746</v>
      </c>
      <c r="H1648" t="s">
        <v>1805</v>
      </c>
      <c r="I1648" t="b">
        <v>0</v>
      </c>
      <c r="J1648" t="s">
        <v>1748</v>
      </c>
      <c r="K1648" t="s">
        <v>1824</v>
      </c>
      <c r="L1648" t="s">
        <v>1817</v>
      </c>
      <c r="M1648">
        <v>93</v>
      </c>
      <c r="N1648" t="b">
        <v>1</v>
      </c>
      <c r="O1648">
        <v>4040</v>
      </c>
      <c r="P1648" t="s">
        <v>1819</v>
      </c>
      <c r="Q1648" t="s">
        <v>1753</v>
      </c>
      <c r="R1648" t="s">
        <v>1759</v>
      </c>
    </row>
    <row r="1649" spans="1:18" x14ac:dyDescent="0.25">
      <c r="A1649" t="s">
        <v>4253</v>
      </c>
      <c r="B1649" t="s">
        <v>1860</v>
      </c>
      <c r="C1649" t="s">
        <v>6</v>
      </c>
      <c r="D1649" t="s">
        <v>1198</v>
      </c>
      <c r="E1649" s="2">
        <v>42527</v>
      </c>
      <c r="F1649">
        <v>3084</v>
      </c>
      <c r="G1649" t="s">
        <v>1746</v>
      </c>
      <c r="H1649" t="s">
        <v>1798</v>
      </c>
      <c r="I1649" t="b">
        <v>0</v>
      </c>
      <c r="J1649" t="s">
        <v>1748</v>
      </c>
      <c r="K1649" t="s">
        <v>1793</v>
      </c>
      <c r="L1649" t="s">
        <v>1750</v>
      </c>
      <c r="M1649">
        <v>92</v>
      </c>
      <c r="N1649" t="b">
        <v>1</v>
      </c>
      <c r="O1649">
        <v>60</v>
      </c>
      <c r="P1649" t="s">
        <v>1752</v>
      </c>
      <c r="Q1649" t="s">
        <v>1753</v>
      </c>
    </row>
    <row r="1650" spans="1:18" x14ac:dyDescent="0.25">
      <c r="A1650" t="s">
        <v>4255</v>
      </c>
      <c r="B1650" t="s">
        <v>2173</v>
      </c>
      <c r="C1650" t="s">
        <v>6</v>
      </c>
      <c r="D1650" t="s">
        <v>4254</v>
      </c>
      <c r="E1650" s="2">
        <v>43131</v>
      </c>
      <c r="F1650">
        <v>2480</v>
      </c>
      <c r="G1650" t="s">
        <v>1746</v>
      </c>
      <c r="H1650" t="s">
        <v>1747</v>
      </c>
      <c r="I1650" t="b">
        <v>0</v>
      </c>
      <c r="J1650" t="s">
        <v>1748</v>
      </c>
      <c r="K1650" t="s">
        <v>1749</v>
      </c>
      <c r="L1650" t="s">
        <v>1750</v>
      </c>
      <c r="M1650">
        <v>92</v>
      </c>
      <c r="N1650" t="b">
        <v>0</v>
      </c>
      <c r="O1650">
        <v>96</v>
      </c>
      <c r="P1650" t="s">
        <v>1819</v>
      </c>
      <c r="Q1650" t="s">
        <v>1753</v>
      </c>
    </row>
    <row r="1651" spans="1:18" x14ac:dyDescent="0.25">
      <c r="A1651" t="s">
        <v>4257</v>
      </c>
      <c r="B1651" t="s">
        <v>1907</v>
      </c>
      <c r="C1651" t="s">
        <v>4</v>
      </c>
      <c r="D1651" t="s">
        <v>4256</v>
      </c>
      <c r="E1651" s="2">
        <v>44657</v>
      </c>
      <c r="F1651">
        <v>954</v>
      </c>
      <c r="G1651" t="s">
        <v>1746</v>
      </c>
      <c r="H1651" t="s">
        <v>1798</v>
      </c>
      <c r="I1651" t="b">
        <v>1</v>
      </c>
      <c r="J1651" t="s">
        <v>1761</v>
      </c>
      <c r="K1651" t="s">
        <v>1774</v>
      </c>
      <c r="L1651" t="s">
        <v>1817</v>
      </c>
      <c r="M1651">
        <v>92</v>
      </c>
      <c r="N1651" t="b">
        <v>0</v>
      </c>
      <c r="O1651">
        <v>28</v>
      </c>
      <c r="P1651" t="s">
        <v>1819</v>
      </c>
      <c r="Q1651" t="s">
        <v>1753</v>
      </c>
    </row>
    <row r="1652" spans="1:18" x14ac:dyDescent="0.25">
      <c r="A1652" t="s">
        <v>4259</v>
      </c>
      <c r="B1652" t="s">
        <v>2620</v>
      </c>
      <c r="C1652" t="s">
        <v>4</v>
      </c>
      <c r="D1652" t="s">
        <v>4258</v>
      </c>
      <c r="E1652" s="2">
        <v>44404</v>
      </c>
      <c r="F1652">
        <v>1207</v>
      </c>
      <c r="G1652" t="s">
        <v>1746</v>
      </c>
      <c r="H1652" t="s">
        <v>1798</v>
      </c>
      <c r="I1652" t="b">
        <v>0</v>
      </c>
      <c r="J1652" t="s">
        <v>1761</v>
      </c>
      <c r="K1652" t="s">
        <v>1824</v>
      </c>
      <c r="L1652" t="s">
        <v>1750</v>
      </c>
      <c r="M1652">
        <v>92</v>
      </c>
      <c r="N1652" t="b">
        <v>1</v>
      </c>
      <c r="O1652">
        <v>154</v>
      </c>
      <c r="P1652" t="s">
        <v>1752</v>
      </c>
      <c r="Q1652" t="s">
        <v>1753</v>
      </c>
      <c r="R1652" t="s">
        <v>1828</v>
      </c>
    </row>
    <row r="1653" spans="1:18" x14ac:dyDescent="0.25">
      <c r="A1653" t="s">
        <v>4261</v>
      </c>
      <c r="B1653" t="s">
        <v>2335</v>
      </c>
      <c r="C1653" t="s">
        <v>6</v>
      </c>
      <c r="D1653" t="s">
        <v>4260</v>
      </c>
      <c r="E1653" s="2">
        <v>45106</v>
      </c>
      <c r="F1653">
        <v>505</v>
      </c>
      <c r="G1653" t="s">
        <v>1746</v>
      </c>
      <c r="H1653" t="s">
        <v>1798</v>
      </c>
      <c r="I1653" t="b">
        <v>0</v>
      </c>
      <c r="J1653" t="s">
        <v>1761</v>
      </c>
      <c r="K1653" t="s">
        <v>1909</v>
      </c>
      <c r="L1653" t="s">
        <v>1750</v>
      </c>
      <c r="M1653">
        <v>92</v>
      </c>
      <c r="N1653" t="b">
        <v>1</v>
      </c>
      <c r="O1653">
        <v>322</v>
      </c>
      <c r="P1653" t="s">
        <v>1752</v>
      </c>
      <c r="Q1653" t="s">
        <v>1753</v>
      </c>
      <c r="R1653" t="s">
        <v>1759</v>
      </c>
    </row>
    <row r="1654" spans="1:18" x14ac:dyDescent="0.25">
      <c r="A1654" t="s">
        <v>4263</v>
      </c>
      <c r="B1654" t="s">
        <v>2133</v>
      </c>
      <c r="C1654" t="s">
        <v>4</v>
      </c>
      <c r="D1654" t="s">
        <v>4262</v>
      </c>
      <c r="E1654" s="2">
        <v>43515</v>
      </c>
      <c r="F1654">
        <v>2096</v>
      </c>
      <c r="G1654" t="s">
        <v>1746</v>
      </c>
      <c r="H1654" t="s">
        <v>1805</v>
      </c>
      <c r="I1654" t="b">
        <v>0</v>
      </c>
      <c r="J1654" t="s">
        <v>1748</v>
      </c>
      <c r="K1654" t="s">
        <v>1749</v>
      </c>
      <c r="L1654" t="s">
        <v>1817</v>
      </c>
      <c r="M1654">
        <v>91</v>
      </c>
      <c r="N1654" t="b">
        <v>0</v>
      </c>
      <c r="O1654">
        <v>61</v>
      </c>
      <c r="P1654" t="s">
        <v>1819</v>
      </c>
      <c r="Q1654" t="s">
        <v>1753</v>
      </c>
    </row>
    <row r="1655" spans="1:18" x14ac:dyDescent="0.25">
      <c r="A1655" t="s">
        <v>4265</v>
      </c>
      <c r="B1655" t="s">
        <v>2060</v>
      </c>
      <c r="C1655" t="s">
        <v>6</v>
      </c>
      <c r="D1655" t="s">
        <v>4264</v>
      </c>
      <c r="E1655" s="2">
        <v>40353</v>
      </c>
      <c r="F1655">
        <v>5258</v>
      </c>
      <c r="G1655" t="s">
        <v>1746</v>
      </c>
      <c r="H1655" t="s">
        <v>1747</v>
      </c>
      <c r="I1655" t="b">
        <v>1</v>
      </c>
      <c r="J1655" t="s">
        <v>1748</v>
      </c>
      <c r="K1655" t="s">
        <v>1868</v>
      </c>
      <c r="L1655" t="s">
        <v>1750</v>
      </c>
      <c r="M1655">
        <v>91</v>
      </c>
      <c r="N1655" t="b">
        <v>0</v>
      </c>
      <c r="O1655">
        <v>28</v>
      </c>
      <c r="P1655" t="s">
        <v>1752</v>
      </c>
      <c r="Q1655" t="s">
        <v>1753</v>
      </c>
    </row>
    <row r="1656" spans="1:18" x14ac:dyDescent="0.25">
      <c r="A1656" t="s">
        <v>4267</v>
      </c>
      <c r="B1656" t="s">
        <v>2836</v>
      </c>
      <c r="C1656" t="s">
        <v>6</v>
      </c>
      <c r="D1656" t="s">
        <v>4266</v>
      </c>
      <c r="E1656" s="2">
        <v>45238</v>
      </c>
      <c r="F1656">
        <v>373</v>
      </c>
      <c r="G1656" t="s">
        <v>1746</v>
      </c>
      <c r="H1656" t="s">
        <v>1798</v>
      </c>
      <c r="I1656" t="b">
        <v>0</v>
      </c>
      <c r="J1656" t="s">
        <v>1761</v>
      </c>
      <c r="K1656" t="s">
        <v>1774</v>
      </c>
      <c r="L1656" t="s">
        <v>1756</v>
      </c>
      <c r="M1656">
        <v>91</v>
      </c>
      <c r="N1656" t="b">
        <v>1</v>
      </c>
      <c r="O1656">
        <v>127</v>
      </c>
      <c r="P1656" t="s">
        <v>1819</v>
      </c>
      <c r="Q1656" t="s">
        <v>1753</v>
      </c>
      <c r="R1656" t="s">
        <v>1759</v>
      </c>
    </row>
    <row r="1657" spans="1:18" x14ac:dyDescent="0.25">
      <c r="A1657" t="s">
        <v>4269</v>
      </c>
      <c r="B1657" t="s">
        <v>2177</v>
      </c>
      <c r="C1657" t="s">
        <v>6</v>
      </c>
      <c r="D1657" t="s">
        <v>4268</v>
      </c>
      <c r="E1657" s="2">
        <v>42947</v>
      </c>
      <c r="F1657">
        <v>2664</v>
      </c>
      <c r="G1657" t="s">
        <v>1746</v>
      </c>
      <c r="H1657" t="s">
        <v>1805</v>
      </c>
      <c r="I1657" t="b">
        <v>1</v>
      </c>
      <c r="J1657" t="s">
        <v>1761</v>
      </c>
      <c r="K1657" t="s">
        <v>1824</v>
      </c>
      <c r="L1657" t="s">
        <v>1750</v>
      </c>
      <c r="M1657">
        <v>91</v>
      </c>
      <c r="N1657" t="b">
        <v>0</v>
      </c>
      <c r="O1657">
        <v>198</v>
      </c>
      <c r="P1657" t="s">
        <v>1752</v>
      </c>
      <c r="Q1657" t="s">
        <v>1753</v>
      </c>
    </row>
    <row r="1658" spans="1:18" x14ac:dyDescent="0.25">
      <c r="A1658" t="s">
        <v>4270</v>
      </c>
      <c r="B1658" t="s">
        <v>2220</v>
      </c>
      <c r="C1658" t="s">
        <v>4</v>
      </c>
      <c r="D1658" t="s">
        <v>389</v>
      </c>
      <c r="E1658" s="2">
        <v>40163</v>
      </c>
      <c r="F1658">
        <v>5448</v>
      </c>
      <c r="G1658" t="s">
        <v>1746</v>
      </c>
      <c r="H1658" t="s">
        <v>1747</v>
      </c>
      <c r="I1658" t="b">
        <v>0</v>
      </c>
      <c r="J1658" t="s">
        <v>1748</v>
      </c>
      <c r="K1658" t="s">
        <v>1934</v>
      </c>
      <c r="L1658" t="s">
        <v>1766</v>
      </c>
      <c r="M1658">
        <v>91</v>
      </c>
      <c r="N1658" t="b">
        <v>0</v>
      </c>
      <c r="P1658" t="s">
        <v>1752</v>
      </c>
      <c r="Q1658" t="s">
        <v>1753</v>
      </c>
    </row>
    <row r="1659" spans="1:18" x14ac:dyDescent="0.25">
      <c r="A1659" t="s">
        <v>1628</v>
      </c>
      <c r="B1659" t="s">
        <v>2060</v>
      </c>
      <c r="C1659" t="s">
        <v>4</v>
      </c>
      <c r="D1659" t="s">
        <v>1629</v>
      </c>
      <c r="E1659" s="2">
        <v>43185</v>
      </c>
      <c r="F1659">
        <v>2426</v>
      </c>
      <c r="G1659" t="s">
        <v>1746</v>
      </c>
      <c r="H1659" t="s">
        <v>1747</v>
      </c>
      <c r="I1659" t="b">
        <v>1</v>
      </c>
      <c r="J1659" t="s">
        <v>1761</v>
      </c>
      <c r="K1659" t="s">
        <v>1809</v>
      </c>
      <c r="L1659" t="s">
        <v>1750</v>
      </c>
      <c r="M1659">
        <v>91</v>
      </c>
      <c r="N1659" t="b">
        <v>1</v>
      </c>
      <c r="O1659">
        <v>1257</v>
      </c>
      <c r="P1659" t="s">
        <v>1752</v>
      </c>
      <c r="Q1659" t="s">
        <v>1753</v>
      </c>
      <c r="R1659" t="s">
        <v>1759</v>
      </c>
    </row>
    <row r="1660" spans="1:18" x14ac:dyDescent="0.25">
      <c r="A1660" t="s">
        <v>4272</v>
      </c>
      <c r="B1660" t="s">
        <v>2173</v>
      </c>
      <c r="C1660" t="s">
        <v>6</v>
      </c>
      <c r="D1660" t="s">
        <v>4271</v>
      </c>
      <c r="E1660" s="2">
        <v>42643</v>
      </c>
      <c r="F1660">
        <v>2968</v>
      </c>
      <c r="G1660" t="s">
        <v>1746</v>
      </c>
      <c r="H1660" t="s">
        <v>2231</v>
      </c>
      <c r="I1660" t="b">
        <v>0</v>
      </c>
      <c r="J1660" t="s">
        <v>1748</v>
      </c>
      <c r="K1660" t="s">
        <v>1986</v>
      </c>
      <c r="L1660" t="s">
        <v>1750</v>
      </c>
      <c r="M1660">
        <v>91</v>
      </c>
      <c r="N1660" t="b">
        <v>0</v>
      </c>
      <c r="O1660">
        <v>34</v>
      </c>
      <c r="P1660" t="s">
        <v>1819</v>
      </c>
      <c r="Q1660" t="s">
        <v>1753</v>
      </c>
    </row>
    <row r="1661" spans="1:18" x14ac:dyDescent="0.25">
      <c r="A1661" t="s">
        <v>4273</v>
      </c>
      <c r="B1661" t="s">
        <v>2060</v>
      </c>
      <c r="C1661" t="s">
        <v>6</v>
      </c>
      <c r="D1661" t="s">
        <v>1526</v>
      </c>
      <c r="E1661" s="2">
        <v>39365</v>
      </c>
      <c r="F1661">
        <v>6246</v>
      </c>
      <c r="G1661" t="s">
        <v>1746</v>
      </c>
      <c r="H1661" t="s">
        <v>1805</v>
      </c>
      <c r="I1661" t="b">
        <v>0</v>
      </c>
      <c r="J1661" t="s">
        <v>1761</v>
      </c>
      <c r="K1661" t="s">
        <v>1822</v>
      </c>
      <c r="L1661" t="s">
        <v>1766</v>
      </c>
      <c r="M1661">
        <v>90</v>
      </c>
      <c r="N1661" t="b">
        <v>0</v>
      </c>
      <c r="P1661" t="s">
        <v>1827</v>
      </c>
      <c r="Q1661" t="s">
        <v>1753</v>
      </c>
    </row>
    <row r="1662" spans="1:18" x14ac:dyDescent="0.25">
      <c r="A1662" t="s">
        <v>4275</v>
      </c>
      <c r="B1662" t="s">
        <v>1820</v>
      </c>
      <c r="C1662" t="s">
        <v>6</v>
      </c>
      <c r="D1662" t="s">
        <v>4274</v>
      </c>
      <c r="E1662" s="2">
        <v>40409</v>
      </c>
      <c r="F1662">
        <v>5202</v>
      </c>
      <c r="G1662" t="s">
        <v>1746</v>
      </c>
      <c r="H1662" t="s">
        <v>1747</v>
      </c>
      <c r="I1662" t="b">
        <v>0</v>
      </c>
      <c r="J1662" t="s">
        <v>1748</v>
      </c>
      <c r="K1662" t="s">
        <v>1853</v>
      </c>
      <c r="L1662" t="s">
        <v>1766</v>
      </c>
      <c r="M1662">
        <v>90</v>
      </c>
      <c r="N1662" t="b">
        <v>0</v>
      </c>
      <c r="P1662" t="s">
        <v>1752</v>
      </c>
      <c r="Q1662" t="s">
        <v>1753</v>
      </c>
      <c r="R1662" t="s">
        <v>1759</v>
      </c>
    </row>
    <row r="1663" spans="1:18" x14ac:dyDescent="0.25">
      <c r="A1663" t="s">
        <v>4277</v>
      </c>
      <c r="B1663" t="s">
        <v>2173</v>
      </c>
      <c r="C1663" t="s">
        <v>4</v>
      </c>
      <c r="D1663" t="s">
        <v>4276</v>
      </c>
      <c r="E1663" s="2">
        <v>42528</v>
      </c>
      <c r="F1663">
        <v>3083</v>
      </c>
      <c r="G1663" t="s">
        <v>1746</v>
      </c>
      <c r="H1663" t="s">
        <v>1798</v>
      </c>
      <c r="I1663" t="b">
        <v>0</v>
      </c>
      <c r="J1663" t="s">
        <v>1748</v>
      </c>
      <c r="K1663" t="s">
        <v>1909</v>
      </c>
      <c r="L1663" t="s">
        <v>1750</v>
      </c>
      <c r="M1663">
        <v>90</v>
      </c>
      <c r="N1663" t="b">
        <v>1</v>
      </c>
      <c r="O1663">
        <v>147</v>
      </c>
      <c r="P1663" t="s">
        <v>1752</v>
      </c>
      <c r="Q1663" t="s">
        <v>1753</v>
      </c>
    </row>
    <row r="1664" spans="1:18" x14ac:dyDescent="0.25">
      <c r="A1664" t="s">
        <v>4279</v>
      </c>
      <c r="B1664" t="s">
        <v>1704</v>
      </c>
      <c r="C1664" t="s">
        <v>4</v>
      </c>
      <c r="D1664" t="s">
        <v>4278</v>
      </c>
      <c r="E1664" s="2">
        <v>44077</v>
      </c>
      <c r="F1664">
        <v>1534</v>
      </c>
      <c r="G1664" t="s">
        <v>1746</v>
      </c>
      <c r="H1664" t="s">
        <v>1747</v>
      </c>
      <c r="I1664" t="b">
        <v>1</v>
      </c>
      <c r="J1664" t="s">
        <v>1748</v>
      </c>
      <c r="K1664" t="s">
        <v>1774</v>
      </c>
      <c r="L1664" t="s">
        <v>1817</v>
      </c>
      <c r="M1664">
        <v>90</v>
      </c>
      <c r="N1664" t="b">
        <v>0</v>
      </c>
      <c r="O1664">
        <v>2986</v>
      </c>
      <c r="P1664" t="s">
        <v>1819</v>
      </c>
      <c r="Q1664" t="s">
        <v>1753</v>
      </c>
      <c r="R1664" t="s">
        <v>1759</v>
      </c>
    </row>
    <row r="1665" spans="1:18" x14ac:dyDescent="0.25">
      <c r="A1665" t="s">
        <v>4281</v>
      </c>
      <c r="B1665" t="s">
        <v>2085</v>
      </c>
      <c r="C1665" t="s">
        <v>6</v>
      </c>
      <c r="D1665" t="s">
        <v>4280</v>
      </c>
      <c r="E1665" s="2">
        <v>40791</v>
      </c>
      <c r="F1665">
        <v>4820</v>
      </c>
      <c r="G1665" t="s">
        <v>1746</v>
      </c>
      <c r="H1665" t="s">
        <v>1747</v>
      </c>
      <c r="I1665" t="b">
        <v>0</v>
      </c>
      <c r="J1665" t="s">
        <v>1748</v>
      </c>
      <c r="K1665" t="s">
        <v>1856</v>
      </c>
      <c r="L1665" t="s">
        <v>1766</v>
      </c>
      <c r="M1665">
        <v>90</v>
      </c>
      <c r="N1665" t="b">
        <v>0</v>
      </c>
      <c r="P1665" t="s">
        <v>1752</v>
      </c>
      <c r="Q1665" t="s">
        <v>1753</v>
      </c>
      <c r="R1665" t="s">
        <v>1759</v>
      </c>
    </row>
    <row r="1666" spans="1:18" x14ac:dyDescent="0.25">
      <c r="A1666" t="s">
        <v>4283</v>
      </c>
      <c r="B1666" t="s">
        <v>2836</v>
      </c>
      <c r="C1666" t="s">
        <v>6</v>
      </c>
      <c r="D1666" t="s">
        <v>4282</v>
      </c>
      <c r="E1666" s="2">
        <v>45238</v>
      </c>
      <c r="F1666">
        <v>373</v>
      </c>
      <c r="G1666" t="s">
        <v>1746</v>
      </c>
      <c r="H1666" t="s">
        <v>1798</v>
      </c>
      <c r="I1666" t="b">
        <v>0</v>
      </c>
      <c r="J1666" t="s">
        <v>1761</v>
      </c>
      <c r="K1666" t="s">
        <v>1774</v>
      </c>
      <c r="L1666" t="s">
        <v>1756</v>
      </c>
      <c r="M1666">
        <v>90</v>
      </c>
      <c r="N1666" t="b">
        <v>1</v>
      </c>
      <c r="O1666">
        <v>234</v>
      </c>
      <c r="P1666" t="s">
        <v>1819</v>
      </c>
      <c r="Q1666" t="s">
        <v>1753</v>
      </c>
      <c r="R1666" t="s">
        <v>1759</v>
      </c>
    </row>
    <row r="1667" spans="1:18" x14ac:dyDescent="0.25">
      <c r="A1667" t="s">
        <v>4285</v>
      </c>
      <c r="B1667" t="s">
        <v>2040</v>
      </c>
      <c r="C1667" t="s">
        <v>6</v>
      </c>
      <c r="D1667" t="s">
        <v>4284</v>
      </c>
      <c r="E1667" s="2">
        <v>42426</v>
      </c>
      <c r="F1667">
        <v>3185</v>
      </c>
      <c r="G1667" t="s">
        <v>1746</v>
      </c>
      <c r="H1667" t="s">
        <v>1747</v>
      </c>
      <c r="I1667" t="b">
        <v>0</v>
      </c>
      <c r="J1667" t="s">
        <v>1748</v>
      </c>
      <c r="K1667" t="s">
        <v>1909</v>
      </c>
      <c r="L1667" t="s">
        <v>1750</v>
      </c>
      <c r="M1667">
        <v>89</v>
      </c>
      <c r="N1667" t="b">
        <v>1</v>
      </c>
      <c r="O1667">
        <v>322</v>
      </c>
      <c r="P1667" t="s">
        <v>1752</v>
      </c>
      <c r="Q1667" t="s">
        <v>1753</v>
      </c>
      <c r="R1667" t="s">
        <v>1759</v>
      </c>
    </row>
    <row r="1668" spans="1:18" x14ac:dyDescent="0.25">
      <c r="A1668" t="s">
        <v>4286</v>
      </c>
      <c r="B1668" t="s">
        <v>1860</v>
      </c>
      <c r="C1668" t="s">
        <v>4</v>
      </c>
      <c r="D1668" t="s">
        <v>552</v>
      </c>
      <c r="E1668" s="2">
        <v>44280</v>
      </c>
      <c r="F1668">
        <v>1331</v>
      </c>
      <c r="G1668" t="s">
        <v>1746</v>
      </c>
      <c r="H1668" t="s">
        <v>1798</v>
      </c>
      <c r="I1668" t="b">
        <v>0</v>
      </c>
      <c r="J1668" t="s">
        <v>1761</v>
      </c>
      <c r="K1668" t="s">
        <v>1755</v>
      </c>
      <c r="L1668" t="s">
        <v>1817</v>
      </c>
      <c r="M1668">
        <v>89</v>
      </c>
      <c r="N1668" t="b">
        <v>1</v>
      </c>
      <c r="O1668">
        <v>647</v>
      </c>
      <c r="P1668" t="s">
        <v>1819</v>
      </c>
      <c r="Q1668" t="s">
        <v>1753</v>
      </c>
      <c r="R1668" t="s">
        <v>1759</v>
      </c>
    </row>
    <row r="1669" spans="1:18" x14ac:dyDescent="0.25">
      <c r="A1669" t="s">
        <v>4287</v>
      </c>
      <c r="B1669" t="s">
        <v>1876</v>
      </c>
      <c r="C1669" t="s">
        <v>4</v>
      </c>
      <c r="D1669" t="s">
        <v>286</v>
      </c>
      <c r="E1669" s="2">
        <v>44978</v>
      </c>
      <c r="F1669">
        <v>633</v>
      </c>
      <c r="G1669" t="s">
        <v>1746</v>
      </c>
      <c r="H1669" t="s">
        <v>1747</v>
      </c>
      <c r="I1669" t="b">
        <v>0</v>
      </c>
      <c r="J1669" t="s">
        <v>1748</v>
      </c>
      <c r="K1669" t="s">
        <v>1868</v>
      </c>
      <c r="L1669" t="s">
        <v>1766</v>
      </c>
      <c r="M1669">
        <v>89</v>
      </c>
      <c r="N1669" t="b">
        <v>0</v>
      </c>
      <c r="P1669" t="s">
        <v>1752</v>
      </c>
      <c r="Q1669" t="s">
        <v>1753</v>
      </c>
    </row>
    <row r="1670" spans="1:18" x14ac:dyDescent="0.25">
      <c r="A1670" t="s">
        <v>4289</v>
      </c>
      <c r="B1670" t="s">
        <v>2173</v>
      </c>
      <c r="C1670" t="s">
        <v>11</v>
      </c>
      <c r="D1670" t="s">
        <v>4288</v>
      </c>
      <c r="E1670" s="2">
        <v>39062</v>
      </c>
      <c r="F1670">
        <v>6549</v>
      </c>
      <c r="G1670" t="s">
        <v>1746</v>
      </c>
      <c r="H1670" t="s">
        <v>2001</v>
      </c>
      <c r="I1670" t="b">
        <v>0</v>
      </c>
      <c r="J1670" t="s">
        <v>1761</v>
      </c>
      <c r="K1670" t="s">
        <v>1856</v>
      </c>
      <c r="L1670" t="s">
        <v>1750</v>
      </c>
      <c r="M1670">
        <v>89</v>
      </c>
      <c r="N1670" t="b">
        <v>0</v>
      </c>
      <c r="O1670">
        <v>1874</v>
      </c>
      <c r="P1670" t="s">
        <v>1752</v>
      </c>
      <c r="Q1670" t="s">
        <v>1753</v>
      </c>
    </row>
    <row r="1671" spans="1:18" x14ac:dyDescent="0.25">
      <c r="A1671" t="s">
        <v>4290</v>
      </c>
      <c r="B1671" t="s">
        <v>1876</v>
      </c>
      <c r="C1671" t="s">
        <v>6</v>
      </c>
      <c r="D1671" t="s">
        <v>1163</v>
      </c>
      <c r="E1671" s="2">
        <v>43739</v>
      </c>
      <c r="F1671">
        <v>1872</v>
      </c>
      <c r="G1671" t="s">
        <v>1746</v>
      </c>
      <c r="H1671" t="s">
        <v>1747</v>
      </c>
      <c r="I1671" t="b">
        <v>0</v>
      </c>
      <c r="J1671" t="s">
        <v>1748</v>
      </c>
      <c r="K1671" t="s">
        <v>1824</v>
      </c>
      <c r="L1671" t="s">
        <v>1817</v>
      </c>
      <c r="M1671">
        <v>89</v>
      </c>
      <c r="N1671" t="b">
        <v>1</v>
      </c>
      <c r="O1671">
        <v>1299</v>
      </c>
      <c r="P1671" t="s">
        <v>1819</v>
      </c>
      <c r="Q1671" t="s">
        <v>1753</v>
      </c>
      <c r="R1671" t="s">
        <v>1759</v>
      </c>
    </row>
    <row r="1672" spans="1:18" x14ac:dyDescent="0.25">
      <c r="A1672" t="s">
        <v>4292</v>
      </c>
      <c r="B1672" t="s">
        <v>1803</v>
      </c>
      <c r="C1672" t="s">
        <v>572</v>
      </c>
      <c r="D1672" t="s">
        <v>4291</v>
      </c>
      <c r="E1672" s="2">
        <v>39911</v>
      </c>
      <c r="F1672">
        <v>5700</v>
      </c>
      <c r="G1672" t="s">
        <v>1746</v>
      </c>
      <c r="H1672" t="s">
        <v>1798</v>
      </c>
      <c r="I1672" t="b">
        <v>1</v>
      </c>
      <c r="J1672" t="s">
        <v>1761</v>
      </c>
      <c r="K1672" t="s">
        <v>1809</v>
      </c>
      <c r="L1672" t="s">
        <v>1750</v>
      </c>
      <c r="M1672">
        <v>89</v>
      </c>
      <c r="N1672" t="b">
        <v>0</v>
      </c>
      <c r="O1672">
        <v>50</v>
      </c>
      <c r="P1672" t="s">
        <v>1752</v>
      </c>
      <c r="Q1672" t="s">
        <v>1753</v>
      </c>
      <c r="R1672" t="s">
        <v>1828</v>
      </c>
    </row>
    <row r="1673" spans="1:18" x14ac:dyDescent="0.25">
      <c r="A1673" t="s">
        <v>4294</v>
      </c>
      <c r="B1673" t="s">
        <v>2589</v>
      </c>
      <c r="C1673" t="s">
        <v>4</v>
      </c>
      <c r="D1673" t="s">
        <v>4293</v>
      </c>
      <c r="E1673" s="2">
        <v>42489</v>
      </c>
      <c r="F1673">
        <v>3122</v>
      </c>
      <c r="G1673" t="s">
        <v>1746</v>
      </c>
      <c r="H1673" t="s">
        <v>1747</v>
      </c>
      <c r="I1673" t="b">
        <v>1</v>
      </c>
      <c r="J1673" t="s">
        <v>1748</v>
      </c>
      <c r="K1673" t="s">
        <v>1853</v>
      </c>
      <c r="L1673" t="s">
        <v>1750</v>
      </c>
      <c r="M1673">
        <v>89</v>
      </c>
      <c r="N1673" t="b">
        <v>0</v>
      </c>
      <c r="O1673">
        <v>101</v>
      </c>
      <c r="P1673" t="s">
        <v>1752</v>
      </c>
      <c r="Q1673" t="s">
        <v>1753</v>
      </c>
      <c r="R1673" t="s">
        <v>1759</v>
      </c>
    </row>
    <row r="1674" spans="1:18" x14ac:dyDescent="0.25">
      <c r="A1674" t="s">
        <v>4296</v>
      </c>
      <c r="B1674" t="s">
        <v>2177</v>
      </c>
      <c r="C1674" t="s">
        <v>6</v>
      </c>
      <c r="D1674" t="s">
        <v>4295</v>
      </c>
      <c r="E1674" s="2">
        <v>41974</v>
      </c>
      <c r="F1674">
        <v>3637</v>
      </c>
      <c r="G1674" t="s">
        <v>1746</v>
      </c>
      <c r="H1674" t="s">
        <v>1805</v>
      </c>
      <c r="I1674" t="b">
        <v>0</v>
      </c>
      <c r="J1674" t="s">
        <v>1761</v>
      </c>
      <c r="K1674" t="s">
        <v>1809</v>
      </c>
      <c r="L1674" t="s">
        <v>1817</v>
      </c>
      <c r="M1674">
        <v>89</v>
      </c>
      <c r="N1674" t="b">
        <v>0</v>
      </c>
      <c r="O1674">
        <v>217</v>
      </c>
      <c r="P1674" t="s">
        <v>1819</v>
      </c>
      <c r="Q1674" t="s">
        <v>1753</v>
      </c>
    </row>
    <row r="1675" spans="1:18" x14ac:dyDescent="0.25">
      <c r="A1675" t="s">
        <v>1686</v>
      </c>
      <c r="B1675" t="s">
        <v>2060</v>
      </c>
      <c r="C1675" t="s">
        <v>6</v>
      </c>
      <c r="D1675" t="s">
        <v>1687</v>
      </c>
      <c r="E1675" s="2">
        <v>39462</v>
      </c>
      <c r="F1675">
        <v>6149</v>
      </c>
      <c r="G1675" t="s">
        <v>1746</v>
      </c>
      <c r="H1675" t="s">
        <v>1747</v>
      </c>
      <c r="I1675" t="b">
        <v>0</v>
      </c>
      <c r="J1675" t="s">
        <v>1748</v>
      </c>
      <c r="K1675" t="s">
        <v>1941</v>
      </c>
      <c r="L1675" t="s">
        <v>1766</v>
      </c>
      <c r="M1675">
        <v>89</v>
      </c>
      <c r="N1675" t="b">
        <v>0</v>
      </c>
      <c r="P1675" t="s">
        <v>1752</v>
      </c>
      <c r="Q1675" t="s">
        <v>1753</v>
      </c>
      <c r="R1675" t="s">
        <v>1772</v>
      </c>
    </row>
    <row r="1676" spans="1:18" x14ac:dyDescent="0.25">
      <c r="A1676" t="s">
        <v>4297</v>
      </c>
      <c r="B1676" t="s">
        <v>2997</v>
      </c>
      <c r="C1676" t="s">
        <v>11</v>
      </c>
      <c r="D1676" t="s">
        <v>83</v>
      </c>
      <c r="E1676" s="2">
        <v>42669</v>
      </c>
      <c r="F1676">
        <v>2942</v>
      </c>
      <c r="G1676" t="s">
        <v>1746</v>
      </c>
      <c r="H1676" t="s">
        <v>1747</v>
      </c>
      <c r="I1676" t="b">
        <v>0</v>
      </c>
      <c r="J1676" t="s">
        <v>1748</v>
      </c>
      <c r="K1676" t="s">
        <v>1880</v>
      </c>
      <c r="L1676" t="s">
        <v>1750</v>
      </c>
      <c r="M1676">
        <v>89</v>
      </c>
      <c r="N1676" t="b">
        <v>1</v>
      </c>
      <c r="O1676">
        <v>268</v>
      </c>
      <c r="P1676" t="s">
        <v>1752</v>
      </c>
      <c r="Q1676" t="s">
        <v>1753</v>
      </c>
      <c r="R1676" t="s">
        <v>1759</v>
      </c>
    </row>
    <row r="1677" spans="1:18" x14ac:dyDescent="0.25">
      <c r="A1677" t="s">
        <v>4298</v>
      </c>
      <c r="B1677" t="s">
        <v>1945</v>
      </c>
      <c r="C1677" t="s">
        <v>11</v>
      </c>
      <c r="D1677" t="s">
        <v>891</v>
      </c>
      <c r="E1677" s="2">
        <v>41389</v>
      </c>
      <c r="F1677">
        <v>4222</v>
      </c>
      <c r="G1677" t="s">
        <v>1746</v>
      </c>
      <c r="H1677" t="s">
        <v>1798</v>
      </c>
      <c r="I1677" t="b">
        <v>0</v>
      </c>
      <c r="J1677" t="s">
        <v>1761</v>
      </c>
      <c r="K1677" t="s">
        <v>1856</v>
      </c>
      <c r="L1677" t="s">
        <v>1750</v>
      </c>
      <c r="M1677">
        <v>88</v>
      </c>
      <c r="N1677" t="b">
        <v>0</v>
      </c>
      <c r="O1677">
        <v>1874</v>
      </c>
      <c r="P1677" t="s">
        <v>1752</v>
      </c>
      <c r="Q1677" t="s">
        <v>1753</v>
      </c>
    </row>
    <row r="1678" spans="1:18" x14ac:dyDescent="0.25">
      <c r="A1678" t="s">
        <v>4299</v>
      </c>
      <c r="B1678" t="s">
        <v>1874</v>
      </c>
      <c r="C1678" t="s">
        <v>4</v>
      </c>
      <c r="D1678" t="s">
        <v>314</v>
      </c>
      <c r="E1678" s="2">
        <v>43378</v>
      </c>
      <c r="F1678">
        <v>2233</v>
      </c>
      <c r="G1678" t="s">
        <v>1746</v>
      </c>
      <c r="H1678" t="s">
        <v>1747</v>
      </c>
      <c r="I1678" t="b">
        <v>1</v>
      </c>
      <c r="J1678" t="s">
        <v>1748</v>
      </c>
      <c r="K1678" t="s">
        <v>1883</v>
      </c>
      <c r="L1678" t="s">
        <v>1750</v>
      </c>
      <c r="M1678">
        <v>88</v>
      </c>
      <c r="N1678" t="b">
        <v>0</v>
      </c>
      <c r="O1678">
        <v>270</v>
      </c>
      <c r="P1678" t="s">
        <v>1752</v>
      </c>
      <c r="Q1678" t="s">
        <v>1753</v>
      </c>
      <c r="R1678" t="s">
        <v>1759</v>
      </c>
    </row>
    <row r="1679" spans="1:18" x14ac:dyDescent="0.25">
      <c r="A1679" t="s">
        <v>4301</v>
      </c>
      <c r="B1679" t="s">
        <v>2173</v>
      </c>
      <c r="C1679" t="s">
        <v>4</v>
      </c>
      <c r="D1679" t="s">
        <v>4300</v>
      </c>
      <c r="E1679" s="2">
        <v>40575</v>
      </c>
      <c r="F1679">
        <v>5036</v>
      </c>
      <c r="G1679" t="s">
        <v>1746</v>
      </c>
      <c r="H1679" t="s">
        <v>1747</v>
      </c>
      <c r="I1679" t="b">
        <v>0</v>
      </c>
      <c r="J1679" t="s">
        <v>1748</v>
      </c>
      <c r="K1679" t="s">
        <v>1809</v>
      </c>
      <c r="L1679" t="s">
        <v>2102</v>
      </c>
      <c r="M1679">
        <v>88</v>
      </c>
      <c r="N1679" t="b">
        <v>0</v>
      </c>
      <c r="P1679" t="s">
        <v>2070</v>
      </c>
      <c r="Q1679" t="s">
        <v>1753</v>
      </c>
    </row>
    <row r="1680" spans="1:18" x14ac:dyDescent="0.25">
      <c r="A1680" t="s">
        <v>4303</v>
      </c>
      <c r="B1680" t="s">
        <v>1876</v>
      </c>
      <c r="C1680" t="s">
        <v>4</v>
      </c>
      <c r="D1680" t="s">
        <v>4302</v>
      </c>
      <c r="E1680" s="2">
        <v>45155</v>
      </c>
      <c r="F1680">
        <v>456</v>
      </c>
      <c r="G1680" t="s">
        <v>1746</v>
      </c>
      <c r="H1680" t="s">
        <v>1747</v>
      </c>
      <c r="I1680" t="b">
        <v>0</v>
      </c>
      <c r="J1680" t="s">
        <v>1761</v>
      </c>
      <c r="K1680" t="s">
        <v>1856</v>
      </c>
      <c r="L1680" t="s">
        <v>1750</v>
      </c>
      <c r="M1680">
        <v>88</v>
      </c>
      <c r="N1680" t="b">
        <v>1</v>
      </c>
      <c r="O1680">
        <v>78</v>
      </c>
      <c r="P1680" t="s">
        <v>1752</v>
      </c>
      <c r="Q1680" t="s">
        <v>1753</v>
      </c>
      <c r="R1680" t="s">
        <v>1759</v>
      </c>
    </row>
    <row r="1681" spans="1:18" x14ac:dyDescent="0.25">
      <c r="A1681" t="s">
        <v>4305</v>
      </c>
      <c r="B1681" t="s">
        <v>2011</v>
      </c>
      <c r="C1681" t="s">
        <v>4</v>
      </c>
      <c r="D1681" t="s">
        <v>4304</v>
      </c>
      <c r="E1681" s="2">
        <v>45210</v>
      </c>
      <c r="F1681">
        <v>401</v>
      </c>
      <c r="G1681" t="s">
        <v>1833</v>
      </c>
      <c r="H1681" t="s">
        <v>1798</v>
      </c>
      <c r="I1681" t="b">
        <v>0</v>
      </c>
      <c r="J1681" t="s">
        <v>1748</v>
      </c>
      <c r="K1681" t="s">
        <v>1853</v>
      </c>
      <c r="L1681" t="s">
        <v>1750</v>
      </c>
      <c r="M1681">
        <v>88</v>
      </c>
      <c r="N1681" t="b">
        <v>1</v>
      </c>
      <c r="O1681">
        <v>369</v>
      </c>
      <c r="P1681" t="s">
        <v>1819</v>
      </c>
      <c r="Q1681" t="s">
        <v>1753</v>
      </c>
      <c r="R1681" t="s">
        <v>1759</v>
      </c>
    </row>
    <row r="1682" spans="1:18" x14ac:dyDescent="0.25">
      <c r="A1682" t="s">
        <v>4306</v>
      </c>
      <c r="B1682" t="s">
        <v>2269</v>
      </c>
      <c r="C1682" t="s">
        <v>4</v>
      </c>
      <c r="D1682" t="s">
        <v>1012</v>
      </c>
      <c r="E1682" s="2">
        <v>43630</v>
      </c>
      <c r="F1682">
        <v>1981</v>
      </c>
      <c r="G1682" t="s">
        <v>1746</v>
      </c>
      <c r="H1682" t="s">
        <v>1798</v>
      </c>
      <c r="I1682" t="b">
        <v>1</v>
      </c>
      <c r="J1682" t="s">
        <v>1748</v>
      </c>
      <c r="K1682" t="s">
        <v>2053</v>
      </c>
      <c r="L1682" t="s">
        <v>1817</v>
      </c>
      <c r="M1682">
        <v>87</v>
      </c>
      <c r="N1682" t="b">
        <v>0</v>
      </c>
      <c r="O1682">
        <v>216</v>
      </c>
      <c r="P1682" t="s">
        <v>1819</v>
      </c>
      <c r="Q1682" t="s">
        <v>1753</v>
      </c>
      <c r="R1682" t="s">
        <v>1772</v>
      </c>
    </row>
    <row r="1683" spans="1:18" x14ac:dyDescent="0.25">
      <c r="A1683" t="s">
        <v>4307</v>
      </c>
      <c r="B1683" t="s">
        <v>1876</v>
      </c>
      <c r="C1683" t="s">
        <v>4</v>
      </c>
      <c r="D1683" t="s">
        <v>201</v>
      </c>
      <c r="E1683" s="2">
        <v>43717</v>
      </c>
      <c r="F1683">
        <v>1894</v>
      </c>
      <c r="G1683" t="s">
        <v>1746</v>
      </c>
      <c r="H1683" t="s">
        <v>1747</v>
      </c>
      <c r="I1683" t="b">
        <v>0</v>
      </c>
      <c r="J1683" t="s">
        <v>1761</v>
      </c>
      <c r="K1683" t="s">
        <v>1868</v>
      </c>
      <c r="L1683" t="s">
        <v>1750</v>
      </c>
      <c r="M1683">
        <v>87</v>
      </c>
      <c r="N1683" t="b">
        <v>0</v>
      </c>
      <c r="O1683">
        <v>145</v>
      </c>
      <c r="P1683" t="s">
        <v>1752</v>
      </c>
      <c r="Q1683" t="s">
        <v>1753</v>
      </c>
      <c r="R1683" t="s">
        <v>1772</v>
      </c>
    </row>
    <row r="1684" spans="1:18" x14ac:dyDescent="0.25">
      <c r="A1684" t="s">
        <v>401</v>
      </c>
      <c r="B1684" t="s">
        <v>2353</v>
      </c>
      <c r="C1684" t="s">
        <v>4</v>
      </c>
      <c r="D1684" t="s">
        <v>402</v>
      </c>
      <c r="E1684" s="2">
        <v>44091</v>
      </c>
      <c r="F1684">
        <v>1520</v>
      </c>
      <c r="G1684" t="s">
        <v>1746</v>
      </c>
      <c r="H1684" t="s">
        <v>1798</v>
      </c>
      <c r="I1684" t="b">
        <v>0</v>
      </c>
      <c r="J1684" t="s">
        <v>1748</v>
      </c>
      <c r="K1684" t="s">
        <v>1917</v>
      </c>
      <c r="L1684" t="s">
        <v>1817</v>
      </c>
      <c r="M1684">
        <v>87</v>
      </c>
      <c r="N1684" t="b">
        <v>0</v>
      </c>
      <c r="O1684">
        <v>151</v>
      </c>
      <c r="P1684" t="s">
        <v>1819</v>
      </c>
      <c r="Q1684" t="s">
        <v>1753</v>
      </c>
      <c r="R1684" t="s">
        <v>1759</v>
      </c>
    </row>
    <row r="1685" spans="1:18" x14ac:dyDescent="0.25">
      <c r="A1685" t="s">
        <v>4309</v>
      </c>
      <c r="B1685" t="s">
        <v>2503</v>
      </c>
      <c r="C1685" t="s">
        <v>4</v>
      </c>
      <c r="D1685" t="s">
        <v>4308</v>
      </c>
      <c r="E1685" s="2">
        <v>44538</v>
      </c>
      <c r="F1685">
        <v>1073</v>
      </c>
      <c r="G1685" t="s">
        <v>1746</v>
      </c>
      <c r="H1685" t="s">
        <v>1747</v>
      </c>
      <c r="I1685" t="b">
        <v>0</v>
      </c>
      <c r="J1685" t="s">
        <v>1748</v>
      </c>
      <c r="K1685" t="s">
        <v>1755</v>
      </c>
      <c r="L1685" t="s">
        <v>1756</v>
      </c>
      <c r="M1685">
        <v>86</v>
      </c>
      <c r="N1685" t="b">
        <v>1</v>
      </c>
      <c r="O1685">
        <v>97</v>
      </c>
      <c r="P1685" t="s">
        <v>1752</v>
      </c>
      <c r="Q1685" t="s">
        <v>1753</v>
      </c>
      <c r="R1685" t="s">
        <v>2028</v>
      </c>
    </row>
    <row r="1686" spans="1:18" x14ac:dyDescent="0.25">
      <c r="A1686" t="s">
        <v>4311</v>
      </c>
      <c r="B1686" t="s">
        <v>2857</v>
      </c>
      <c r="C1686" t="s">
        <v>6</v>
      </c>
      <c r="D1686" t="s">
        <v>4310</v>
      </c>
      <c r="E1686" s="2">
        <v>42488</v>
      </c>
      <c r="F1686">
        <v>3123</v>
      </c>
      <c r="G1686" t="s">
        <v>1746</v>
      </c>
      <c r="H1686" t="s">
        <v>2231</v>
      </c>
      <c r="I1686" t="b">
        <v>0</v>
      </c>
      <c r="J1686" t="s">
        <v>1761</v>
      </c>
      <c r="K1686" t="s">
        <v>1749</v>
      </c>
      <c r="L1686" t="s">
        <v>1766</v>
      </c>
      <c r="M1686">
        <v>86</v>
      </c>
      <c r="N1686" t="b">
        <v>0</v>
      </c>
      <c r="P1686" t="s">
        <v>1752</v>
      </c>
      <c r="Q1686" t="s">
        <v>1753</v>
      </c>
    </row>
    <row r="1687" spans="1:18" x14ac:dyDescent="0.25">
      <c r="A1687" t="s">
        <v>4313</v>
      </c>
      <c r="B1687" t="s">
        <v>2173</v>
      </c>
      <c r="C1687" t="s">
        <v>6</v>
      </c>
      <c r="D1687" t="s">
        <v>4312</v>
      </c>
      <c r="E1687" s="2">
        <v>44841</v>
      </c>
      <c r="F1687">
        <v>770</v>
      </c>
      <c r="G1687" t="s">
        <v>1746</v>
      </c>
      <c r="H1687" t="s">
        <v>2231</v>
      </c>
      <c r="I1687" t="b">
        <v>0</v>
      </c>
      <c r="J1687" t="s">
        <v>1748</v>
      </c>
      <c r="K1687" t="s">
        <v>1755</v>
      </c>
      <c r="L1687" t="s">
        <v>1817</v>
      </c>
      <c r="M1687">
        <v>86</v>
      </c>
      <c r="N1687" t="b">
        <v>1</v>
      </c>
      <c r="O1687">
        <v>300</v>
      </c>
      <c r="P1687" t="s">
        <v>1819</v>
      </c>
      <c r="Q1687" t="s">
        <v>1753</v>
      </c>
    </row>
    <row r="1688" spans="1:18" x14ac:dyDescent="0.25">
      <c r="A1688" t="s">
        <v>4315</v>
      </c>
      <c r="B1688" t="s">
        <v>2611</v>
      </c>
      <c r="C1688" t="s">
        <v>4</v>
      </c>
      <c r="D1688" t="s">
        <v>4314</v>
      </c>
      <c r="E1688" s="2">
        <v>45231</v>
      </c>
      <c r="F1688">
        <v>380</v>
      </c>
      <c r="G1688" t="s">
        <v>1746</v>
      </c>
      <c r="H1688" t="s">
        <v>1747</v>
      </c>
      <c r="I1688" t="b">
        <v>0</v>
      </c>
      <c r="J1688" t="s">
        <v>1748</v>
      </c>
      <c r="K1688" t="s">
        <v>1776</v>
      </c>
      <c r="L1688" t="s">
        <v>1750</v>
      </c>
      <c r="M1688">
        <v>86</v>
      </c>
      <c r="N1688" t="b">
        <v>1</v>
      </c>
      <c r="O1688">
        <v>1288</v>
      </c>
      <c r="P1688" t="s">
        <v>1752</v>
      </c>
      <c r="Q1688" t="s">
        <v>1753</v>
      </c>
      <c r="R1688" t="s">
        <v>1772</v>
      </c>
    </row>
    <row r="1689" spans="1:18" x14ac:dyDescent="0.25">
      <c r="A1689" t="s">
        <v>1044</v>
      </c>
      <c r="B1689" t="s">
        <v>1814</v>
      </c>
      <c r="C1689" t="s">
        <v>4</v>
      </c>
      <c r="D1689" t="s">
        <v>1045</v>
      </c>
      <c r="E1689" s="2">
        <v>41978</v>
      </c>
      <c r="F1689">
        <v>3633</v>
      </c>
      <c r="G1689" t="s">
        <v>1746</v>
      </c>
      <c r="H1689" t="s">
        <v>1798</v>
      </c>
      <c r="I1689" t="b">
        <v>1</v>
      </c>
      <c r="J1689" t="s">
        <v>1748</v>
      </c>
      <c r="K1689" t="s">
        <v>1770</v>
      </c>
      <c r="L1689" t="s">
        <v>1750</v>
      </c>
      <c r="M1689">
        <v>86</v>
      </c>
      <c r="N1689" t="b">
        <v>0</v>
      </c>
      <c r="O1689">
        <v>17</v>
      </c>
      <c r="P1689" t="s">
        <v>1752</v>
      </c>
      <c r="Q1689" t="s">
        <v>1753</v>
      </c>
      <c r="R1689" t="s">
        <v>1828</v>
      </c>
    </row>
    <row r="1690" spans="1:18" x14ac:dyDescent="0.25">
      <c r="A1690" t="s">
        <v>4316</v>
      </c>
      <c r="B1690" t="s">
        <v>1847</v>
      </c>
      <c r="C1690" t="s">
        <v>6</v>
      </c>
      <c r="D1690" t="s">
        <v>825</v>
      </c>
      <c r="E1690" s="2">
        <v>40263</v>
      </c>
      <c r="F1690">
        <v>5348</v>
      </c>
      <c r="G1690" t="s">
        <v>1746</v>
      </c>
      <c r="H1690" t="s">
        <v>1798</v>
      </c>
      <c r="I1690" t="b">
        <v>0</v>
      </c>
      <c r="J1690" t="s">
        <v>1761</v>
      </c>
      <c r="K1690" t="s">
        <v>2021</v>
      </c>
      <c r="L1690" t="s">
        <v>1766</v>
      </c>
      <c r="M1690">
        <v>86</v>
      </c>
      <c r="N1690" t="b">
        <v>0</v>
      </c>
      <c r="P1690" t="s">
        <v>1752</v>
      </c>
      <c r="Q1690" t="s">
        <v>1753</v>
      </c>
    </row>
    <row r="1691" spans="1:18" x14ac:dyDescent="0.25">
      <c r="A1691" t="s">
        <v>4317</v>
      </c>
      <c r="B1691" t="s">
        <v>1810</v>
      </c>
      <c r="C1691" t="s">
        <v>4</v>
      </c>
      <c r="D1691" t="s">
        <v>1696</v>
      </c>
      <c r="E1691" s="2">
        <v>43165</v>
      </c>
      <c r="F1691">
        <v>2446</v>
      </c>
      <c r="G1691" t="s">
        <v>1746</v>
      </c>
      <c r="H1691" t="s">
        <v>1747</v>
      </c>
      <c r="I1691" t="b">
        <v>0</v>
      </c>
      <c r="J1691" t="s">
        <v>1761</v>
      </c>
      <c r="K1691" t="s">
        <v>1826</v>
      </c>
      <c r="L1691" t="s">
        <v>1817</v>
      </c>
      <c r="M1691">
        <v>86</v>
      </c>
      <c r="N1691" t="b">
        <v>1</v>
      </c>
      <c r="O1691">
        <v>1243</v>
      </c>
      <c r="P1691" t="s">
        <v>1819</v>
      </c>
      <c r="Q1691" t="s">
        <v>1753</v>
      </c>
      <c r="R1691" t="s">
        <v>1759</v>
      </c>
    </row>
    <row r="1692" spans="1:18" x14ac:dyDescent="0.25">
      <c r="A1692" t="s">
        <v>4318</v>
      </c>
      <c r="B1692" t="s">
        <v>1810</v>
      </c>
      <c r="C1692" t="s">
        <v>4</v>
      </c>
      <c r="D1692" t="s">
        <v>260</v>
      </c>
      <c r="E1692" s="2">
        <v>42984</v>
      </c>
      <c r="F1692">
        <v>2627</v>
      </c>
      <c r="G1692" t="s">
        <v>1746</v>
      </c>
      <c r="H1692" t="s">
        <v>1747</v>
      </c>
      <c r="I1692" t="b">
        <v>0</v>
      </c>
      <c r="J1692" t="s">
        <v>1761</v>
      </c>
      <c r="K1692" t="s">
        <v>1853</v>
      </c>
      <c r="L1692" t="s">
        <v>1750</v>
      </c>
      <c r="M1692">
        <v>86</v>
      </c>
      <c r="N1692" t="b">
        <v>0</v>
      </c>
      <c r="O1692">
        <v>100</v>
      </c>
      <c r="P1692" t="s">
        <v>1752</v>
      </c>
      <c r="Q1692" t="s">
        <v>1753</v>
      </c>
      <c r="R1692" t="s">
        <v>1759</v>
      </c>
    </row>
    <row r="1693" spans="1:18" x14ac:dyDescent="0.25">
      <c r="A1693" t="s">
        <v>4320</v>
      </c>
      <c r="B1693" t="s">
        <v>2144</v>
      </c>
      <c r="C1693" t="s">
        <v>4</v>
      </c>
      <c r="D1693" t="s">
        <v>4319</v>
      </c>
      <c r="E1693" s="2">
        <v>43389</v>
      </c>
      <c r="F1693">
        <v>2222</v>
      </c>
      <c r="G1693" t="s">
        <v>1746</v>
      </c>
      <c r="H1693" t="s">
        <v>1747</v>
      </c>
      <c r="I1693" t="b">
        <v>1</v>
      </c>
      <c r="J1693" t="s">
        <v>1748</v>
      </c>
      <c r="K1693" t="s">
        <v>1776</v>
      </c>
      <c r="L1693" t="s">
        <v>1756</v>
      </c>
      <c r="M1693">
        <v>85</v>
      </c>
      <c r="N1693" t="b">
        <v>0</v>
      </c>
      <c r="O1693">
        <v>1959</v>
      </c>
      <c r="P1693" t="s">
        <v>1752</v>
      </c>
      <c r="Q1693" t="s">
        <v>1753</v>
      </c>
    </row>
    <row r="1694" spans="1:18" x14ac:dyDescent="0.25">
      <c r="A1694" t="s">
        <v>4322</v>
      </c>
      <c r="B1694" t="s">
        <v>1902</v>
      </c>
      <c r="C1694" t="s">
        <v>4</v>
      </c>
      <c r="D1694" t="s">
        <v>4321</v>
      </c>
      <c r="E1694" s="2">
        <v>42489</v>
      </c>
      <c r="F1694">
        <v>3122</v>
      </c>
      <c r="G1694" t="s">
        <v>1746</v>
      </c>
      <c r="H1694" t="s">
        <v>1798</v>
      </c>
      <c r="I1694" t="b">
        <v>0</v>
      </c>
      <c r="J1694" t="s">
        <v>1748</v>
      </c>
      <c r="K1694" t="s">
        <v>1776</v>
      </c>
      <c r="L1694" t="s">
        <v>1750</v>
      </c>
      <c r="M1694">
        <v>85</v>
      </c>
      <c r="N1694" t="b">
        <v>1</v>
      </c>
      <c r="O1694">
        <v>57</v>
      </c>
      <c r="P1694" t="s">
        <v>1752</v>
      </c>
      <c r="Q1694" t="s">
        <v>1753</v>
      </c>
    </row>
    <row r="1695" spans="1:18" x14ac:dyDescent="0.25">
      <c r="A1695" t="s">
        <v>4324</v>
      </c>
      <c r="B1695" t="s">
        <v>1704</v>
      </c>
      <c r="C1695" t="s">
        <v>6</v>
      </c>
      <c r="D1695" t="s">
        <v>4323</v>
      </c>
      <c r="E1695" s="2">
        <v>45267</v>
      </c>
      <c r="F1695">
        <v>344</v>
      </c>
      <c r="G1695" t="s">
        <v>1746</v>
      </c>
      <c r="H1695" t="s">
        <v>1798</v>
      </c>
      <c r="I1695" t="b">
        <v>1</v>
      </c>
      <c r="J1695" t="s">
        <v>1761</v>
      </c>
      <c r="K1695" t="s">
        <v>1824</v>
      </c>
      <c r="L1695" t="s">
        <v>1750</v>
      </c>
      <c r="M1695">
        <v>85</v>
      </c>
      <c r="N1695" t="b">
        <v>0</v>
      </c>
      <c r="O1695">
        <v>99</v>
      </c>
      <c r="P1695" t="s">
        <v>1752</v>
      </c>
      <c r="Q1695" t="s">
        <v>1753</v>
      </c>
    </row>
    <row r="1696" spans="1:18" x14ac:dyDescent="0.25">
      <c r="A1696" t="s">
        <v>4325</v>
      </c>
      <c r="B1696" t="s">
        <v>2353</v>
      </c>
      <c r="C1696" t="s">
        <v>4</v>
      </c>
      <c r="D1696" t="s">
        <v>1670</v>
      </c>
      <c r="E1696" s="2">
        <v>45063</v>
      </c>
      <c r="F1696">
        <v>548</v>
      </c>
      <c r="G1696" t="s">
        <v>1746</v>
      </c>
      <c r="H1696" t="s">
        <v>1798</v>
      </c>
      <c r="I1696" t="b">
        <v>0</v>
      </c>
      <c r="J1696" t="s">
        <v>1748</v>
      </c>
      <c r="K1696" t="s">
        <v>1793</v>
      </c>
      <c r="L1696" t="s">
        <v>1750</v>
      </c>
      <c r="M1696">
        <v>85</v>
      </c>
      <c r="N1696" t="b">
        <v>1</v>
      </c>
      <c r="O1696">
        <v>285</v>
      </c>
      <c r="P1696" t="s">
        <v>1752</v>
      </c>
      <c r="Q1696" t="s">
        <v>1753</v>
      </c>
    </row>
    <row r="1697" spans="1:18" x14ac:dyDescent="0.25">
      <c r="A1697" t="s">
        <v>4327</v>
      </c>
      <c r="B1697" t="s">
        <v>1840</v>
      </c>
      <c r="C1697" t="s">
        <v>4</v>
      </c>
      <c r="D1697" t="s">
        <v>4326</v>
      </c>
      <c r="E1697" s="2">
        <v>40970</v>
      </c>
      <c r="F1697">
        <v>4641</v>
      </c>
      <c r="G1697" t="s">
        <v>1746</v>
      </c>
      <c r="H1697" t="s">
        <v>1747</v>
      </c>
      <c r="I1697" t="b">
        <v>0</v>
      </c>
      <c r="J1697" t="s">
        <v>1761</v>
      </c>
      <c r="K1697" t="s">
        <v>1868</v>
      </c>
      <c r="L1697" t="s">
        <v>1817</v>
      </c>
      <c r="M1697">
        <v>84</v>
      </c>
      <c r="N1697" t="b">
        <v>0</v>
      </c>
      <c r="O1697">
        <v>107</v>
      </c>
      <c r="P1697" t="s">
        <v>1819</v>
      </c>
      <c r="Q1697" t="s">
        <v>1753</v>
      </c>
      <c r="R1697" t="s">
        <v>2028</v>
      </c>
    </row>
    <row r="1698" spans="1:18" x14ac:dyDescent="0.25">
      <c r="A1698" t="s">
        <v>4328</v>
      </c>
      <c r="B1698" t="s">
        <v>1754</v>
      </c>
      <c r="C1698" t="s">
        <v>6</v>
      </c>
      <c r="D1698" t="s">
        <v>1188</v>
      </c>
      <c r="E1698" s="2">
        <v>41789</v>
      </c>
      <c r="F1698">
        <v>3822</v>
      </c>
      <c r="G1698" t="s">
        <v>1746</v>
      </c>
      <c r="H1698" t="s">
        <v>1747</v>
      </c>
      <c r="I1698" t="b">
        <v>0</v>
      </c>
      <c r="J1698" t="s">
        <v>1761</v>
      </c>
      <c r="K1698" t="s">
        <v>1986</v>
      </c>
      <c r="L1698" t="s">
        <v>1817</v>
      </c>
      <c r="M1698">
        <v>84</v>
      </c>
      <c r="N1698" t="b">
        <v>0</v>
      </c>
      <c r="O1698">
        <v>605</v>
      </c>
      <c r="P1698" t="s">
        <v>1819</v>
      </c>
      <c r="Q1698" t="s">
        <v>1753</v>
      </c>
    </row>
    <row r="1699" spans="1:18" x14ac:dyDescent="0.25">
      <c r="A1699" t="s">
        <v>4329</v>
      </c>
      <c r="B1699" t="s">
        <v>2106</v>
      </c>
      <c r="C1699" t="s">
        <v>6</v>
      </c>
      <c r="D1699" t="s">
        <v>943</v>
      </c>
      <c r="E1699" s="2">
        <v>38947</v>
      </c>
      <c r="F1699">
        <v>6664</v>
      </c>
      <c r="G1699" t="s">
        <v>1746</v>
      </c>
      <c r="H1699" t="s">
        <v>1798</v>
      </c>
      <c r="I1699" t="b">
        <v>0</v>
      </c>
      <c r="J1699" t="s">
        <v>1748</v>
      </c>
      <c r="K1699" t="s">
        <v>1853</v>
      </c>
      <c r="L1699" t="s">
        <v>1766</v>
      </c>
      <c r="M1699">
        <v>84</v>
      </c>
      <c r="N1699" t="b">
        <v>0</v>
      </c>
      <c r="P1699" t="s">
        <v>1752</v>
      </c>
      <c r="Q1699" t="s">
        <v>1753</v>
      </c>
      <c r="R1699" t="s">
        <v>1828</v>
      </c>
    </row>
    <row r="1700" spans="1:18" x14ac:dyDescent="0.25">
      <c r="A1700" t="s">
        <v>4331</v>
      </c>
      <c r="B1700" t="s">
        <v>1803</v>
      </c>
      <c r="C1700" t="s">
        <v>572</v>
      </c>
      <c r="D1700" t="s">
        <v>4330</v>
      </c>
      <c r="E1700" s="2">
        <v>37445</v>
      </c>
      <c r="F1700">
        <v>8166</v>
      </c>
      <c r="G1700" t="s">
        <v>1746</v>
      </c>
      <c r="H1700" t="s">
        <v>1798</v>
      </c>
      <c r="I1700" t="b">
        <v>0</v>
      </c>
      <c r="J1700" t="s">
        <v>1761</v>
      </c>
      <c r="K1700" t="s">
        <v>1912</v>
      </c>
      <c r="L1700" t="s">
        <v>1750</v>
      </c>
      <c r="M1700">
        <v>84</v>
      </c>
      <c r="N1700" t="b">
        <v>0</v>
      </c>
      <c r="O1700">
        <v>22</v>
      </c>
      <c r="P1700" t="s">
        <v>1752</v>
      </c>
      <c r="Q1700" t="s">
        <v>1753</v>
      </c>
      <c r="R1700" t="s">
        <v>1828</v>
      </c>
    </row>
    <row r="1701" spans="1:18" x14ac:dyDescent="0.25">
      <c r="A1701" t="s">
        <v>4332</v>
      </c>
      <c r="B1701" t="s">
        <v>1936</v>
      </c>
      <c r="C1701" t="s">
        <v>6</v>
      </c>
      <c r="D1701" t="s">
        <v>854</v>
      </c>
      <c r="E1701" s="2">
        <v>42556</v>
      </c>
      <c r="F1701">
        <v>3055</v>
      </c>
      <c r="G1701" t="s">
        <v>1746</v>
      </c>
      <c r="H1701" t="s">
        <v>1747</v>
      </c>
      <c r="I1701" t="b">
        <v>0</v>
      </c>
      <c r="J1701" t="s">
        <v>1761</v>
      </c>
      <c r="K1701" t="s">
        <v>1776</v>
      </c>
      <c r="L1701" t="s">
        <v>1817</v>
      </c>
      <c r="M1701">
        <v>83</v>
      </c>
      <c r="N1701" t="b">
        <v>1</v>
      </c>
      <c r="O1701">
        <v>843</v>
      </c>
      <c r="P1701" t="s">
        <v>1819</v>
      </c>
      <c r="Q1701" t="s">
        <v>1753</v>
      </c>
      <c r="R1701" t="s">
        <v>1759</v>
      </c>
    </row>
    <row r="1702" spans="1:18" x14ac:dyDescent="0.25">
      <c r="A1702" t="s">
        <v>4333</v>
      </c>
      <c r="B1702" t="s">
        <v>1881</v>
      </c>
      <c r="C1702" t="s">
        <v>4</v>
      </c>
      <c r="D1702" t="s">
        <v>1208</v>
      </c>
      <c r="E1702" s="2">
        <v>42348</v>
      </c>
      <c r="F1702">
        <v>3263</v>
      </c>
      <c r="G1702" t="s">
        <v>1746</v>
      </c>
      <c r="H1702" t="s">
        <v>1798</v>
      </c>
      <c r="I1702" t="b">
        <v>0</v>
      </c>
      <c r="J1702" t="s">
        <v>1748</v>
      </c>
      <c r="K1702" t="s">
        <v>1846</v>
      </c>
      <c r="L1702" t="s">
        <v>1750</v>
      </c>
      <c r="M1702">
        <v>83</v>
      </c>
      <c r="N1702" t="b">
        <v>1</v>
      </c>
      <c r="O1702">
        <v>98</v>
      </c>
      <c r="P1702" t="s">
        <v>1752</v>
      </c>
      <c r="Q1702" t="s">
        <v>1753</v>
      </c>
    </row>
    <row r="1703" spans="1:18" x14ac:dyDescent="0.25">
      <c r="A1703" t="s">
        <v>4335</v>
      </c>
      <c r="B1703" t="s">
        <v>2177</v>
      </c>
      <c r="C1703" t="s">
        <v>4</v>
      </c>
      <c r="D1703" t="s">
        <v>4334</v>
      </c>
      <c r="E1703" s="2">
        <v>42124</v>
      </c>
      <c r="F1703">
        <v>3487</v>
      </c>
      <c r="G1703" t="s">
        <v>1746</v>
      </c>
      <c r="H1703" t="s">
        <v>1747</v>
      </c>
      <c r="I1703" t="b">
        <v>0</v>
      </c>
      <c r="J1703" t="s">
        <v>1748</v>
      </c>
      <c r="K1703" t="s">
        <v>1913</v>
      </c>
      <c r="L1703" t="s">
        <v>1817</v>
      </c>
      <c r="M1703">
        <v>83</v>
      </c>
      <c r="N1703" t="b">
        <v>0</v>
      </c>
      <c r="O1703">
        <v>762</v>
      </c>
      <c r="P1703" t="s">
        <v>1819</v>
      </c>
      <c r="Q1703" t="s">
        <v>1753</v>
      </c>
      <c r="R1703" t="s">
        <v>1759</v>
      </c>
    </row>
    <row r="1704" spans="1:18" x14ac:dyDescent="0.25">
      <c r="A1704" t="s">
        <v>4337</v>
      </c>
      <c r="B1704" t="s">
        <v>2150</v>
      </c>
      <c r="C1704" t="s">
        <v>4</v>
      </c>
      <c r="D1704" t="s">
        <v>4336</v>
      </c>
      <c r="E1704" s="2">
        <v>45441</v>
      </c>
      <c r="F1704">
        <v>170</v>
      </c>
      <c r="G1704" t="s">
        <v>1746</v>
      </c>
      <c r="H1704" t="s">
        <v>1747</v>
      </c>
      <c r="I1704" t="b">
        <v>0</v>
      </c>
      <c r="J1704" t="s">
        <v>1748</v>
      </c>
      <c r="K1704" t="s">
        <v>1774</v>
      </c>
      <c r="L1704" t="s">
        <v>1817</v>
      </c>
      <c r="M1704">
        <v>83</v>
      </c>
      <c r="N1704" t="b">
        <v>1</v>
      </c>
      <c r="O1704">
        <v>328</v>
      </c>
      <c r="P1704" t="s">
        <v>1819</v>
      </c>
      <c r="Q1704" t="s">
        <v>1753</v>
      </c>
      <c r="R1704" t="s">
        <v>1759</v>
      </c>
    </row>
    <row r="1705" spans="1:18" x14ac:dyDescent="0.25">
      <c r="A1705" t="s">
        <v>4339</v>
      </c>
      <c r="B1705" t="s">
        <v>2483</v>
      </c>
      <c r="C1705" t="s">
        <v>4</v>
      </c>
      <c r="D1705" t="s">
        <v>4338</v>
      </c>
      <c r="E1705" s="2">
        <v>45391</v>
      </c>
      <c r="F1705">
        <v>220</v>
      </c>
      <c r="G1705" t="s">
        <v>1746</v>
      </c>
      <c r="H1705" t="s">
        <v>1747</v>
      </c>
      <c r="I1705" t="b">
        <v>0</v>
      </c>
      <c r="J1705" t="s">
        <v>1748</v>
      </c>
      <c r="K1705" t="s">
        <v>2042</v>
      </c>
      <c r="L1705" t="s">
        <v>1750</v>
      </c>
      <c r="M1705">
        <v>83</v>
      </c>
      <c r="N1705" t="b">
        <v>0</v>
      </c>
      <c r="P1705" t="s">
        <v>1752</v>
      </c>
      <c r="Q1705" t="s">
        <v>1753</v>
      </c>
    </row>
    <row r="1706" spans="1:18" x14ac:dyDescent="0.25">
      <c r="A1706" t="s">
        <v>4340</v>
      </c>
      <c r="B1706" t="s">
        <v>2353</v>
      </c>
      <c r="C1706" t="s">
        <v>6</v>
      </c>
      <c r="D1706" t="s">
        <v>1180</v>
      </c>
      <c r="E1706" s="2">
        <v>44651</v>
      </c>
      <c r="F1706">
        <v>960</v>
      </c>
      <c r="G1706" t="s">
        <v>1746</v>
      </c>
      <c r="H1706" t="s">
        <v>1798</v>
      </c>
      <c r="I1706" t="b">
        <v>0</v>
      </c>
      <c r="J1706" t="s">
        <v>1748</v>
      </c>
      <c r="K1706" t="s">
        <v>1776</v>
      </c>
      <c r="L1706" t="s">
        <v>1817</v>
      </c>
      <c r="M1706">
        <v>82</v>
      </c>
      <c r="N1706" t="b">
        <v>1</v>
      </c>
      <c r="O1706">
        <v>177</v>
      </c>
      <c r="P1706" t="s">
        <v>1819</v>
      </c>
      <c r="Q1706" t="s">
        <v>1753</v>
      </c>
    </row>
    <row r="1707" spans="1:18" x14ac:dyDescent="0.25">
      <c r="A1707" t="s">
        <v>4341</v>
      </c>
      <c r="B1707" t="s">
        <v>2384</v>
      </c>
      <c r="C1707" t="s">
        <v>4</v>
      </c>
      <c r="D1707" t="s">
        <v>1276</v>
      </c>
      <c r="E1707" s="2">
        <v>44789</v>
      </c>
      <c r="F1707">
        <v>822</v>
      </c>
      <c r="G1707" t="s">
        <v>1746</v>
      </c>
      <c r="H1707" t="s">
        <v>1798</v>
      </c>
      <c r="I1707" t="b">
        <v>0</v>
      </c>
      <c r="J1707" t="s">
        <v>1748</v>
      </c>
      <c r="K1707" t="s">
        <v>1774</v>
      </c>
      <c r="L1707" t="s">
        <v>1750</v>
      </c>
      <c r="M1707">
        <v>82</v>
      </c>
      <c r="N1707" t="b">
        <v>1</v>
      </c>
      <c r="O1707">
        <v>1035</v>
      </c>
      <c r="P1707" t="s">
        <v>1752</v>
      </c>
      <c r="Q1707" t="s">
        <v>1753</v>
      </c>
      <c r="R1707" t="s">
        <v>1828</v>
      </c>
    </row>
    <row r="1708" spans="1:18" x14ac:dyDescent="0.25">
      <c r="A1708" t="s">
        <v>4342</v>
      </c>
      <c r="B1708" t="s">
        <v>2353</v>
      </c>
      <c r="C1708" t="s">
        <v>6</v>
      </c>
      <c r="D1708" t="s">
        <v>1132</v>
      </c>
      <c r="E1708" s="2">
        <v>44253</v>
      </c>
      <c r="F1708">
        <v>1358</v>
      </c>
      <c r="G1708" t="s">
        <v>1746</v>
      </c>
      <c r="H1708" t="s">
        <v>1798</v>
      </c>
      <c r="I1708" t="b">
        <v>0</v>
      </c>
      <c r="J1708" t="s">
        <v>1748</v>
      </c>
      <c r="K1708" t="s">
        <v>1943</v>
      </c>
      <c r="L1708" t="s">
        <v>1750</v>
      </c>
      <c r="M1708">
        <v>82</v>
      </c>
      <c r="N1708" t="b">
        <v>1</v>
      </c>
      <c r="O1708">
        <v>118</v>
      </c>
      <c r="P1708" t="s">
        <v>1752</v>
      </c>
      <c r="Q1708" t="s">
        <v>1753</v>
      </c>
      <c r="R1708" t="s">
        <v>1828</v>
      </c>
    </row>
    <row r="1709" spans="1:18" x14ac:dyDescent="0.25">
      <c r="A1709" t="s">
        <v>4343</v>
      </c>
      <c r="B1709" t="s">
        <v>1936</v>
      </c>
      <c r="C1709" t="s">
        <v>186</v>
      </c>
      <c r="D1709" t="s">
        <v>1360</v>
      </c>
      <c r="E1709" s="2">
        <v>44426</v>
      </c>
      <c r="F1709">
        <v>1185</v>
      </c>
      <c r="G1709" t="s">
        <v>1746</v>
      </c>
      <c r="H1709" t="s">
        <v>1798</v>
      </c>
      <c r="I1709" t="b">
        <v>0</v>
      </c>
      <c r="J1709" t="s">
        <v>1748</v>
      </c>
      <c r="K1709" t="s">
        <v>1880</v>
      </c>
      <c r="L1709" t="s">
        <v>2102</v>
      </c>
      <c r="M1709">
        <v>82</v>
      </c>
      <c r="N1709" t="b">
        <v>0</v>
      </c>
      <c r="P1709" t="s">
        <v>2070</v>
      </c>
      <c r="Q1709" t="s">
        <v>1779</v>
      </c>
    </row>
    <row r="1710" spans="1:18" x14ac:dyDescent="0.25">
      <c r="A1710" t="s">
        <v>4344</v>
      </c>
      <c r="B1710" t="s">
        <v>2997</v>
      </c>
      <c r="C1710" t="s">
        <v>6</v>
      </c>
      <c r="D1710" t="s">
        <v>848</v>
      </c>
      <c r="E1710" s="2">
        <v>44369</v>
      </c>
      <c r="F1710">
        <v>1242</v>
      </c>
      <c r="G1710" t="s">
        <v>1746</v>
      </c>
      <c r="H1710" t="s">
        <v>1798</v>
      </c>
      <c r="I1710" t="b">
        <v>0</v>
      </c>
      <c r="J1710" t="s">
        <v>1748</v>
      </c>
      <c r="K1710" t="s">
        <v>1776</v>
      </c>
      <c r="L1710" t="s">
        <v>1817</v>
      </c>
      <c r="M1710">
        <v>81</v>
      </c>
      <c r="N1710" t="b">
        <v>1</v>
      </c>
      <c r="O1710">
        <v>314</v>
      </c>
      <c r="P1710" t="s">
        <v>1819</v>
      </c>
      <c r="Q1710" t="s">
        <v>1753</v>
      </c>
      <c r="R1710" t="s">
        <v>1759</v>
      </c>
    </row>
    <row r="1711" spans="1:18" x14ac:dyDescent="0.25">
      <c r="A1711" t="s">
        <v>4346</v>
      </c>
      <c r="B1711" t="s">
        <v>4347</v>
      </c>
      <c r="C1711" t="s">
        <v>4</v>
      </c>
      <c r="D1711" t="s">
        <v>4345</v>
      </c>
      <c r="E1711" s="2">
        <v>42489</v>
      </c>
      <c r="F1711">
        <v>3122</v>
      </c>
      <c r="G1711" t="s">
        <v>1746</v>
      </c>
      <c r="H1711" t="s">
        <v>1747</v>
      </c>
      <c r="I1711" t="b">
        <v>1</v>
      </c>
      <c r="J1711" t="s">
        <v>1748</v>
      </c>
      <c r="K1711" t="s">
        <v>1853</v>
      </c>
      <c r="L1711" t="s">
        <v>1750</v>
      </c>
      <c r="M1711">
        <v>81</v>
      </c>
      <c r="N1711" t="b">
        <v>0</v>
      </c>
      <c r="O1711">
        <v>260</v>
      </c>
      <c r="P1711" t="s">
        <v>1752</v>
      </c>
      <c r="Q1711" t="s">
        <v>1753</v>
      </c>
      <c r="R1711" t="s">
        <v>1759</v>
      </c>
    </row>
    <row r="1712" spans="1:18" x14ac:dyDescent="0.25">
      <c r="A1712" t="s">
        <v>4348</v>
      </c>
      <c r="B1712" t="s">
        <v>2060</v>
      </c>
      <c r="C1712" t="s">
        <v>4</v>
      </c>
      <c r="D1712" t="s">
        <v>987</v>
      </c>
      <c r="E1712" s="2">
        <v>42340</v>
      </c>
      <c r="F1712">
        <v>3271</v>
      </c>
      <c r="G1712" t="s">
        <v>1746</v>
      </c>
      <c r="H1712" t="s">
        <v>1747</v>
      </c>
      <c r="I1712" t="b">
        <v>1</v>
      </c>
      <c r="J1712" t="s">
        <v>1761</v>
      </c>
      <c r="K1712" t="s">
        <v>1774</v>
      </c>
      <c r="L1712" t="s">
        <v>1817</v>
      </c>
      <c r="M1712">
        <v>81</v>
      </c>
      <c r="N1712" t="b">
        <v>0</v>
      </c>
      <c r="O1712">
        <v>1707</v>
      </c>
      <c r="P1712" t="s">
        <v>1819</v>
      </c>
      <c r="Q1712" t="s">
        <v>1753</v>
      </c>
      <c r="R1712" t="s">
        <v>1759</v>
      </c>
    </row>
    <row r="1713" spans="1:18" x14ac:dyDescent="0.25">
      <c r="A1713" t="s">
        <v>4349</v>
      </c>
      <c r="B1713" t="s">
        <v>1781</v>
      </c>
      <c r="C1713" t="s">
        <v>186</v>
      </c>
      <c r="D1713" t="s">
        <v>1355</v>
      </c>
      <c r="E1713" s="2">
        <v>38987</v>
      </c>
      <c r="F1713">
        <v>6624</v>
      </c>
      <c r="G1713" t="s">
        <v>1746</v>
      </c>
      <c r="H1713" t="s">
        <v>1747</v>
      </c>
      <c r="I1713" t="b">
        <v>0</v>
      </c>
      <c r="J1713" t="s">
        <v>1748</v>
      </c>
      <c r="K1713" t="s">
        <v>1830</v>
      </c>
      <c r="L1713" t="s">
        <v>2102</v>
      </c>
      <c r="M1713">
        <v>81</v>
      </c>
      <c r="N1713" t="b">
        <v>0</v>
      </c>
      <c r="P1713" t="s">
        <v>2070</v>
      </c>
      <c r="Q1713" t="s">
        <v>1779</v>
      </c>
    </row>
    <row r="1714" spans="1:18" x14ac:dyDescent="0.25">
      <c r="A1714" t="s">
        <v>4350</v>
      </c>
      <c r="B1714" t="s">
        <v>1810</v>
      </c>
      <c r="C1714" t="s">
        <v>4</v>
      </c>
      <c r="D1714" t="s">
        <v>741</v>
      </c>
      <c r="E1714" s="2">
        <v>43257</v>
      </c>
      <c r="F1714">
        <v>2354</v>
      </c>
      <c r="G1714" t="s">
        <v>1746</v>
      </c>
      <c r="H1714" t="s">
        <v>1747</v>
      </c>
      <c r="I1714" t="b">
        <v>0</v>
      </c>
      <c r="J1714" t="s">
        <v>1748</v>
      </c>
      <c r="K1714" t="s">
        <v>1749</v>
      </c>
      <c r="L1714" t="s">
        <v>1817</v>
      </c>
      <c r="M1714">
        <v>81</v>
      </c>
      <c r="N1714" t="b">
        <v>0</v>
      </c>
      <c r="O1714">
        <v>92</v>
      </c>
      <c r="P1714" t="s">
        <v>1819</v>
      </c>
      <c r="Q1714" t="s">
        <v>1753</v>
      </c>
    </row>
    <row r="1715" spans="1:18" x14ac:dyDescent="0.25">
      <c r="A1715" t="s">
        <v>4352</v>
      </c>
      <c r="B1715" t="s">
        <v>2144</v>
      </c>
      <c r="C1715" t="s">
        <v>4</v>
      </c>
      <c r="D1715" t="s">
        <v>4351</v>
      </c>
      <c r="E1715" s="2">
        <v>44763</v>
      </c>
      <c r="F1715">
        <v>848</v>
      </c>
      <c r="G1715" t="s">
        <v>1746</v>
      </c>
      <c r="H1715" t="s">
        <v>1747</v>
      </c>
      <c r="I1715" t="b">
        <v>0</v>
      </c>
      <c r="J1715" t="s">
        <v>1748</v>
      </c>
      <c r="K1715" t="s">
        <v>1755</v>
      </c>
      <c r="L1715" t="s">
        <v>1750</v>
      </c>
      <c r="M1715">
        <v>81</v>
      </c>
      <c r="N1715" t="b">
        <v>1</v>
      </c>
      <c r="O1715">
        <v>446</v>
      </c>
      <c r="P1715" t="s">
        <v>1752</v>
      </c>
      <c r="Q1715" t="s">
        <v>1753</v>
      </c>
      <c r="R1715" t="s">
        <v>1759</v>
      </c>
    </row>
    <row r="1716" spans="1:18" x14ac:dyDescent="0.25">
      <c r="A1716" t="s">
        <v>4353</v>
      </c>
      <c r="B1716" t="s">
        <v>1768</v>
      </c>
      <c r="C1716" t="s">
        <v>4</v>
      </c>
      <c r="D1716" t="s">
        <v>565</v>
      </c>
      <c r="E1716" s="2">
        <v>44831</v>
      </c>
      <c r="F1716">
        <v>780</v>
      </c>
      <c r="G1716" t="s">
        <v>1746</v>
      </c>
      <c r="H1716" t="s">
        <v>1747</v>
      </c>
      <c r="I1716" t="b">
        <v>0</v>
      </c>
      <c r="J1716" t="s">
        <v>1748</v>
      </c>
      <c r="K1716" t="s">
        <v>1868</v>
      </c>
      <c r="L1716" t="s">
        <v>1750</v>
      </c>
      <c r="M1716">
        <v>80</v>
      </c>
      <c r="N1716" t="b">
        <v>0</v>
      </c>
      <c r="O1716">
        <v>35</v>
      </c>
      <c r="P1716" t="s">
        <v>1752</v>
      </c>
      <c r="Q1716" t="s">
        <v>1753</v>
      </c>
      <c r="R1716" t="s">
        <v>1759</v>
      </c>
    </row>
    <row r="1717" spans="1:18" x14ac:dyDescent="0.25">
      <c r="A1717" t="s">
        <v>4355</v>
      </c>
      <c r="B1717" t="s">
        <v>3629</v>
      </c>
      <c r="C1717" t="s">
        <v>6</v>
      </c>
      <c r="D1717" t="s">
        <v>4354</v>
      </c>
      <c r="E1717" s="2">
        <v>43511</v>
      </c>
      <c r="F1717">
        <v>2100</v>
      </c>
      <c r="G1717" t="s">
        <v>1746</v>
      </c>
      <c r="H1717" t="s">
        <v>1798</v>
      </c>
      <c r="I1717" t="b">
        <v>0</v>
      </c>
      <c r="J1717" t="s">
        <v>1748</v>
      </c>
      <c r="K1717" t="s">
        <v>1909</v>
      </c>
      <c r="L1717" t="s">
        <v>1750</v>
      </c>
      <c r="M1717">
        <v>80</v>
      </c>
      <c r="N1717" t="b">
        <v>1</v>
      </c>
      <c r="O1717">
        <v>118</v>
      </c>
      <c r="P1717" t="s">
        <v>1752</v>
      </c>
      <c r="Q1717" t="s">
        <v>1753</v>
      </c>
    </row>
    <row r="1718" spans="1:18" x14ac:dyDescent="0.25">
      <c r="A1718" t="s">
        <v>4357</v>
      </c>
      <c r="B1718" t="s">
        <v>3834</v>
      </c>
      <c r="C1718" t="s">
        <v>2338</v>
      </c>
      <c r="D1718" t="s">
        <v>4356</v>
      </c>
      <c r="E1718" s="2">
        <v>43637</v>
      </c>
      <c r="F1718">
        <v>1974</v>
      </c>
      <c r="G1718" t="s">
        <v>1746</v>
      </c>
      <c r="H1718" t="s">
        <v>1747</v>
      </c>
      <c r="I1718" t="b">
        <v>0</v>
      </c>
      <c r="J1718" t="s">
        <v>1748</v>
      </c>
      <c r="K1718" t="s">
        <v>1935</v>
      </c>
      <c r="L1718" t="s">
        <v>1775</v>
      </c>
      <c r="M1718">
        <v>80</v>
      </c>
      <c r="N1718" t="b">
        <v>0</v>
      </c>
      <c r="P1718" t="s">
        <v>2283</v>
      </c>
      <c r="Q1718" t="s">
        <v>1705</v>
      </c>
    </row>
    <row r="1719" spans="1:18" x14ac:dyDescent="0.25">
      <c r="A1719" t="s">
        <v>4359</v>
      </c>
      <c r="B1719" t="s">
        <v>1907</v>
      </c>
      <c r="C1719" t="s">
        <v>6</v>
      </c>
      <c r="D1719" t="s">
        <v>4358</v>
      </c>
      <c r="E1719" s="2">
        <v>44761</v>
      </c>
      <c r="F1719">
        <v>850</v>
      </c>
      <c r="G1719" t="s">
        <v>1746</v>
      </c>
      <c r="H1719" t="s">
        <v>1798</v>
      </c>
      <c r="I1719" t="b">
        <v>0</v>
      </c>
      <c r="J1719" t="s">
        <v>1748</v>
      </c>
      <c r="K1719" t="s">
        <v>1751</v>
      </c>
      <c r="L1719" t="s">
        <v>2102</v>
      </c>
      <c r="M1719">
        <v>80</v>
      </c>
      <c r="N1719" t="b">
        <v>1</v>
      </c>
      <c r="P1719" t="s">
        <v>1752</v>
      </c>
      <c r="Q1719" t="s">
        <v>1753</v>
      </c>
      <c r="R1719" t="s">
        <v>1759</v>
      </c>
    </row>
    <row r="1720" spans="1:18" x14ac:dyDescent="0.25">
      <c r="A1720" t="s">
        <v>1027</v>
      </c>
      <c r="B1720" t="s">
        <v>1814</v>
      </c>
      <c r="C1720" t="s">
        <v>4</v>
      </c>
      <c r="D1720" t="s">
        <v>1028</v>
      </c>
      <c r="E1720" s="2">
        <v>41978</v>
      </c>
      <c r="F1720">
        <v>3633</v>
      </c>
      <c r="G1720" t="s">
        <v>1746</v>
      </c>
      <c r="H1720" t="s">
        <v>1798</v>
      </c>
      <c r="I1720" t="b">
        <v>1</v>
      </c>
      <c r="J1720" t="s">
        <v>1748</v>
      </c>
      <c r="K1720" t="s">
        <v>1770</v>
      </c>
      <c r="L1720" t="s">
        <v>1750</v>
      </c>
      <c r="M1720">
        <v>79</v>
      </c>
      <c r="N1720" t="b">
        <v>0</v>
      </c>
      <c r="O1720">
        <v>23</v>
      </c>
      <c r="P1720" t="s">
        <v>1752</v>
      </c>
      <c r="Q1720" t="s">
        <v>1753</v>
      </c>
      <c r="R1720" t="s">
        <v>1828</v>
      </c>
    </row>
    <row r="1721" spans="1:18" x14ac:dyDescent="0.25">
      <c r="A1721" t="s">
        <v>4361</v>
      </c>
      <c r="B1721" t="s">
        <v>2093</v>
      </c>
      <c r="C1721" t="s">
        <v>6</v>
      </c>
      <c r="D1721" t="s">
        <v>4360</v>
      </c>
      <c r="E1721" s="2">
        <v>41177</v>
      </c>
      <c r="F1721">
        <v>4434</v>
      </c>
      <c r="G1721" t="s">
        <v>1746</v>
      </c>
      <c r="H1721" t="s">
        <v>1798</v>
      </c>
      <c r="I1721" t="b">
        <v>0</v>
      </c>
      <c r="J1721" t="s">
        <v>1761</v>
      </c>
      <c r="K1721" t="s">
        <v>1856</v>
      </c>
      <c r="L1721" t="s">
        <v>1766</v>
      </c>
      <c r="M1721">
        <v>79</v>
      </c>
      <c r="N1721" t="b">
        <v>0</v>
      </c>
      <c r="P1721" t="s">
        <v>1752</v>
      </c>
      <c r="Q1721" t="s">
        <v>1753</v>
      </c>
      <c r="R1721" t="s">
        <v>1759</v>
      </c>
    </row>
    <row r="1722" spans="1:18" x14ac:dyDescent="0.25">
      <c r="A1722" t="s">
        <v>4363</v>
      </c>
      <c r="B1722" t="s">
        <v>1907</v>
      </c>
      <c r="C1722" t="s">
        <v>6</v>
      </c>
      <c r="D1722" t="s">
        <v>4362</v>
      </c>
      <c r="E1722" s="2">
        <v>44091</v>
      </c>
      <c r="F1722">
        <v>1520</v>
      </c>
      <c r="G1722" t="s">
        <v>1746</v>
      </c>
      <c r="H1722" t="s">
        <v>1798</v>
      </c>
      <c r="I1722" t="b">
        <v>1</v>
      </c>
      <c r="J1722" t="s">
        <v>1761</v>
      </c>
      <c r="K1722" t="s">
        <v>1755</v>
      </c>
      <c r="L1722" t="s">
        <v>1750</v>
      </c>
      <c r="M1722">
        <v>79</v>
      </c>
      <c r="N1722" t="b">
        <v>0</v>
      </c>
      <c r="O1722">
        <v>202</v>
      </c>
      <c r="P1722" t="s">
        <v>1752</v>
      </c>
      <c r="Q1722" t="s">
        <v>1753</v>
      </c>
    </row>
    <row r="1723" spans="1:18" x14ac:dyDescent="0.25">
      <c r="A1723" t="s">
        <v>4364</v>
      </c>
      <c r="B1723" t="s">
        <v>2106</v>
      </c>
      <c r="C1723" t="s">
        <v>6</v>
      </c>
      <c r="D1723" t="s">
        <v>181</v>
      </c>
      <c r="E1723" s="2">
        <v>44377</v>
      </c>
      <c r="F1723">
        <v>1234</v>
      </c>
      <c r="G1723" t="s">
        <v>1746</v>
      </c>
      <c r="H1723" t="s">
        <v>1798</v>
      </c>
      <c r="I1723" t="b">
        <v>0</v>
      </c>
      <c r="J1723" t="s">
        <v>1748</v>
      </c>
      <c r="K1723" t="s">
        <v>1922</v>
      </c>
      <c r="L1723" t="s">
        <v>1750</v>
      </c>
      <c r="M1723">
        <v>79</v>
      </c>
      <c r="N1723" t="b">
        <v>1</v>
      </c>
      <c r="O1723">
        <v>108</v>
      </c>
      <c r="P1723" t="s">
        <v>1752</v>
      </c>
      <c r="Q1723" t="s">
        <v>1753</v>
      </c>
    </row>
    <row r="1724" spans="1:18" x14ac:dyDescent="0.25">
      <c r="A1724" t="s">
        <v>4366</v>
      </c>
      <c r="B1724" t="s">
        <v>2157</v>
      </c>
      <c r="C1724" t="s">
        <v>6</v>
      </c>
      <c r="D1724" t="s">
        <v>4365</v>
      </c>
      <c r="E1724" s="2">
        <v>45302</v>
      </c>
      <c r="F1724">
        <v>309</v>
      </c>
      <c r="G1724" t="s">
        <v>1833</v>
      </c>
      <c r="H1724" t="s">
        <v>1798</v>
      </c>
      <c r="I1724" t="b">
        <v>0</v>
      </c>
      <c r="J1724" t="s">
        <v>1748</v>
      </c>
      <c r="K1724" t="s">
        <v>1770</v>
      </c>
      <c r="L1724" t="s">
        <v>1750</v>
      </c>
      <c r="M1724">
        <v>79</v>
      </c>
      <c r="N1724" t="b">
        <v>1</v>
      </c>
      <c r="O1724">
        <v>93</v>
      </c>
      <c r="P1724" t="s">
        <v>1819</v>
      </c>
      <c r="Q1724" t="s">
        <v>1753</v>
      </c>
      <c r="R1724" t="s">
        <v>1828</v>
      </c>
    </row>
    <row r="1725" spans="1:18" x14ac:dyDescent="0.25">
      <c r="A1725" t="s">
        <v>4367</v>
      </c>
      <c r="B1725" t="s">
        <v>1876</v>
      </c>
      <c r="C1725" t="s">
        <v>4</v>
      </c>
      <c r="D1725" t="s">
        <v>297</v>
      </c>
      <c r="E1725" s="2">
        <v>43760</v>
      </c>
      <c r="F1725">
        <v>1851</v>
      </c>
      <c r="G1725" t="s">
        <v>1746</v>
      </c>
      <c r="H1725" t="s">
        <v>1747</v>
      </c>
      <c r="I1725" t="b">
        <v>0</v>
      </c>
      <c r="J1725" t="s">
        <v>1761</v>
      </c>
      <c r="K1725" t="s">
        <v>1988</v>
      </c>
      <c r="L1725" t="s">
        <v>1817</v>
      </c>
      <c r="M1725">
        <v>79</v>
      </c>
      <c r="N1725" t="b">
        <v>0</v>
      </c>
      <c r="O1725">
        <v>22</v>
      </c>
      <c r="P1725" t="s">
        <v>1819</v>
      </c>
      <c r="Q1725" t="s">
        <v>1753</v>
      </c>
    </row>
    <row r="1726" spans="1:18" x14ac:dyDescent="0.25">
      <c r="A1726" t="s">
        <v>4368</v>
      </c>
      <c r="B1726" t="s">
        <v>2011</v>
      </c>
      <c r="C1726" t="s">
        <v>4</v>
      </c>
      <c r="D1726" t="s">
        <v>509</v>
      </c>
      <c r="E1726" s="2">
        <v>44846</v>
      </c>
      <c r="F1726">
        <v>765</v>
      </c>
      <c r="G1726" t="s">
        <v>1746</v>
      </c>
      <c r="H1726" t="s">
        <v>1798</v>
      </c>
      <c r="I1726" t="b">
        <v>1</v>
      </c>
      <c r="J1726" t="s">
        <v>1761</v>
      </c>
      <c r="K1726" t="s">
        <v>1822</v>
      </c>
      <c r="L1726" t="s">
        <v>1817</v>
      </c>
      <c r="M1726">
        <v>79</v>
      </c>
      <c r="N1726" t="b">
        <v>0</v>
      </c>
      <c r="O1726">
        <v>86</v>
      </c>
      <c r="P1726" t="s">
        <v>1819</v>
      </c>
      <c r="Q1726" t="s">
        <v>1753</v>
      </c>
    </row>
    <row r="1727" spans="1:18" x14ac:dyDescent="0.25">
      <c r="A1727" t="s">
        <v>4370</v>
      </c>
      <c r="B1727" t="s">
        <v>4371</v>
      </c>
      <c r="C1727" t="s">
        <v>4</v>
      </c>
      <c r="D1727" t="s">
        <v>4369</v>
      </c>
      <c r="E1727" s="2">
        <v>45330</v>
      </c>
      <c r="F1727">
        <v>281</v>
      </c>
      <c r="G1727" t="s">
        <v>1746</v>
      </c>
      <c r="H1727" t="s">
        <v>1747</v>
      </c>
      <c r="I1727" t="b">
        <v>0</v>
      </c>
      <c r="J1727" t="s">
        <v>1761</v>
      </c>
      <c r="K1727" t="s">
        <v>1880</v>
      </c>
      <c r="L1727" t="s">
        <v>1817</v>
      </c>
      <c r="M1727">
        <v>79</v>
      </c>
      <c r="N1727" t="b">
        <v>0</v>
      </c>
      <c r="O1727">
        <v>34</v>
      </c>
      <c r="P1727" t="s">
        <v>1819</v>
      </c>
      <c r="Q1727" t="s">
        <v>1753</v>
      </c>
    </row>
    <row r="1728" spans="1:18" x14ac:dyDescent="0.25">
      <c r="A1728" t="s">
        <v>4372</v>
      </c>
      <c r="B1728" t="s">
        <v>1876</v>
      </c>
      <c r="C1728" t="s">
        <v>4</v>
      </c>
      <c r="D1728" t="s">
        <v>978</v>
      </c>
      <c r="E1728" s="2">
        <v>44391</v>
      </c>
      <c r="F1728">
        <v>1220</v>
      </c>
      <c r="G1728" t="s">
        <v>1746</v>
      </c>
      <c r="H1728" t="s">
        <v>1747</v>
      </c>
      <c r="I1728" t="b">
        <v>0</v>
      </c>
      <c r="J1728" t="s">
        <v>1748</v>
      </c>
      <c r="K1728" t="s">
        <v>1913</v>
      </c>
      <c r="L1728" t="s">
        <v>1750</v>
      </c>
      <c r="M1728">
        <v>78</v>
      </c>
      <c r="N1728" t="b">
        <v>1</v>
      </c>
      <c r="O1728">
        <v>100</v>
      </c>
      <c r="P1728" t="s">
        <v>1752</v>
      </c>
      <c r="Q1728" t="s">
        <v>1753</v>
      </c>
      <c r="R1728" t="s">
        <v>1759</v>
      </c>
    </row>
    <row r="1729" spans="1:18" x14ac:dyDescent="0.25">
      <c r="A1729" t="s">
        <v>4374</v>
      </c>
      <c r="B1729" t="s">
        <v>2854</v>
      </c>
      <c r="C1729" t="s">
        <v>6</v>
      </c>
      <c r="D1729" t="s">
        <v>4373</v>
      </c>
      <c r="E1729" s="2">
        <v>43867</v>
      </c>
      <c r="F1729">
        <v>1744</v>
      </c>
      <c r="G1729" t="s">
        <v>1746</v>
      </c>
      <c r="H1729" t="s">
        <v>1798</v>
      </c>
      <c r="I1729" t="b">
        <v>0</v>
      </c>
      <c r="J1729" t="s">
        <v>1748</v>
      </c>
      <c r="K1729" t="s">
        <v>1774</v>
      </c>
      <c r="L1729" t="s">
        <v>1750</v>
      </c>
      <c r="M1729">
        <v>78</v>
      </c>
      <c r="N1729" t="b">
        <v>0</v>
      </c>
      <c r="O1729">
        <v>223</v>
      </c>
      <c r="P1729" t="s">
        <v>1752</v>
      </c>
      <c r="Q1729" t="s">
        <v>1753</v>
      </c>
      <c r="R1729" t="s">
        <v>1828</v>
      </c>
    </row>
    <row r="1730" spans="1:18" x14ac:dyDescent="0.25">
      <c r="A1730" t="s">
        <v>4376</v>
      </c>
      <c r="B1730" t="s">
        <v>1840</v>
      </c>
      <c r="C1730" t="s">
        <v>4</v>
      </c>
      <c r="D1730" t="s">
        <v>4375</v>
      </c>
      <c r="E1730" s="2">
        <v>42990</v>
      </c>
      <c r="F1730">
        <v>2621</v>
      </c>
      <c r="G1730" t="s">
        <v>1746</v>
      </c>
      <c r="H1730" t="s">
        <v>1747</v>
      </c>
      <c r="I1730" t="b">
        <v>1</v>
      </c>
      <c r="J1730" t="s">
        <v>1761</v>
      </c>
      <c r="K1730" t="s">
        <v>1774</v>
      </c>
      <c r="L1730" t="s">
        <v>1750</v>
      </c>
      <c r="M1730">
        <v>78</v>
      </c>
      <c r="N1730" t="b">
        <v>0</v>
      </c>
      <c r="O1730">
        <v>28</v>
      </c>
      <c r="P1730" t="s">
        <v>1752</v>
      </c>
      <c r="Q1730" t="s">
        <v>1753</v>
      </c>
    </row>
    <row r="1731" spans="1:18" x14ac:dyDescent="0.25">
      <c r="A1731" t="s">
        <v>4377</v>
      </c>
      <c r="B1731" t="s">
        <v>1860</v>
      </c>
      <c r="C1731" t="s">
        <v>4</v>
      </c>
      <c r="D1731" t="s">
        <v>1216</v>
      </c>
      <c r="E1731" s="2">
        <v>44413</v>
      </c>
      <c r="F1731">
        <v>1198</v>
      </c>
      <c r="G1731" t="s">
        <v>1746</v>
      </c>
      <c r="H1731" t="s">
        <v>1747</v>
      </c>
      <c r="I1731" t="b">
        <v>0</v>
      </c>
      <c r="J1731" t="s">
        <v>1748</v>
      </c>
      <c r="K1731" t="s">
        <v>1826</v>
      </c>
      <c r="L1731" t="s">
        <v>1750</v>
      </c>
      <c r="M1731">
        <v>78</v>
      </c>
      <c r="N1731" t="b">
        <v>1</v>
      </c>
      <c r="O1731">
        <v>367</v>
      </c>
      <c r="P1731" t="s">
        <v>1752</v>
      </c>
      <c r="Q1731" t="s">
        <v>1753</v>
      </c>
      <c r="R1731" t="s">
        <v>1772</v>
      </c>
    </row>
    <row r="1732" spans="1:18" x14ac:dyDescent="0.25">
      <c r="A1732" t="s">
        <v>4378</v>
      </c>
      <c r="B1732" t="s">
        <v>1945</v>
      </c>
      <c r="C1732" t="s">
        <v>6</v>
      </c>
      <c r="D1732" t="s">
        <v>142</v>
      </c>
      <c r="E1732" s="2">
        <v>42528</v>
      </c>
      <c r="F1732">
        <v>3083</v>
      </c>
      <c r="G1732" t="s">
        <v>1746</v>
      </c>
      <c r="H1732" t="s">
        <v>1798</v>
      </c>
      <c r="I1732" t="b">
        <v>0</v>
      </c>
      <c r="J1732" t="s">
        <v>1748</v>
      </c>
      <c r="K1732" t="s">
        <v>1879</v>
      </c>
      <c r="L1732" t="s">
        <v>1766</v>
      </c>
      <c r="M1732">
        <v>78</v>
      </c>
      <c r="N1732" t="b">
        <v>1</v>
      </c>
      <c r="P1732" t="s">
        <v>1752</v>
      </c>
      <c r="Q1732" t="s">
        <v>1753</v>
      </c>
      <c r="R1732" t="s">
        <v>1828</v>
      </c>
    </row>
    <row r="1733" spans="1:18" x14ac:dyDescent="0.25">
      <c r="A1733" t="s">
        <v>4379</v>
      </c>
      <c r="B1733" t="s">
        <v>2060</v>
      </c>
      <c r="C1733" t="s">
        <v>6</v>
      </c>
      <c r="D1733" t="s">
        <v>887</v>
      </c>
      <c r="E1733" s="2">
        <v>40518</v>
      </c>
      <c r="F1733">
        <v>5093</v>
      </c>
      <c r="G1733" t="s">
        <v>1746</v>
      </c>
      <c r="H1733" t="s">
        <v>1747</v>
      </c>
      <c r="I1733" t="b">
        <v>1</v>
      </c>
      <c r="J1733" t="s">
        <v>1761</v>
      </c>
      <c r="K1733" t="s">
        <v>1853</v>
      </c>
      <c r="L1733" t="s">
        <v>1817</v>
      </c>
      <c r="M1733">
        <v>78</v>
      </c>
      <c r="N1733" t="b">
        <v>0</v>
      </c>
      <c r="P1733" t="s">
        <v>1819</v>
      </c>
      <c r="Q1733" t="s">
        <v>1753</v>
      </c>
      <c r="R1733" t="s">
        <v>1772</v>
      </c>
    </row>
    <row r="1734" spans="1:18" x14ac:dyDescent="0.25">
      <c r="A1734" t="s">
        <v>4380</v>
      </c>
      <c r="B1734" t="s">
        <v>1810</v>
      </c>
      <c r="C1734" t="s">
        <v>6</v>
      </c>
      <c r="D1734" t="s">
        <v>1149</v>
      </c>
      <c r="E1734" s="2">
        <v>37195</v>
      </c>
      <c r="F1734">
        <v>8416</v>
      </c>
      <c r="G1734" t="s">
        <v>1746</v>
      </c>
      <c r="H1734" t="s">
        <v>1805</v>
      </c>
      <c r="I1734" t="b">
        <v>1</v>
      </c>
      <c r="J1734" t="s">
        <v>1761</v>
      </c>
      <c r="K1734" t="s">
        <v>1755</v>
      </c>
      <c r="L1734" t="s">
        <v>1750</v>
      </c>
      <c r="M1734">
        <v>78</v>
      </c>
      <c r="N1734" t="b">
        <v>0</v>
      </c>
      <c r="O1734">
        <v>100</v>
      </c>
      <c r="P1734" t="s">
        <v>1752</v>
      </c>
      <c r="Q1734" t="s">
        <v>1753</v>
      </c>
    </row>
    <row r="1735" spans="1:18" x14ac:dyDescent="0.25">
      <c r="A1735" t="s">
        <v>4381</v>
      </c>
      <c r="B1735" t="s">
        <v>3896</v>
      </c>
      <c r="C1735" t="s">
        <v>11</v>
      </c>
      <c r="D1735" t="s">
        <v>920</v>
      </c>
      <c r="E1735" s="2">
        <v>44309</v>
      </c>
      <c r="F1735">
        <v>1302</v>
      </c>
      <c r="G1735" t="s">
        <v>1746</v>
      </c>
      <c r="H1735" t="s">
        <v>1798</v>
      </c>
      <c r="I1735" t="b">
        <v>1</v>
      </c>
      <c r="J1735" t="s">
        <v>1748</v>
      </c>
      <c r="K1735" t="s">
        <v>2042</v>
      </c>
      <c r="L1735" t="s">
        <v>1750</v>
      </c>
      <c r="M1735">
        <v>77</v>
      </c>
      <c r="N1735" t="b">
        <v>1</v>
      </c>
      <c r="O1735">
        <v>38</v>
      </c>
      <c r="P1735" t="s">
        <v>1752</v>
      </c>
      <c r="Q1735" t="s">
        <v>1753</v>
      </c>
      <c r="R1735" t="s">
        <v>1759</v>
      </c>
    </row>
    <row r="1736" spans="1:18" x14ac:dyDescent="0.25">
      <c r="A1736" t="s">
        <v>4383</v>
      </c>
      <c r="B1736" t="s">
        <v>2662</v>
      </c>
      <c r="C1736" t="s">
        <v>4</v>
      </c>
      <c r="D1736" t="s">
        <v>4382</v>
      </c>
      <c r="E1736" s="2">
        <v>44706</v>
      </c>
      <c r="F1736">
        <v>905</v>
      </c>
      <c r="G1736" t="s">
        <v>1746</v>
      </c>
      <c r="H1736" t="s">
        <v>1747</v>
      </c>
      <c r="I1736" t="b">
        <v>0</v>
      </c>
      <c r="J1736" t="s">
        <v>1748</v>
      </c>
      <c r="K1736" t="s">
        <v>1822</v>
      </c>
      <c r="L1736" t="s">
        <v>1817</v>
      </c>
      <c r="M1736">
        <v>77</v>
      </c>
      <c r="N1736" t="b">
        <v>1</v>
      </c>
      <c r="O1736">
        <v>7130</v>
      </c>
      <c r="P1736" t="s">
        <v>1819</v>
      </c>
      <c r="Q1736" t="s">
        <v>1753</v>
      </c>
      <c r="R1736" t="s">
        <v>1759</v>
      </c>
    </row>
    <row r="1737" spans="1:18" x14ac:dyDescent="0.25">
      <c r="A1737" t="s">
        <v>4385</v>
      </c>
      <c r="B1737" t="s">
        <v>2393</v>
      </c>
      <c r="C1737" t="s">
        <v>4</v>
      </c>
      <c r="D1737" t="s">
        <v>4384</v>
      </c>
      <c r="E1737" s="2">
        <v>44333</v>
      </c>
      <c r="F1737">
        <v>1278</v>
      </c>
      <c r="G1737" t="s">
        <v>1746</v>
      </c>
      <c r="H1737" t="s">
        <v>1747</v>
      </c>
      <c r="I1737" t="b">
        <v>0</v>
      </c>
      <c r="J1737" t="s">
        <v>1761</v>
      </c>
      <c r="K1737" t="s">
        <v>1770</v>
      </c>
      <c r="L1737" t="s">
        <v>1750</v>
      </c>
      <c r="M1737">
        <v>77</v>
      </c>
      <c r="N1737" t="b">
        <v>1</v>
      </c>
      <c r="O1737">
        <v>230</v>
      </c>
      <c r="P1737" t="s">
        <v>1752</v>
      </c>
      <c r="Q1737" t="s">
        <v>1753</v>
      </c>
      <c r="R1737" t="s">
        <v>1759</v>
      </c>
    </row>
    <row r="1738" spans="1:18" x14ac:dyDescent="0.25">
      <c r="A1738" t="s">
        <v>4387</v>
      </c>
      <c r="B1738" t="s">
        <v>2177</v>
      </c>
      <c r="C1738" t="s">
        <v>6</v>
      </c>
      <c r="D1738" t="s">
        <v>4386</v>
      </c>
      <c r="E1738" s="2">
        <v>42153</v>
      </c>
      <c r="F1738">
        <v>3458</v>
      </c>
      <c r="G1738" t="s">
        <v>1746</v>
      </c>
      <c r="H1738" t="s">
        <v>1805</v>
      </c>
      <c r="I1738" t="b">
        <v>1</v>
      </c>
      <c r="J1738" t="s">
        <v>1761</v>
      </c>
      <c r="K1738" t="s">
        <v>1891</v>
      </c>
      <c r="L1738" t="s">
        <v>1750</v>
      </c>
      <c r="M1738">
        <v>77</v>
      </c>
      <c r="N1738" t="b">
        <v>0</v>
      </c>
      <c r="O1738">
        <v>46</v>
      </c>
      <c r="P1738" t="s">
        <v>1752</v>
      </c>
      <c r="Q1738" t="s">
        <v>1753</v>
      </c>
    </row>
    <row r="1739" spans="1:18" x14ac:dyDescent="0.25">
      <c r="A1739" t="s">
        <v>4389</v>
      </c>
      <c r="B1739" t="s">
        <v>1907</v>
      </c>
      <c r="C1739" t="s">
        <v>4</v>
      </c>
      <c r="D1739" t="s">
        <v>4388</v>
      </c>
      <c r="E1739" s="2">
        <v>44593</v>
      </c>
      <c r="F1739">
        <v>1018</v>
      </c>
      <c r="G1739" t="s">
        <v>1746</v>
      </c>
      <c r="H1739" t="s">
        <v>1798</v>
      </c>
      <c r="I1739" t="b">
        <v>1</v>
      </c>
      <c r="J1739" t="s">
        <v>1761</v>
      </c>
      <c r="K1739" t="s">
        <v>1822</v>
      </c>
      <c r="L1739" t="s">
        <v>1817</v>
      </c>
      <c r="M1739">
        <v>77</v>
      </c>
      <c r="N1739" t="b">
        <v>0</v>
      </c>
      <c r="O1739">
        <v>95</v>
      </c>
      <c r="P1739" t="s">
        <v>1819</v>
      </c>
      <c r="Q1739" t="s">
        <v>1753</v>
      </c>
    </row>
    <row r="1740" spans="1:18" x14ac:dyDescent="0.25">
      <c r="A1740" t="s">
        <v>4391</v>
      </c>
      <c r="B1740" t="s">
        <v>1866</v>
      </c>
      <c r="C1740" t="s">
        <v>572</v>
      </c>
      <c r="D1740" t="s">
        <v>4390</v>
      </c>
      <c r="E1740" s="2">
        <v>42670</v>
      </c>
      <c r="F1740">
        <v>2941</v>
      </c>
      <c r="G1740" t="s">
        <v>1746</v>
      </c>
      <c r="H1740" t="s">
        <v>1798</v>
      </c>
      <c r="I1740" t="b">
        <v>0</v>
      </c>
      <c r="J1740" t="s">
        <v>1761</v>
      </c>
      <c r="K1740" t="s">
        <v>2021</v>
      </c>
      <c r="L1740" t="s">
        <v>1750</v>
      </c>
      <c r="M1740">
        <v>76</v>
      </c>
      <c r="N1740" t="b">
        <v>0</v>
      </c>
      <c r="O1740">
        <v>30</v>
      </c>
      <c r="P1740" t="s">
        <v>1752</v>
      </c>
      <c r="Q1740" t="s">
        <v>1753</v>
      </c>
    </row>
    <row r="1741" spans="1:18" x14ac:dyDescent="0.25">
      <c r="A1741" t="s">
        <v>4392</v>
      </c>
      <c r="B1741" t="s">
        <v>1810</v>
      </c>
      <c r="C1741" t="s">
        <v>4</v>
      </c>
      <c r="D1741" t="s">
        <v>607</v>
      </c>
      <c r="E1741" s="2">
        <v>42251</v>
      </c>
      <c r="F1741">
        <v>3360</v>
      </c>
      <c r="G1741" t="s">
        <v>1746</v>
      </c>
      <c r="H1741" t="s">
        <v>1747</v>
      </c>
      <c r="I1741" t="b">
        <v>1</v>
      </c>
      <c r="J1741" t="s">
        <v>1748</v>
      </c>
      <c r="K1741" t="s">
        <v>1880</v>
      </c>
      <c r="L1741" t="s">
        <v>1756</v>
      </c>
      <c r="M1741">
        <v>76</v>
      </c>
      <c r="N1741" t="b">
        <v>0</v>
      </c>
      <c r="O1741">
        <v>202</v>
      </c>
      <c r="P1741" t="s">
        <v>1752</v>
      </c>
      <c r="Q1741" t="s">
        <v>1753</v>
      </c>
    </row>
    <row r="1742" spans="1:18" x14ac:dyDescent="0.25">
      <c r="A1742" t="s">
        <v>4394</v>
      </c>
      <c r="B1742" t="s">
        <v>2150</v>
      </c>
      <c r="C1742" t="s">
        <v>4</v>
      </c>
      <c r="D1742" t="s">
        <v>4393</v>
      </c>
      <c r="E1742" s="2">
        <v>43886</v>
      </c>
      <c r="F1742">
        <v>1725</v>
      </c>
      <c r="G1742" t="s">
        <v>1746</v>
      </c>
      <c r="H1742" t="s">
        <v>1805</v>
      </c>
      <c r="I1742" t="b">
        <v>0</v>
      </c>
      <c r="J1742" t="s">
        <v>1761</v>
      </c>
      <c r="K1742" t="s">
        <v>1822</v>
      </c>
      <c r="L1742" t="s">
        <v>1817</v>
      </c>
      <c r="M1742">
        <v>76</v>
      </c>
      <c r="N1742" t="b">
        <v>1</v>
      </c>
      <c r="O1742">
        <v>454</v>
      </c>
      <c r="P1742" t="s">
        <v>1819</v>
      </c>
      <c r="Q1742" t="s">
        <v>1753</v>
      </c>
      <c r="R1742" t="s">
        <v>1759</v>
      </c>
    </row>
    <row r="1743" spans="1:18" x14ac:dyDescent="0.25">
      <c r="A1743" t="s">
        <v>4396</v>
      </c>
      <c r="B1743" t="s">
        <v>3349</v>
      </c>
      <c r="C1743" t="s">
        <v>186</v>
      </c>
      <c r="D1743" t="s">
        <v>4395</v>
      </c>
      <c r="E1743" s="2">
        <v>38987</v>
      </c>
      <c r="F1743">
        <v>6624</v>
      </c>
      <c r="G1743" t="s">
        <v>1746</v>
      </c>
      <c r="H1743" t="s">
        <v>1747</v>
      </c>
      <c r="I1743" t="b">
        <v>0</v>
      </c>
      <c r="J1743" t="s">
        <v>1748</v>
      </c>
      <c r="K1743" t="s">
        <v>1830</v>
      </c>
      <c r="L1743" t="s">
        <v>2102</v>
      </c>
      <c r="M1743">
        <v>76</v>
      </c>
      <c r="N1743" t="b">
        <v>0</v>
      </c>
      <c r="P1743" t="s">
        <v>2070</v>
      </c>
      <c r="Q1743" t="s">
        <v>1779</v>
      </c>
    </row>
    <row r="1744" spans="1:18" x14ac:dyDescent="0.25">
      <c r="A1744" t="s">
        <v>4397</v>
      </c>
      <c r="B1744" t="s">
        <v>4398</v>
      </c>
      <c r="C1744" t="s">
        <v>6</v>
      </c>
      <c r="D1744" t="s">
        <v>60</v>
      </c>
      <c r="E1744" s="2">
        <v>42152</v>
      </c>
      <c r="F1744">
        <v>3459</v>
      </c>
      <c r="G1744" t="s">
        <v>1746</v>
      </c>
      <c r="H1744" t="s">
        <v>1798</v>
      </c>
      <c r="I1744" t="b">
        <v>0</v>
      </c>
      <c r="J1744" t="s">
        <v>1748</v>
      </c>
      <c r="K1744" t="s">
        <v>1770</v>
      </c>
      <c r="L1744" t="s">
        <v>1766</v>
      </c>
      <c r="M1744">
        <v>76</v>
      </c>
      <c r="N1744" t="b">
        <v>0</v>
      </c>
      <c r="P1744" t="s">
        <v>1752</v>
      </c>
      <c r="Q1744" t="s">
        <v>1753</v>
      </c>
    </row>
    <row r="1745" spans="1:18" x14ac:dyDescent="0.25">
      <c r="A1745" t="s">
        <v>4399</v>
      </c>
      <c r="B1745" t="s">
        <v>1876</v>
      </c>
      <c r="C1745" t="s">
        <v>4</v>
      </c>
      <c r="D1745" t="s">
        <v>3</v>
      </c>
      <c r="E1745" s="2">
        <v>44039</v>
      </c>
      <c r="F1745">
        <v>1572</v>
      </c>
      <c r="G1745" t="s">
        <v>1746</v>
      </c>
      <c r="H1745" t="s">
        <v>1747</v>
      </c>
      <c r="I1745" t="b">
        <v>1</v>
      </c>
      <c r="J1745" t="s">
        <v>1761</v>
      </c>
      <c r="K1745" t="s">
        <v>2021</v>
      </c>
      <c r="L1745" t="s">
        <v>4400</v>
      </c>
      <c r="M1745">
        <v>76</v>
      </c>
      <c r="N1745" t="b">
        <v>0</v>
      </c>
      <c r="P1745" t="s">
        <v>1752</v>
      </c>
      <c r="Q1745" t="s">
        <v>1753</v>
      </c>
      <c r="R1745" t="s">
        <v>2092</v>
      </c>
    </row>
    <row r="1746" spans="1:18" x14ac:dyDescent="0.25">
      <c r="A1746" t="s">
        <v>4402</v>
      </c>
      <c r="C1746" t="s">
        <v>6</v>
      </c>
      <c r="D1746" t="s">
        <v>4401</v>
      </c>
      <c r="E1746" s="2">
        <v>40309</v>
      </c>
      <c r="F1746">
        <v>5302</v>
      </c>
      <c r="G1746" t="s">
        <v>1746</v>
      </c>
      <c r="H1746" t="s">
        <v>4403</v>
      </c>
      <c r="I1746" t="b">
        <v>1</v>
      </c>
      <c r="J1746" t="s">
        <v>1748</v>
      </c>
      <c r="K1746" t="s">
        <v>1755</v>
      </c>
      <c r="L1746" t="s">
        <v>1817</v>
      </c>
      <c r="M1746">
        <v>75</v>
      </c>
      <c r="N1746" t="b">
        <v>0</v>
      </c>
      <c r="O1746">
        <v>22</v>
      </c>
      <c r="P1746" t="s">
        <v>1819</v>
      </c>
      <c r="Q1746" t="s">
        <v>1753</v>
      </c>
    </row>
    <row r="1747" spans="1:18" x14ac:dyDescent="0.25">
      <c r="A1747" t="s">
        <v>4404</v>
      </c>
      <c r="B1747" t="s">
        <v>2353</v>
      </c>
      <c r="C1747" t="s">
        <v>6</v>
      </c>
      <c r="D1747" t="s">
        <v>855</v>
      </c>
      <c r="E1747" s="2">
        <v>42663</v>
      </c>
      <c r="F1747">
        <v>2948</v>
      </c>
      <c r="G1747" t="s">
        <v>1746</v>
      </c>
      <c r="H1747" t="s">
        <v>1798</v>
      </c>
      <c r="I1747" t="b">
        <v>0</v>
      </c>
      <c r="J1747" t="s">
        <v>1761</v>
      </c>
      <c r="K1747" t="s">
        <v>1853</v>
      </c>
      <c r="L1747" t="s">
        <v>1817</v>
      </c>
      <c r="M1747">
        <v>75</v>
      </c>
      <c r="N1747" t="b">
        <v>1</v>
      </c>
      <c r="O1747">
        <v>843</v>
      </c>
      <c r="P1747" t="s">
        <v>1819</v>
      </c>
      <c r="Q1747" t="s">
        <v>1753</v>
      </c>
      <c r="R1747" t="s">
        <v>1759</v>
      </c>
    </row>
    <row r="1748" spans="1:18" x14ac:dyDescent="0.25">
      <c r="A1748" t="s">
        <v>4405</v>
      </c>
      <c r="B1748" t="s">
        <v>2667</v>
      </c>
      <c r="C1748" t="s">
        <v>6</v>
      </c>
      <c r="D1748" t="s">
        <v>371</v>
      </c>
      <c r="E1748" s="2">
        <v>42914</v>
      </c>
      <c r="F1748">
        <v>2697</v>
      </c>
      <c r="G1748" t="s">
        <v>1746</v>
      </c>
      <c r="H1748" t="s">
        <v>1798</v>
      </c>
      <c r="I1748" t="b">
        <v>0</v>
      </c>
      <c r="J1748" t="s">
        <v>1761</v>
      </c>
      <c r="K1748" t="s">
        <v>1853</v>
      </c>
      <c r="L1748" t="s">
        <v>1817</v>
      </c>
      <c r="M1748">
        <v>75</v>
      </c>
      <c r="N1748" t="b">
        <v>1</v>
      </c>
      <c r="O1748">
        <v>365</v>
      </c>
      <c r="P1748" t="s">
        <v>1819</v>
      </c>
      <c r="Q1748" t="s">
        <v>1753</v>
      </c>
      <c r="R1748" t="s">
        <v>1828</v>
      </c>
    </row>
    <row r="1749" spans="1:18" x14ac:dyDescent="0.25">
      <c r="A1749" t="s">
        <v>4407</v>
      </c>
      <c r="B1749" t="s">
        <v>2133</v>
      </c>
      <c r="C1749" t="s">
        <v>4</v>
      </c>
      <c r="D1749" t="s">
        <v>4406</v>
      </c>
      <c r="E1749" s="2">
        <v>42893</v>
      </c>
      <c r="F1749">
        <v>2718</v>
      </c>
      <c r="G1749" t="s">
        <v>1746</v>
      </c>
      <c r="H1749" t="s">
        <v>1798</v>
      </c>
      <c r="I1749" t="b">
        <v>0</v>
      </c>
      <c r="J1749" t="s">
        <v>1748</v>
      </c>
      <c r="K1749" t="s">
        <v>1755</v>
      </c>
      <c r="L1749" t="s">
        <v>1766</v>
      </c>
      <c r="M1749">
        <v>75</v>
      </c>
      <c r="N1749" t="b">
        <v>0</v>
      </c>
      <c r="P1749" t="s">
        <v>1752</v>
      </c>
      <c r="Q1749" t="s">
        <v>1753</v>
      </c>
      <c r="R1749" t="s">
        <v>1828</v>
      </c>
    </row>
    <row r="1750" spans="1:18" x14ac:dyDescent="0.25">
      <c r="A1750" t="s">
        <v>4408</v>
      </c>
      <c r="B1750" t="s">
        <v>1936</v>
      </c>
      <c r="C1750" t="s">
        <v>4</v>
      </c>
      <c r="D1750" t="s">
        <v>316</v>
      </c>
      <c r="E1750" s="2">
        <v>44574</v>
      </c>
      <c r="F1750">
        <v>1037</v>
      </c>
      <c r="G1750" t="s">
        <v>1746</v>
      </c>
      <c r="H1750" t="s">
        <v>1747</v>
      </c>
      <c r="I1750" t="b">
        <v>1</v>
      </c>
      <c r="J1750" t="s">
        <v>1748</v>
      </c>
      <c r="K1750" t="s">
        <v>1770</v>
      </c>
      <c r="L1750" t="s">
        <v>1817</v>
      </c>
      <c r="M1750">
        <v>75</v>
      </c>
      <c r="N1750" t="b">
        <v>1</v>
      </c>
      <c r="O1750">
        <v>379</v>
      </c>
      <c r="P1750" t="s">
        <v>1819</v>
      </c>
      <c r="Q1750" t="s">
        <v>1753</v>
      </c>
      <c r="R1750" t="s">
        <v>1759</v>
      </c>
    </row>
    <row r="1751" spans="1:18" x14ac:dyDescent="0.25">
      <c r="A1751" t="s">
        <v>4410</v>
      </c>
      <c r="B1751" t="s">
        <v>2144</v>
      </c>
      <c r="C1751" t="s">
        <v>572</v>
      </c>
      <c r="D1751" t="s">
        <v>4409</v>
      </c>
      <c r="E1751" s="2">
        <v>44334</v>
      </c>
      <c r="F1751">
        <v>1277</v>
      </c>
      <c r="G1751" t="s">
        <v>1746</v>
      </c>
      <c r="H1751" t="s">
        <v>1798</v>
      </c>
      <c r="I1751" t="b">
        <v>0</v>
      </c>
      <c r="J1751" t="s">
        <v>1748</v>
      </c>
      <c r="K1751" t="s">
        <v>1774</v>
      </c>
      <c r="L1751" t="s">
        <v>1750</v>
      </c>
      <c r="M1751">
        <v>75</v>
      </c>
      <c r="N1751" t="b">
        <v>1</v>
      </c>
      <c r="O1751">
        <v>40</v>
      </c>
      <c r="P1751" t="s">
        <v>1752</v>
      </c>
      <c r="Q1751" t="s">
        <v>1753</v>
      </c>
    </row>
    <row r="1752" spans="1:18" x14ac:dyDescent="0.25">
      <c r="A1752" t="s">
        <v>4412</v>
      </c>
      <c r="B1752" t="s">
        <v>1907</v>
      </c>
      <c r="C1752" t="s">
        <v>6</v>
      </c>
      <c r="D1752" t="s">
        <v>4411</v>
      </c>
      <c r="E1752" s="2">
        <v>43845</v>
      </c>
      <c r="F1752">
        <v>1766</v>
      </c>
      <c r="G1752" t="s">
        <v>1746</v>
      </c>
      <c r="H1752" t="s">
        <v>1747</v>
      </c>
      <c r="I1752" t="b">
        <v>1</v>
      </c>
      <c r="J1752" t="s">
        <v>1748</v>
      </c>
      <c r="K1752" t="s">
        <v>1765</v>
      </c>
      <c r="L1752" t="s">
        <v>1750</v>
      </c>
      <c r="M1752">
        <v>75</v>
      </c>
      <c r="N1752" t="b">
        <v>0</v>
      </c>
      <c r="O1752">
        <v>288</v>
      </c>
      <c r="P1752" t="s">
        <v>1819</v>
      </c>
      <c r="Q1752" t="s">
        <v>1753</v>
      </c>
    </row>
    <row r="1753" spans="1:18" x14ac:dyDescent="0.25">
      <c r="A1753" t="s">
        <v>4413</v>
      </c>
      <c r="B1753" t="s">
        <v>1810</v>
      </c>
      <c r="C1753" t="s">
        <v>6</v>
      </c>
      <c r="D1753" t="s">
        <v>1192</v>
      </c>
      <c r="E1753" s="2">
        <v>42398</v>
      </c>
      <c r="F1753">
        <v>3213</v>
      </c>
      <c r="G1753" t="s">
        <v>1746</v>
      </c>
      <c r="H1753" t="s">
        <v>1747</v>
      </c>
      <c r="I1753" t="b">
        <v>0</v>
      </c>
      <c r="J1753" t="s">
        <v>1761</v>
      </c>
      <c r="K1753" t="s">
        <v>1776</v>
      </c>
      <c r="L1753" t="s">
        <v>1817</v>
      </c>
      <c r="M1753">
        <v>75</v>
      </c>
      <c r="N1753" t="b">
        <v>0</v>
      </c>
      <c r="O1753">
        <v>629</v>
      </c>
      <c r="P1753" t="s">
        <v>1819</v>
      </c>
      <c r="Q1753" t="s">
        <v>1753</v>
      </c>
      <c r="R1753" t="s">
        <v>1772</v>
      </c>
    </row>
    <row r="1754" spans="1:18" x14ac:dyDescent="0.25">
      <c r="A1754" t="s">
        <v>4414</v>
      </c>
      <c r="B1754" t="s">
        <v>2060</v>
      </c>
      <c r="C1754" t="s">
        <v>4</v>
      </c>
      <c r="D1754" t="s">
        <v>986</v>
      </c>
      <c r="E1754" s="2">
        <v>42417</v>
      </c>
      <c r="F1754">
        <v>3194</v>
      </c>
      <c r="G1754" t="s">
        <v>1746</v>
      </c>
      <c r="H1754" t="s">
        <v>1747</v>
      </c>
      <c r="I1754" t="b">
        <v>1</v>
      </c>
      <c r="J1754" t="s">
        <v>1761</v>
      </c>
      <c r="K1754" t="s">
        <v>1824</v>
      </c>
      <c r="L1754" t="s">
        <v>1817</v>
      </c>
      <c r="M1754">
        <v>75</v>
      </c>
      <c r="N1754" t="b">
        <v>0</v>
      </c>
      <c r="O1754">
        <v>85</v>
      </c>
      <c r="P1754" t="s">
        <v>1819</v>
      </c>
      <c r="Q1754" t="s">
        <v>1753</v>
      </c>
    </row>
    <row r="1755" spans="1:18" x14ac:dyDescent="0.25">
      <c r="A1755" t="s">
        <v>4416</v>
      </c>
      <c r="B1755" t="s">
        <v>1907</v>
      </c>
      <c r="C1755" t="s">
        <v>6</v>
      </c>
      <c r="D1755" t="s">
        <v>4415</v>
      </c>
      <c r="E1755" s="2">
        <v>44728</v>
      </c>
      <c r="F1755">
        <v>883</v>
      </c>
      <c r="G1755" t="s">
        <v>1746</v>
      </c>
      <c r="H1755" t="s">
        <v>1798</v>
      </c>
      <c r="I1755" t="b">
        <v>0</v>
      </c>
      <c r="J1755" t="s">
        <v>1748</v>
      </c>
      <c r="K1755" t="s">
        <v>1826</v>
      </c>
      <c r="L1755" t="s">
        <v>1817</v>
      </c>
      <c r="M1755">
        <v>75</v>
      </c>
      <c r="N1755" t="b">
        <v>1</v>
      </c>
      <c r="O1755">
        <v>2929</v>
      </c>
      <c r="P1755" t="s">
        <v>1819</v>
      </c>
      <c r="Q1755" t="s">
        <v>1753</v>
      </c>
      <c r="R1755" t="s">
        <v>1759</v>
      </c>
    </row>
    <row r="1756" spans="1:18" x14ac:dyDescent="0.25">
      <c r="A1756" t="s">
        <v>4418</v>
      </c>
      <c r="B1756" t="s">
        <v>2284</v>
      </c>
      <c r="C1756" t="s">
        <v>186</v>
      </c>
      <c r="D1756" t="s">
        <v>4417</v>
      </c>
      <c r="E1756" s="2">
        <v>44638</v>
      </c>
      <c r="F1756">
        <v>973</v>
      </c>
      <c r="G1756" t="s">
        <v>1746</v>
      </c>
      <c r="H1756" t="s">
        <v>1747</v>
      </c>
      <c r="I1756" t="b">
        <v>0</v>
      </c>
      <c r="J1756" t="s">
        <v>1748</v>
      </c>
      <c r="K1756" t="s">
        <v>1868</v>
      </c>
      <c r="L1756" t="s">
        <v>1775</v>
      </c>
      <c r="M1756">
        <v>75</v>
      </c>
      <c r="N1756" t="b">
        <v>0</v>
      </c>
      <c r="P1756" t="s">
        <v>2283</v>
      </c>
      <c r="Q1756" t="s">
        <v>1705</v>
      </c>
    </row>
    <row r="1757" spans="1:18" x14ac:dyDescent="0.25">
      <c r="A1757" t="s">
        <v>4420</v>
      </c>
      <c r="B1757" t="s">
        <v>2150</v>
      </c>
      <c r="C1757" t="s">
        <v>4</v>
      </c>
      <c r="D1757" t="s">
        <v>4419</v>
      </c>
      <c r="E1757" s="2">
        <v>43626</v>
      </c>
      <c r="F1757">
        <v>1985</v>
      </c>
      <c r="G1757" t="s">
        <v>1746</v>
      </c>
      <c r="H1757" t="s">
        <v>1805</v>
      </c>
      <c r="I1757" t="b">
        <v>1</v>
      </c>
      <c r="J1757" t="s">
        <v>1748</v>
      </c>
      <c r="K1757" t="s">
        <v>1985</v>
      </c>
      <c r="L1757" t="s">
        <v>1817</v>
      </c>
      <c r="M1757">
        <v>75</v>
      </c>
      <c r="N1757" t="b">
        <v>0</v>
      </c>
      <c r="O1757">
        <v>61</v>
      </c>
      <c r="P1757" t="s">
        <v>1819</v>
      </c>
      <c r="Q1757" t="s">
        <v>1753</v>
      </c>
    </row>
    <row r="1758" spans="1:18" x14ac:dyDescent="0.25">
      <c r="A1758" t="s">
        <v>1244</v>
      </c>
      <c r="B1758" t="s">
        <v>1810</v>
      </c>
      <c r="C1758" t="s">
        <v>4</v>
      </c>
      <c r="D1758" t="s">
        <v>1245</v>
      </c>
      <c r="E1758" s="2">
        <v>43178</v>
      </c>
      <c r="F1758">
        <v>2433</v>
      </c>
      <c r="G1758" t="s">
        <v>1746</v>
      </c>
      <c r="H1758" t="s">
        <v>1747</v>
      </c>
      <c r="I1758" t="b">
        <v>0</v>
      </c>
      <c r="J1758" t="s">
        <v>1748</v>
      </c>
      <c r="K1758" t="s">
        <v>2021</v>
      </c>
      <c r="L1758" t="s">
        <v>1817</v>
      </c>
      <c r="M1758">
        <v>75</v>
      </c>
      <c r="N1758" t="b">
        <v>0</v>
      </c>
      <c r="O1758">
        <v>297</v>
      </c>
      <c r="P1758" t="s">
        <v>1819</v>
      </c>
      <c r="Q1758" t="s">
        <v>1753</v>
      </c>
      <c r="R1758" t="s">
        <v>1759</v>
      </c>
    </row>
    <row r="1759" spans="1:18" x14ac:dyDescent="0.25">
      <c r="A1759" t="s">
        <v>4421</v>
      </c>
      <c r="B1759" t="s">
        <v>1781</v>
      </c>
      <c r="C1759" t="s">
        <v>186</v>
      </c>
      <c r="D1759" t="s">
        <v>1437</v>
      </c>
      <c r="E1759" s="2">
        <v>38987</v>
      </c>
      <c r="F1759">
        <v>6624</v>
      </c>
      <c r="G1759" t="s">
        <v>1746</v>
      </c>
      <c r="H1759" t="s">
        <v>1747</v>
      </c>
      <c r="I1759" t="b">
        <v>0</v>
      </c>
      <c r="J1759" t="s">
        <v>1748</v>
      </c>
      <c r="K1759" t="s">
        <v>1830</v>
      </c>
      <c r="L1759" t="s">
        <v>2102</v>
      </c>
      <c r="M1759">
        <v>74</v>
      </c>
      <c r="N1759" t="b">
        <v>0</v>
      </c>
      <c r="P1759" t="s">
        <v>1778</v>
      </c>
      <c r="Q1759" t="s">
        <v>1779</v>
      </c>
    </row>
    <row r="1760" spans="1:18" x14ac:dyDescent="0.25">
      <c r="A1760" t="s">
        <v>1420</v>
      </c>
      <c r="B1760" t="s">
        <v>1876</v>
      </c>
      <c r="C1760" t="s">
        <v>4</v>
      </c>
      <c r="D1760" t="s">
        <v>1421</v>
      </c>
      <c r="E1760" s="2">
        <v>42142</v>
      </c>
      <c r="F1760">
        <v>3469</v>
      </c>
      <c r="G1760" t="s">
        <v>1746</v>
      </c>
      <c r="H1760" t="s">
        <v>1747</v>
      </c>
      <c r="I1760" t="b">
        <v>0</v>
      </c>
      <c r="J1760" t="s">
        <v>1761</v>
      </c>
      <c r="K1760" t="s">
        <v>1950</v>
      </c>
      <c r="L1760" t="s">
        <v>1756</v>
      </c>
      <c r="M1760">
        <v>74</v>
      </c>
      <c r="N1760" t="b">
        <v>1</v>
      </c>
      <c r="O1760">
        <v>496</v>
      </c>
      <c r="P1760" t="s">
        <v>1752</v>
      </c>
      <c r="Q1760" t="s">
        <v>1753</v>
      </c>
    </row>
    <row r="1761" spans="1:18" x14ac:dyDescent="0.25">
      <c r="A1761" t="s">
        <v>4423</v>
      </c>
      <c r="B1761" t="s">
        <v>2494</v>
      </c>
      <c r="C1761" t="s">
        <v>6</v>
      </c>
      <c r="D1761" t="s">
        <v>4422</v>
      </c>
      <c r="E1761" s="2">
        <v>40346</v>
      </c>
      <c r="F1761">
        <v>5265</v>
      </c>
      <c r="G1761" t="s">
        <v>1746</v>
      </c>
      <c r="H1761" t="s">
        <v>1747</v>
      </c>
      <c r="I1761" t="b">
        <v>0</v>
      </c>
      <c r="J1761" t="s">
        <v>1748</v>
      </c>
      <c r="K1761" t="s">
        <v>1800</v>
      </c>
      <c r="L1761" t="s">
        <v>1766</v>
      </c>
      <c r="M1761">
        <v>73</v>
      </c>
      <c r="N1761" t="b">
        <v>0</v>
      </c>
      <c r="P1761" t="s">
        <v>1752</v>
      </c>
      <c r="Q1761" t="s">
        <v>1753</v>
      </c>
      <c r="R1761" t="s">
        <v>1759</v>
      </c>
    </row>
    <row r="1762" spans="1:18" x14ac:dyDescent="0.25">
      <c r="A1762" t="s">
        <v>4425</v>
      </c>
      <c r="B1762" t="s">
        <v>2011</v>
      </c>
      <c r="C1762" t="s">
        <v>4</v>
      </c>
      <c r="D1762" t="s">
        <v>4424</v>
      </c>
      <c r="E1762" s="2">
        <v>45309</v>
      </c>
      <c r="F1762">
        <v>302</v>
      </c>
      <c r="G1762" t="s">
        <v>1746</v>
      </c>
      <c r="H1762" t="s">
        <v>1798</v>
      </c>
      <c r="I1762" t="b">
        <v>0</v>
      </c>
      <c r="J1762" t="s">
        <v>1748</v>
      </c>
      <c r="K1762" t="s">
        <v>1934</v>
      </c>
      <c r="L1762" t="s">
        <v>1750</v>
      </c>
      <c r="M1762">
        <v>73</v>
      </c>
      <c r="N1762" t="b">
        <v>1</v>
      </c>
      <c r="P1762" t="s">
        <v>1752</v>
      </c>
      <c r="Q1762" t="s">
        <v>1753</v>
      </c>
      <c r="R1762" t="s">
        <v>1828</v>
      </c>
    </row>
    <row r="1763" spans="1:18" x14ac:dyDescent="0.25">
      <c r="A1763" t="s">
        <v>4426</v>
      </c>
      <c r="B1763" t="s">
        <v>1998</v>
      </c>
      <c r="C1763" t="s">
        <v>4</v>
      </c>
      <c r="D1763" t="s">
        <v>386</v>
      </c>
      <c r="E1763" s="2">
        <v>40163</v>
      </c>
      <c r="F1763">
        <v>5448</v>
      </c>
      <c r="G1763" t="s">
        <v>1746</v>
      </c>
      <c r="H1763" t="s">
        <v>1747</v>
      </c>
      <c r="I1763" t="b">
        <v>0</v>
      </c>
      <c r="J1763" t="s">
        <v>1748</v>
      </c>
      <c r="K1763" t="s">
        <v>1934</v>
      </c>
      <c r="L1763" t="s">
        <v>1766</v>
      </c>
      <c r="M1763">
        <v>73</v>
      </c>
      <c r="N1763" t="b">
        <v>0</v>
      </c>
      <c r="P1763" t="s">
        <v>1752</v>
      </c>
      <c r="Q1763" t="s">
        <v>1753</v>
      </c>
    </row>
    <row r="1764" spans="1:18" x14ac:dyDescent="0.25">
      <c r="A1764" t="s">
        <v>4427</v>
      </c>
      <c r="B1764" t="s">
        <v>2106</v>
      </c>
      <c r="C1764" t="s">
        <v>6</v>
      </c>
      <c r="D1764" t="s">
        <v>949</v>
      </c>
      <c r="E1764" s="2">
        <v>38954</v>
      </c>
      <c r="F1764">
        <v>6657</v>
      </c>
      <c r="G1764" t="s">
        <v>1746</v>
      </c>
      <c r="H1764" t="s">
        <v>1798</v>
      </c>
      <c r="I1764" t="b">
        <v>0</v>
      </c>
      <c r="J1764" t="s">
        <v>1748</v>
      </c>
      <c r="K1764" t="s">
        <v>1853</v>
      </c>
      <c r="L1764" t="s">
        <v>1766</v>
      </c>
      <c r="M1764">
        <v>73</v>
      </c>
      <c r="N1764" t="b">
        <v>0</v>
      </c>
      <c r="P1764" t="s">
        <v>1752</v>
      </c>
      <c r="Q1764" t="s">
        <v>1753</v>
      </c>
      <c r="R1764" t="s">
        <v>1828</v>
      </c>
    </row>
    <row r="1765" spans="1:18" x14ac:dyDescent="0.25">
      <c r="A1765" t="s">
        <v>4429</v>
      </c>
      <c r="B1765" t="s">
        <v>2011</v>
      </c>
      <c r="C1765" t="s">
        <v>6</v>
      </c>
      <c r="D1765" t="s">
        <v>4428</v>
      </c>
      <c r="E1765" s="2">
        <v>45238</v>
      </c>
      <c r="F1765">
        <v>373</v>
      </c>
      <c r="G1765" t="s">
        <v>1746</v>
      </c>
      <c r="H1765" t="s">
        <v>1798</v>
      </c>
      <c r="I1765" t="b">
        <v>0</v>
      </c>
      <c r="J1765" t="s">
        <v>1761</v>
      </c>
      <c r="K1765" t="s">
        <v>1774</v>
      </c>
      <c r="L1765" t="s">
        <v>1756</v>
      </c>
      <c r="M1765">
        <v>73</v>
      </c>
      <c r="N1765" t="b">
        <v>1</v>
      </c>
      <c r="O1765">
        <v>374</v>
      </c>
      <c r="P1765" t="s">
        <v>1819</v>
      </c>
      <c r="Q1765" t="s">
        <v>1753</v>
      </c>
      <c r="R1765" t="s">
        <v>1759</v>
      </c>
    </row>
    <row r="1766" spans="1:18" x14ac:dyDescent="0.25">
      <c r="A1766" t="s">
        <v>4430</v>
      </c>
      <c r="B1766" t="s">
        <v>1810</v>
      </c>
      <c r="C1766" t="s">
        <v>4</v>
      </c>
      <c r="D1766" t="s">
        <v>1256</v>
      </c>
      <c r="E1766" s="2">
        <v>42832</v>
      </c>
      <c r="F1766">
        <v>2779</v>
      </c>
      <c r="G1766" t="s">
        <v>1746</v>
      </c>
      <c r="H1766" t="s">
        <v>1747</v>
      </c>
      <c r="I1766" t="b">
        <v>0</v>
      </c>
      <c r="J1766" t="s">
        <v>1748</v>
      </c>
      <c r="K1766" t="s">
        <v>1853</v>
      </c>
      <c r="L1766" t="s">
        <v>1817</v>
      </c>
      <c r="M1766">
        <v>73</v>
      </c>
      <c r="N1766" t="b">
        <v>0</v>
      </c>
      <c r="O1766">
        <v>380</v>
      </c>
      <c r="P1766" t="s">
        <v>1819</v>
      </c>
      <c r="Q1766" t="s">
        <v>1753</v>
      </c>
      <c r="R1766" t="s">
        <v>1772</v>
      </c>
    </row>
    <row r="1767" spans="1:18" x14ac:dyDescent="0.25">
      <c r="A1767" t="s">
        <v>4432</v>
      </c>
      <c r="B1767" t="s">
        <v>2060</v>
      </c>
      <c r="C1767" t="s">
        <v>6</v>
      </c>
      <c r="D1767" t="s">
        <v>4431</v>
      </c>
      <c r="E1767" s="2">
        <v>39255</v>
      </c>
      <c r="F1767">
        <v>6356</v>
      </c>
      <c r="G1767" t="s">
        <v>1746</v>
      </c>
      <c r="H1767" t="s">
        <v>1747</v>
      </c>
      <c r="I1767" t="b">
        <v>0</v>
      </c>
      <c r="J1767" t="s">
        <v>1748</v>
      </c>
      <c r="K1767" t="s">
        <v>2021</v>
      </c>
      <c r="L1767" t="s">
        <v>1766</v>
      </c>
      <c r="M1767">
        <v>73</v>
      </c>
      <c r="N1767" t="b">
        <v>1</v>
      </c>
      <c r="P1767" t="s">
        <v>1752</v>
      </c>
      <c r="Q1767" t="s">
        <v>1753</v>
      </c>
      <c r="R1767" t="s">
        <v>3200</v>
      </c>
    </row>
    <row r="1768" spans="1:18" x14ac:dyDescent="0.25">
      <c r="A1768" t="s">
        <v>4434</v>
      </c>
      <c r="B1768" t="s">
        <v>2173</v>
      </c>
      <c r="C1768" t="s">
        <v>4</v>
      </c>
      <c r="D1768" t="s">
        <v>4433</v>
      </c>
      <c r="E1768" s="2">
        <v>40639</v>
      </c>
      <c r="F1768">
        <v>4972</v>
      </c>
      <c r="G1768" t="s">
        <v>1746</v>
      </c>
      <c r="H1768" t="s">
        <v>2231</v>
      </c>
      <c r="I1768" t="b">
        <v>0</v>
      </c>
      <c r="J1768" t="s">
        <v>1748</v>
      </c>
      <c r="K1768" t="s">
        <v>1809</v>
      </c>
      <c r="L1768" t="s">
        <v>2102</v>
      </c>
      <c r="M1768">
        <v>73</v>
      </c>
      <c r="N1768" t="b">
        <v>0</v>
      </c>
      <c r="P1768" t="s">
        <v>2070</v>
      </c>
      <c r="Q1768" t="s">
        <v>1753</v>
      </c>
    </row>
    <row r="1769" spans="1:18" x14ac:dyDescent="0.25">
      <c r="A1769" t="s">
        <v>4436</v>
      </c>
      <c r="B1769" t="s">
        <v>1907</v>
      </c>
      <c r="C1769" t="s">
        <v>4</v>
      </c>
      <c r="D1769" t="s">
        <v>4435</v>
      </c>
      <c r="E1769" s="2">
        <v>44371</v>
      </c>
      <c r="F1769">
        <v>1240</v>
      </c>
      <c r="G1769" t="s">
        <v>1746</v>
      </c>
      <c r="H1769" t="s">
        <v>1798</v>
      </c>
      <c r="I1769" t="b">
        <v>0</v>
      </c>
      <c r="J1769" t="s">
        <v>1748</v>
      </c>
      <c r="K1769" t="s">
        <v>1776</v>
      </c>
      <c r="L1769" t="s">
        <v>1756</v>
      </c>
      <c r="M1769">
        <v>72</v>
      </c>
      <c r="N1769" t="b">
        <v>1</v>
      </c>
      <c r="O1769">
        <v>263</v>
      </c>
      <c r="P1769" t="s">
        <v>1819</v>
      </c>
      <c r="Q1769" t="s">
        <v>1753</v>
      </c>
      <c r="R1769" t="s">
        <v>1759</v>
      </c>
    </row>
    <row r="1770" spans="1:18" x14ac:dyDescent="0.25">
      <c r="A1770" t="s">
        <v>4438</v>
      </c>
      <c r="B1770" t="s">
        <v>2150</v>
      </c>
      <c r="C1770" t="s">
        <v>4</v>
      </c>
      <c r="D1770" t="s">
        <v>4437</v>
      </c>
      <c r="E1770" s="2">
        <v>45103</v>
      </c>
      <c r="F1770">
        <v>508</v>
      </c>
      <c r="G1770" t="s">
        <v>1746</v>
      </c>
      <c r="H1770" t="s">
        <v>1805</v>
      </c>
      <c r="I1770" t="b">
        <v>1</v>
      </c>
      <c r="J1770" t="s">
        <v>1761</v>
      </c>
      <c r="K1770" t="s">
        <v>1755</v>
      </c>
      <c r="L1770" t="s">
        <v>1817</v>
      </c>
      <c r="M1770">
        <v>72</v>
      </c>
      <c r="N1770" t="b">
        <v>0</v>
      </c>
      <c r="O1770">
        <v>2420</v>
      </c>
      <c r="P1770" t="s">
        <v>1752</v>
      </c>
      <c r="Q1770" t="s">
        <v>1753</v>
      </c>
      <c r="R1770" t="s">
        <v>1759</v>
      </c>
    </row>
    <row r="1771" spans="1:18" x14ac:dyDescent="0.25">
      <c r="A1771" t="s">
        <v>4440</v>
      </c>
      <c r="B1771" t="s">
        <v>1803</v>
      </c>
      <c r="C1771" t="s">
        <v>572</v>
      </c>
      <c r="D1771" t="s">
        <v>4439</v>
      </c>
      <c r="E1771" s="2">
        <v>37445</v>
      </c>
      <c r="F1771">
        <v>8166</v>
      </c>
      <c r="G1771" t="s">
        <v>1746</v>
      </c>
      <c r="H1771" t="s">
        <v>1798</v>
      </c>
      <c r="I1771" t="b">
        <v>0</v>
      </c>
      <c r="J1771" t="s">
        <v>1761</v>
      </c>
      <c r="K1771" t="s">
        <v>1912</v>
      </c>
      <c r="L1771" t="s">
        <v>1750</v>
      </c>
      <c r="M1771">
        <v>72</v>
      </c>
      <c r="N1771" t="b">
        <v>0</v>
      </c>
      <c r="O1771">
        <v>12</v>
      </c>
      <c r="P1771" t="s">
        <v>1752</v>
      </c>
      <c r="Q1771" t="s">
        <v>1753</v>
      </c>
      <c r="R1771" t="s">
        <v>1828</v>
      </c>
    </row>
    <row r="1772" spans="1:18" x14ac:dyDescent="0.25">
      <c r="A1772" t="s">
        <v>4442</v>
      </c>
      <c r="B1772" t="s">
        <v>1803</v>
      </c>
      <c r="C1772" t="s">
        <v>6</v>
      </c>
      <c r="D1772" t="s">
        <v>4441</v>
      </c>
      <c r="E1772" s="2">
        <v>40805</v>
      </c>
      <c r="F1772">
        <v>4806</v>
      </c>
      <c r="G1772" t="s">
        <v>1746</v>
      </c>
      <c r="H1772" t="s">
        <v>1747</v>
      </c>
      <c r="I1772" t="b">
        <v>1</v>
      </c>
      <c r="J1772" t="s">
        <v>1748</v>
      </c>
      <c r="K1772" t="s">
        <v>1868</v>
      </c>
      <c r="L1772" t="s">
        <v>1750</v>
      </c>
      <c r="M1772">
        <v>72</v>
      </c>
      <c r="N1772" t="b">
        <v>0</v>
      </c>
      <c r="O1772">
        <v>66</v>
      </c>
      <c r="P1772" t="s">
        <v>1752</v>
      </c>
      <c r="Q1772" t="s">
        <v>1753</v>
      </c>
    </row>
    <row r="1773" spans="1:18" x14ac:dyDescent="0.25">
      <c r="A1773" t="s">
        <v>4443</v>
      </c>
      <c r="B1773" t="s">
        <v>2353</v>
      </c>
      <c r="C1773" t="s">
        <v>4</v>
      </c>
      <c r="D1773" t="s">
        <v>1615</v>
      </c>
      <c r="E1773" s="2">
        <v>44659</v>
      </c>
      <c r="F1773">
        <v>952</v>
      </c>
      <c r="G1773" t="s">
        <v>1746</v>
      </c>
      <c r="H1773" t="s">
        <v>1798</v>
      </c>
      <c r="I1773" t="b">
        <v>0</v>
      </c>
      <c r="J1773" t="s">
        <v>1748</v>
      </c>
      <c r="K1773" t="s">
        <v>1755</v>
      </c>
      <c r="L1773" t="s">
        <v>1750</v>
      </c>
      <c r="M1773">
        <v>72</v>
      </c>
      <c r="N1773" t="b">
        <v>1</v>
      </c>
      <c r="O1773">
        <v>271</v>
      </c>
      <c r="P1773" t="s">
        <v>1752</v>
      </c>
      <c r="Q1773" t="s">
        <v>1753</v>
      </c>
    </row>
    <row r="1774" spans="1:18" x14ac:dyDescent="0.25">
      <c r="A1774" t="s">
        <v>4445</v>
      </c>
      <c r="B1774" t="s">
        <v>2857</v>
      </c>
      <c r="C1774" t="s">
        <v>4</v>
      </c>
      <c r="D1774" t="s">
        <v>4444</v>
      </c>
      <c r="E1774" s="2">
        <v>44251</v>
      </c>
      <c r="F1774">
        <v>1360</v>
      </c>
      <c r="G1774" t="s">
        <v>1746</v>
      </c>
      <c r="H1774" t="s">
        <v>1798</v>
      </c>
      <c r="I1774" t="b">
        <v>0</v>
      </c>
      <c r="J1774" t="s">
        <v>1748</v>
      </c>
      <c r="K1774" t="s">
        <v>1880</v>
      </c>
      <c r="L1774" t="s">
        <v>1756</v>
      </c>
      <c r="M1774">
        <v>72</v>
      </c>
      <c r="N1774" t="b">
        <v>1</v>
      </c>
      <c r="O1774">
        <v>219</v>
      </c>
      <c r="P1774" t="s">
        <v>1752</v>
      </c>
      <c r="Q1774" t="s">
        <v>1753</v>
      </c>
      <c r="R1774" t="s">
        <v>1759</v>
      </c>
    </row>
    <row r="1775" spans="1:18" x14ac:dyDescent="0.25">
      <c r="A1775" t="s">
        <v>4447</v>
      </c>
      <c r="B1775" t="s">
        <v>2173</v>
      </c>
      <c r="C1775" t="s">
        <v>4</v>
      </c>
      <c r="D1775" t="s">
        <v>4446</v>
      </c>
      <c r="E1775" s="2">
        <v>45036</v>
      </c>
      <c r="F1775">
        <v>575</v>
      </c>
      <c r="G1775" t="s">
        <v>1746</v>
      </c>
      <c r="H1775" t="s">
        <v>3505</v>
      </c>
      <c r="I1775" t="b">
        <v>0</v>
      </c>
      <c r="J1775" t="s">
        <v>1748</v>
      </c>
      <c r="K1775" t="s">
        <v>1857</v>
      </c>
      <c r="L1775" t="s">
        <v>1750</v>
      </c>
      <c r="M1775">
        <v>72</v>
      </c>
      <c r="N1775" t="b">
        <v>1</v>
      </c>
      <c r="O1775">
        <v>49</v>
      </c>
      <c r="P1775" t="s">
        <v>1752</v>
      </c>
      <c r="Q1775" t="s">
        <v>1753</v>
      </c>
    </row>
    <row r="1776" spans="1:18" x14ac:dyDescent="0.25">
      <c r="A1776" t="s">
        <v>4449</v>
      </c>
      <c r="B1776" t="s">
        <v>1907</v>
      </c>
      <c r="C1776" t="s">
        <v>6</v>
      </c>
      <c r="D1776" t="s">
        <v>4448</v>
      </c>
      <c r="E1776" s="2">
        <v>44014</v>
      </c>
      <c r="F1776">
        <v>1597</v>
      </c>
      <c r="G1776" t="s">
        <v>1746</v>
      </c>
      <c r="H1776" t="s">
        <v>1798</v>
      </c>
      <c r="I1776" t="b">
        <v>0</v>
      </c>
      <c r="J1776" t="s">
        <v>1761</v>
      </c>
      <c r="K1776" t="s">
        <v>1853</v>
      </c>
      <c r="L1776" t="s">
        <v>1766</v>
      </c>
      <c r="M1776">
        <v>72</v>
      </c>
      <c r="N1776" t="b">
        <v>0</v>
      </c>
      <c r="P1776" t="s">
        <v>1752</v>
      </c>
      <c r="Q1776" t="s">
        <v>1753</v>
      </c>
      <c r="R1776" t="s">
        <v>1828</v>
      </c>
    </row>
    <row r="1777" spans="1:18" x14ac:dyDescent="0.25">
      <c r="A1777" t="s">
        <v>4451</v>
      </c>
      <c r="B1777" t="s">
        <v>2177</v>
      </c>
      <c r="C1777" t="s">
        <v>4</v>
      </c>
      <c r="D1777" t="s">
        <v>4450</v>
      </c>
      <c r="E1777" s="2">
        <v>43441</v>
      </c>
      <c r="F1777">
        <v>2170</v>
      </c>
      <c r="G1777" t="s">
        <v>1746</v>
      </c>
      <c r="H1777" t="s">
        <v>1747</v>
      </c>
      <c r="I1777" t="b">
        <v>1</v>
      </c>
      <c r="J1777" t="s">
        <v>1748</v>
      </c>
      <c r="K1777" t="s">
        <v>1868</v>
      </c>
      <c r="L1777" t="s">
        <v>1750</v>
      </c>
      <c r="M1777">
        <v>72</v>
      </c>
      <c r="N1777" t="b">
        <v>0</v>
      </c>
      <c r="O1777">
        <v>252</v>
      </c>
      <c r="P1777" t="s">
        <v>1752</v>
      </c>
      <c r="Q1777" t="s">
        <v>1753</v>
      </c>
    </row>
    <row r="1778" spans="1:18" x14ac:dyDescent="0.25">
      <c r="A1778" t="s">
        <v>4452</v>
      </c>
      <c r="B1778" t="s">
        <v>1876</v>
      </c>
      <c r="C1778" t="s">
        <v>4</v>
      </c>
      <c r="D1778" t="s">
        <v>435</v>
      </c>
      <c r="E1778" s="2">
        <v>41409</v>
      </c>
      <c r="F1778">
        <v>4202</v>
      </c>
      <c r="G1778" t="s">
        <v>1746</v>
      </c>
      <c r="H1778" t="s">
        <v>1747</v>
      </c>
      <c r="I1778" t="b">
        <v>0</v>
      </c>
      <c r="J1778" t="s">
        <v>1748</v>
      </c>
      <c r="K1778" t="s">
        <v>1868</v>
      </c>
      <c r="L1778" t="s">
        <v>1766</v>
      </c>
      <c r="M1778">
        <v>72</v>
      </c>
      <c r="N1778" t="b">
        <v>0</v>
      </c>
      <c r="P1778" t="s">
        <v>1752</v>
      </c>
      <c r="Q1778" t="s">
        <v>1753</v>
      </c>
    </row>
    <row r="1779" spans="1:18" x14ac:dyDescent="0.25">
      <c r="A1779" t="s">
        <v>4453</v>
      </c>
      <c r="B1779" t="s">
        <v>1810</v>
      </c>
      <c r="C1779" t="s">
        <v>4</v>
      </c>
      <c r="D1779" t="s">
        <v>259</v>
      </c>
      <c r="E1779" s="2">
        <v>42984</v>
      </c>
      <c r="F1779">
        <v>2627</v>
      </c>
      <c r="G1779" t="s">
        <v>1746</v>
      </c>
      <c r="H1779" t="s">
        <v>1798</v>
      </c>
      <c r="I1779" t="b">
        <v>0</v>
      </c>
      <c r="J1779" t="s">
        <v>1761</v>
      </c>
      <c r="K1779" t="s">
        <v>1776</v>
      </c>
      <c r="L1779" t="s">
        <v>1750</v>
      </c>
      <c r="M1779">
        <v>72</v>
      </c>
      <c r="N1779" t="b">
        <v>0</v>
      </c>
      <c r="O1779">
        <v>50</v>
      </c>
      <c r="P1779" t="s">
        <v>1752</v>
      </c>
      <c r="Q1779" t="s">
        <v>1753</v>
      </c>
      <c r="R1779" t="s">
        <v>1828</v>
      </c>
    </row>
    <row r="1780" spans="1:18" x14ac:dyDescent="0.25">
      <c r="A1780" t="s">
        <v>4455</v>
      </c>
      <c r="B1780" t="s">
        <v>2082</v>
      </c>
      <c r="C1780" t="s">
        <v>6</v>
      </c>
      <c r="D1780" t="s">
        <v>4454</v>
      </c>
      <c r="E1780" s="2">
        <v>45267</v>
      </c>
      <c r="F1780">
        <v>344</v>
      </c>
      <c r="G1780" t="s">
        <v>1746</v>
      </c>
      <c r="H1780" t="s">
        <v>1798</v>
      </c>
      <c r="I1780" t="b">
        <v>1</v>
      </c>
      <c r="J1780" t="s">
        <v>1761</v>
      </c>
      <c r="K1780" t="s">
        <v>1776</v>
      </c>
      <c r="L1780" t="s">
        <v>1750</v>
      </c>
      <c r="M1780">
        <v>71</v>
      </c>
      <c r="N1780" t="b">
        <v>0</v>
      </c>
      <c r="O1780">
        <v>15</v>
      </c>
      <c r="P1780" t="s">
        <v>1752</v>
      </c>
      <c r="Q1780" t="s">
        <v>1753</v>
      </c>
    </row>
    <row r="1781" spans="1:18" x14ac:dyDescent="0.25">
      <c r="A1781" t="s">
        <v>4457</v>
      </c>
      <c r="B1781" t="s">
        <v>2177</v>
      </c>
      <c r="C1781" t="s">
        <v>6</v>
      </c>
      <c r="D1781" t="s">
        <v>4456</v>
      </c>
      <c r="E1781" s="2">
        <v>42277</v>
      </c>
      <c r="F1781">
        <v>3334</v>
      </c>
      <c r="G1781" t="s">
        <v>1746</v>
      </c>
      <c r="H1781" t="s">
        <v>1805</v>
      </c>
      <c r="I1781" t="b">
        <v>0</v>
      </c>
      <c r="J1781" t="s">
        <v>1761</v>
      </c>
      <c r="K1781" t="s">
        <v>1826</v>
      </c>
      <c r="L1781" t="s">
        <v>1817</v>
      </c>
      <c r="M1781">
        <v>71</v>
      </c>
      <c r="N1781" t="b">
        <v>1</v>
      </c>
      <c r="O1781">
        <v>448</v>
      </c>
      <c r="P1781" t="s">
        <v>1819</v>
      </c>
      <c r="Q1781" t="s">
        <v>1753</v>
      </c>
    </row>
    <row r="1782" spans="1:18" x14ac:dyDescent="0.25">
      <c r="A1782" t="s">
        <v>4458</v>
      </c>
      <c r="B1782" t="s">
        <v>2384</v>
      </c>
      <c r="C1782" t="s">
        <v>6</v>
      </c>
      <c r="D1782" t="s">
        <v>111</v>
      </c>
      <c r="E1782" s="2">
        <v>43739</v>
      </c>
      <c r="F1782">
        <v>1872</v>
      </c>
      <c r="G1782" t="s">
        <v>1746</v>
      </c>
      <c r="H1782" t="s">
        <v>1798</v>
      </c>
      <c r="I1782" t="b">
        <v>0</v>
      </c>
      <c r="J1782" t="s">
        <v>1748</v>
      </c>
      <c r="K1782" t="s">
        <v>1880</v>
      </c>
      <c r="L1782" t="s">
        <v>1750</v>
      </c>
      <c r="M1782">
        <v>71</v>
      </c>
      <c r="N1782" t="b">
        <v>1</v>
      </c>
      <c r="O1782">
        <v>141</v>
      </c>
      <c r="P1782" t="s">
        <v>1752</v>
      </c>
      <c r="Q1782" t="s">
        <v>1753</v>
      </c>
      <c r="R1782" t="s">
        <v>1759</v>
      </c>
    </row>
    <row r="1783" spans="1:18" x14ac:dyDescent="0.25">
      <c r="A1783" t="s">
        <v>4459</v>
      </c>
      <c r="B1783" t="s">
        <v>1781</v>
      </c>
      <c r="C1783" t="s">
        <v>186</v>
      </c>
      <c r="D1783" t="s">
        <v>1368</v>
      </c>
      <c r="E1783" s="2">
        <v>38987</v>
      </c>
      <c r="F1783">
        <v>6624</v>
      </c>
      <c r="G1783" t="s">
        <v>1746</v>
      </c>
      <c r="H1783" t="s">
        <v>1747</v>
      </c>
      <c r="I1783" t="b">
        <v>0</v>
      </c>
      <c r="J1783" t="s">
        <v>1748</v>
      </c>
      <c r="K1783" t="s">
        <v>1830</v>
      </c>
      <c r="L1783" t="s">
        <v>2102</v>
      </c>
      <c r="M1783">
        <v>71</v>
      </c>
      <c r="N1783" t="b">
        <v>0</v>
      </c>
      <c r="P1783" t="s">
        <v>2070</v>
      </c>
      <c r="Q1783" t="s">
        <v>1779</v>
      </c>
    </row>
    <row r="1784" spans="1:18" x14ac:dyDescent="0.25">
      <c r="A1784" t="s">
        <v>4461</v>
      </c>
      <c r="B1784" t="s">
        <v>2620</v>
      </c>
      <c r="C1784" t="s">
        <v>4</v>
      </c>
      <c r="D1784" t="s">
        <v>4460</v>
      </c>
      <c r="E1784" s="2">
        <v>43734</v>
      </c>
      <c r="F1784">
        <v>1877</v>
      </c>
      <c r="G1784" t="s">
        <v>1746</v>
      </c>
      <c r="H1784" t="s">
        <v>1798</v>
      </c>
      <c r="I1784" t="b">
        <v>1</v>
      </c>
      <c r="J1784" t="s">
        <v>1748</v>
      </c>
      <c r="K1784" t="s">
        <v>1825</v>
      </c>
      <c r="L1784" t="s">
        <v>1756</v>
      </c>
      <c r="M1784">
        <v>71</v>
      </c>
      <c r="N1784" t="b">
        <v>0</v>
      </c>
      <c r="O1784">
        <v>1059</v>
      </c>
      <c r="P1784" t="s">
        <v>1752</v>
      </c>
      <c r="Q1784" t="s">
        <v>1753</v>
      </c>
    </row>
    <row r="1785" spans="1:18" x14ac:dyDescent="0.25">
      <c r="A1785" t="s">
        <v>4463</v>
      </c>
      <c r="B1785" t="s">
        <v>2611</v>
      </c>
      <c r="C1785" t="s">
        <v>4</v>
      </c>
      <c r="D1785" t="s">
        <v>4462</v>
      </c>
      <c r="E1785" s="2">
        <v>45407</v>
      </c>
      <c r="F1785">
        <v>204</v>
      </c>
      <c r="G1785" t="s">
        <v>1746</v>
      </c>
      <c r="H1785" t="s">
        <v>1747</v>
      </c>
      <c r="I1785" t="b">
        <v>0</v>
      </c>
      <c r="J1785" t="s">
        <v>1748</v>
      </c>
      <c r="K1785" t="s">
        <v>1853</v>
      </c>
      <c r="L1785" t="s">
        <v>1766</v>
      </c>
      <c r="M1785">
        <v>71</v>
      </c>
      <c r="N1785" t="b">
        <v>0</v>
      </c>
      <c r="P1785" t="s">
        <v>2070</v>
      </c>
      <c r="Q1785" t="s">
        <v>1753</v>
      </c>
    </row>
    <row r="1786" spans="1:18" x14ac:dyDescent="0.25">
      <c r="A1786" t="s">
        <v>4465</v>
      </c>
      <c r="B1786" t="s">
        <v>3294</v>
      </c>
      <c r="C1786" t="s">
        <v>4</v>
      </c>
      <c r="D1786" t="s">
        <v>4464</v>
      </c>
      <c r="E1786" s="2">
        <v>45230</v>
      </c>
      <c r="F1786">
        <v>381</v>
      </c>
      <c r="G1786" t="s">
        <v>1833</v>
      </c>
      <c r="H1786" t="s">
        <v>1798</v>
      </c>
      <c r="I1786" t="b">
        <v>0</v>
      </c>
      <c r="J1786" t="s">
        <v>1748</v>
      </c>
      <c r="K1786" t="s">
        <v>1770</v>
      </c>
      <c r="L1786" t="s">
        <v>1750</v>
      </c>
      <c r="M1786">
        <v>71</v>
      </c>
      <c r="N1786" t="b">
        <v>1</v>
      </c>
      <c r="P1786" t="s">
        <v>1819</v>
      </c>
      <c r="Q1786" t="s">
        <v>1753</v>
      </c>
      <c r="R1786" t="s">
        <v>1828</v>
      </c>
    </row>
    <row r="1787" spans="1:18" x14ac:dyDescent="0.25">
      <c r="A1787" t="s">
        <v>4467</v>
      </c>
      <c r="B1787" t="s">
        <v>1785</v>
      </c>
      <c r="C1787" t="s">
        <v>6</v>
      </c>
      <c r="D1787" t="s">
        <v>4466</v>
      </c>
      <c r="E1787" s="2">
        <v>39238</v>
      </c>
      <c r="F1787">
        <v>6373</v>
      </c>
      <c r="G1787" t="s">
        <v>1746</v>
      </c>
      <c r="H1787" t="s">
        <v>1805</v>
      </c>
      <c r="I1787" t="b">
        <v>1</v>
      </c>
      <c r="J1787" t="s">
        <v>1761</v>
      </c>
      <c r="K1787" t="s">
        <v>1863</v>
      </c>
      <c r="L1787" t="s">
        <v>1750</v>
      </c>
      <c r="M1787">
        <v>71</v>
      </c>
      <c r="N1787" t="b">
        <v>0</v>
      </c>
      <c r="O1787">
        <v>100</v>
      </c>
      <c r="P1787" t="s">
        <v>1752</v>
      </c>
      <c r="Q1787" t="s">
        <v>1753</v>
      </c>
    </row>
    <row r="1788" spans="1:18" x14ac:dyDescent="0.25">
      <c r="A1788" t="s">
        <v>4468</v>
      </c>
      <c r="B1788" t="s">
        <v>2220</v>
      </c>
      <c r="C1788" t="s">
        <v>6</v>
      </c>
      <c r="D1788" t="s">
        <v>1160</v>
      </c>
      <c r="E1788" s="2">
        <v>42643</v>
      </c>
      <c r="F1788">
        <v>2968</v>
      </c>
      <c r="G1788" t="s">
        <v>1746</v>
      </c>
      <c r="H1788" t="s">
        <v>1747</v>
      </c>
      <c r="I1788" t="b">
        <v>0</v>
      </c>
      <c r="J1788" t="s">
        <v>1761</v>
      </c>
      <c r="K1788" t="s">
        <v>1822</v>
      </c>
      <c r="L1788" t="s">
        <v>1750</v>
      </c>
      <c r="M1788">
        <v>71</v>
      </c>
      <c r="N1788" t="b">
        <v>0</v>
      </c>
      <c r="O1788">
        <v>34</v>
      </c>
      <c r="P1788" t="s">
        <v>1819</v>
      </c>
      <c r="Q1788" t="s">
        <v>1753</v>
      </c>
    </row>
    <row r="1789" spans="1:18" x14ac:dyDescent="0.25">
      <c r="A1789" t="s">
        <v>4470</v>
      </c>
      <c r="B1789" t="s">
        <v>2157</v>
      </c>
      <c r="C1789" t="s">
        <v>6</v>
      </c>
      <c r="D1789" t="s">
        <v>4469</v>
      </c>
      <c r="E1789" s="2">
        <v>45349</v>
      </c>
      <c r="F1789">
        <v>262</v>
      </c>
      <c r="G1789" t="s">
        <v>1746</v>
      </c>
      <c r="H1789" t="s">
        <v>1798</v>
      </c>
      <c r="I1789" t="b">
        <v>0</v>
      </c>
      <c r="J1789" t="s">
        <v>1748</v>
      </c>
      <c r="K1789" t="s">
        <v>1824</v>
      </c>
      <c r="L1789" t="s">
        <v>1750</v>
      </c>
      <c r="M1789">
        <v>70</v>
      </c>
      <c r="N1789" t="b">
        <v>1</v>
      </c>
      <c r="O1789">
        <v>148</v>
      </c>
      <c r="P1789" t="s">
        <v>1819</v>
      </c>
      <c r="Q1789" t="s">
        <v>1753</v>
      </c>
      <c r="R1789" t="s">
        <v>1828</v>
      </c>
    </row>
    <row r="1790" spans="1:18" x14ac:dyDescent="0.25">
      <c r="A1790" t="s">
        <v>4471</v>
      </c>
      <c r="B1790" t="s">
        <v>1876</v>
      </c>
      <c r="C1790" t="s">
        <v>4</v>
      </c>
      <c r="D1790" t="s">
        <v>1258</v>
      </c>
      <c r="E1790" s="2">
        <v>44019</v>
      </c>
      <c r="F1790">
        <v>1592</v>
      </c>
      <c r="G1790" t="s">
        <v>1746</v>
      </c>
      <c r="H1790" t="s">
        <v>1747</v>
      </c>
      <c r="I1790" t="b">
        <v>0</v>
      </c>
      <c r="J1790" t="s">
        <v>1748</v>
      </c>
      <c r="K1790" t="s">
        <v>1901</v>
      </c>
      <c r="L1790" t="s">
        <v>1750</v>
      </c>
      <c r="M1790">
        <v>70</v>
      </c>
      <c r="N1790" t="b">
        <v>0</v>
      </c>
      <c r="O1790">
        <v>74</v>
      </c>
      <c r="P1790" t="s">
        <v>1752</v>
      </c>
      <c r="Q1790" t="s">
        <v>1753</v>
      </c>
      <c r="R1790" t="s">
        <v>1759</v>
      </c>
    </row>
    <row r="1791" spans="1:18" x14ac:dyDescent="0.25">
      <c r="A1791" t="s">
        <v>4473</v>
      </c>
      <c r="B1791" t="s">
        <v>2589</v>
      </c>
      <c r="C1791" t="s">
        <v>4</v>
      </c>
      <c r="D1791" t="s">
        <v>4472</v>
      </c>
      <c r="E1791" s="2">
        <v>42489</v>
      </c>
      <c r="F1791">
        <v>3122</v>
      </c>
      <c r="G1791" t="s">
        <v>1746</v>
      </c>
      <c r="H1791" t="s">
        <v>1747</v>
      </c>
      <c r="I1791" t="b">
        <v>1</v>
      </c>
      <c r="J1791" t="s">
        <v>1748</v>
      </c>
      <c r="K1791" t="s">
        <v>1853</v>
      </c>
      <c r="L1791" t="s">
        <v>1750</v>
      </c>
      <c r="M1791">
        <v>70</v>
      </c>
      <c r="N1791" t="b">
        <v>0</v>
      </c>
      <c r="O1791">
        <v>73</v>
      </c>
      <c r="P1791" t="s">
        <v>1752</v>
      </c>
      <c r="Q1791" t="s">
        <v>1753</v>
      </c>
      <c r="R1791" t="s">
        <v>1759</v>
      </c>
    </row>
    <row r="1792" spans="1:18" x14ac:dyDescent="0.25">
      <c r="A1792" t="s">
        <v>4475</v>
      </c>
      <c r="B1792" t="s">
        <v>1704</v>
      </c>
      <c r="C1792" t="s">
        <v>572</v>
      </c>
      <c r="D1792" t="s">
        <v>4474</v>
      </c>
      <c r="E1792" s="2">
        <v>45338</v>
      </c>
      <c r="F1792">
        <v>273</v>
      </c>
      <c r="G1792" t="s">
        <v>1746</v>
      </c>
      <c r="H1792" t="s">
        <v>1747</v>
      </c>
      <c r="I1792" t="b">
        <v>0</v>
      </c>
      <c r="J1792" t="s">
        <v>1748</v>
      </c>
      <c r="K1792" t="s">
        <v>1757</v>
      </c>
      <c r="L1792" t="s">
        <v>1775</v>
      </c>
      <c r="M1792">
        <v>70</v>
      </c>
      <c r="N1792" t="b">
        <v>0</v>
      </c>
      <c r="P1792" t="s">
        <v>2283</v>
      </c>
      <c r="Q1792" t="s">
        <v>1705</v>
      </c>
    </row>
    <row r="1793" spans="1:18" x14ac:dyDescent="0.25">
      <c r="A1793" t="s">
        <v>4477</v>
      </c>
      <c r="B1793" t="s">
        <v>2173</v>
      </c>
      <c r="C1793" t="s">
        <v>6</v>
      </c>
      <c r="D1793" t="s">
        <v>4476</v>
      </c>
      <c r="E1793" s="2">
        <v>44006</v>
      </c>
      <c r="F1793">
        <v>1605</v>
      </c>
      <c r="G1793" t="s">
        <v>1746</v>
      </c>
      <c r="H1793" t="s">
        <v>1747</v>
      </c>
      <c r="I1793" t="b">
        <v>1</v>
      </c>
      <c r="J1793" t="s">
        <v>1748</v>
      </c>
      <c r="K1793" t="s">
        <v>1891</v>
      </c>
      <c r="L1793" t="s">
        <v>1750</v>
      </c>
      <c r="M1793">
        <v>70</v>
      </c>
      <c r="N1793" t="b">
        <v>0</v>
      </c>
      <c r="O1793">
        <v>46</v>
      </c>
      <c r="P1793" t="s">
        <v>1752</v>
      </c>
      <c r="Q1793" t="s">
        <v>1753</v>
      </c>
    </row>
    <row r="1794" spans="1:18" x14ac:dyDescent="0.25">
      <c r="A1794" t="s">
        <v>4479</v>
      </c>
      <c r="B1794" t="s">
        <v>2965</v>
      </c>
      <c r="C1794" t="s">
        <v>4</v>
      </c>
      <c r="D1794" t="s">
        <v>4478</v>
      </c>
      <c r="E1794" s="2">
        <v>44538</v>
      </c>
      <c r="F1794">
        <v>1073</v>
      </c>
      <c r="G1794" t="s">
        <v>1746</v>
      </c>
      <c r="H1794" t="s">
        <v>1747</v>
      </c>
      <c r="I1794" t="b">
        <v>1</v>
      </c>
      <c r="J1794" t="s">
        <v>1748</v>
      </c>
      <c r="K1794" t="s">
        <v>1880</v>
      </c>
      <c r="L1794" t="s">
        <v>1756</v>
      </c>
      <c r="M1794">
        <v>70</v>
      </c>
      <c r="N1794" t="b">
        <v>1</v>
      </c>
      <c r="O1794">
        <v>2275</v>
      </c>
      <c r="P1794" t="s">
        <v>1752</v>
      </c>
      <c r="Q1794" t="s">
        <v>1753</v>
      </c>
      <c r="R1794" t="s">
        <v>1759</v>
      </c>
    </row>
    <row r="1795" spans="1:18" x14ac:dyDescent="0.25">
      <c r="A1795" t="s">
        <v>4480</v>
      </c>
      <c r="B1795" t="s">
        <v>2035</v>
      </c>
      <c r="C1795" t="s">
        <v>6</v>
      </c>
      <c r="D1795" t="s">
        <v>948</v>
      </c>
      <c r="E1795" s="2">
        <v>45463</v>
      </c>
      <c r="F1795">
        <v>148</v>
      </c>
      <c r="G1795" t="s">
        <v>1746</v>
      </c>
      <c r="H1795" t="s">
        <v>1798</v>
      </c>
      <c r="I1795" t="b">
        <v>0</v>
      </c>
      <c r="J1795" t="s">
        <v>1748</v>
      </c>
      <c r="K1795" t="s">
        <v>1853</v>
      </c>
      <c r="L1795" t="s">
        <v>1766</v>
      </c>
      <c r="M1795">
        <v>70</v>
      </c>
      <c r="N1795" t="b">
        <v>0</v>
      </c>
      <c r="P1795" t="s">
        <v>1752</v>
      </c>
      <c r="Q1795" t="s">
        <v>1753</v>
      </c>
      <c r="R1795" t="s">
        <v>1828</v>
      </c>
    </row>
    <row r="1796" spans="1:18" x14ac:dyDescent="0.25">
      <c r="A1796" t="s">
        <v>4481</v>
      </c>
      <c r="B1796" t="s">
        <v>1876</v>
      </c>
      <c r="C1796" t="s">
        <v>6</v>
      </c>
      <c r="D1796" t="s">
        <v>1555</v>
      </c>
      <c r="E1796" s="2">
        <v>44727</v>
      </c>
      <c r="F1796">
        <v>884</v>
      </c>
      <c r="G1796" t="s">
        <v>1746</v>
      </c>
      <c r="H1796" t="s">
        <v>1747</v>
      </c>
      <c r="I1796" t="b">
        <v>0</v>
      </c>
      <c r="J1796" t="s">
        <v>1748</v>
      </c>
      <c r="K1796" t="s">
        <v>1771</v>
      </c>
      <c r="L1796" t="s">
        <v>1766</v>
      </c>
      <c r="M1796">
        <v>70</v>
      </c>
      <c r="N1796" t="b">
        <v>1</v>
      </c>
      <c r="P1796" t="s">
        <v>1752</v>
      </c>
      <c r="Q1796" t="s">
        <v>1753</v>
      </c>
    </row>
    <row r="1797" spans="1:18" x14ac:dyDescent="0.25">
      <c r="A1797" t="s">
        <v>4483</v>
      </c>
      <c r="B1797" t="s">
        <v>1803</v>
      </c>
      <c r="C1797" t="s">
        <v>572</v>
      </c>
      <c r="D1797" t="s">
        <v>4482</v>
      </c>
      <c r="E1797" s="2">
        <v>40358</v>
      </c>
      <c r="F1797">
        <v>5253</v>
      </c>
      <c r="G1797" t="s">
        <v>1746</v>
      </c>
      <c r="H1797" t="s">
        <v>3183</v>
      </c>
      <c r="I1797" t="b">
        <v>0</v>
      </c>
      <c r="J1797" t="s">
        <v>1761</v>
      </c>
      <c r="K1797" t="s">
        <v>1842</v>
      </c>
      <c r="L1797" t="s">
        <v>1750</v>
      </c>
      <c r="M1797">
        <v>70</v>
      </c>
      <c r="N1797" t="b">
        <v>0</v>
      </c>
      <c r="O1797">
        <v>165</v>
      </c>
      <c r="P1797" t="s">
        <v>1752</v>
      </c>
      <c r="Q1797" t="s">
        <v>1753</v>
      </c>
    </row>
    <row r="1798" spans="1:18" x14ac:dyDescent="0.25">
      <c r="A1798" t="s">
        <v>4485</v>
      </c>
      <c r="B1798" t="s">
        <v>1803</v>
      </c>
      <c r="C1798" t="s">
        <v>572</v>
      </c>
      <c r="D1798" t="s">
        <v>4484</v>
      </c>
      <c r="E1798" s="2">
        <v>37445</v>
      </c>
      <c r="F1798">
        <v>8166</v>
      </c>
      <c r="G1798" t="s">
        <v>1746</v>
      </c>
      <c r="H1798" t="s">
        <v>1798</v>
      </c>
      <c r="I1798" t="b">
        <v>0</v>
      </c>
      <c r="J1798" t="s">
        <v>1761</v>
      </c>
      <c r="K1798" t="s">
        <v>1912</v>
      </c>
      <c r="L1798" t="s">
        <v>1750</v>
      </c>
      <c r="M1798">
        <v>69</v>
      </c>
      <c r="N1798" t="b">
        <v>0</v>
      </c>
      <c r="O1798">
        <v>30</v>
      </c>
      <c r="P1798" t="s">
        <v>1752</v>
      </c>
      <c r="Q1798" t="s">
        <v>1753</v>
      </c>
      <c r="R1798" t="s">
        <v>1828</v>
      </c>
    </row>
    <row r="1799" spans="1:18" x14ac:dyDescent="0.25">
      <c r="A1799" t="s">
        <v>4486</v>
      </c>
      <c r="B1799" t="s">
        <v>1781</v>
      </c>
      <c r="C1799" t="s">
        <v>186</v>
      </c>
      <c r="D1799" t="s">
        <v>1371</v>
      </c>
      <c r="E1799" s="2">
        <v>38987</v>
      </c>
      <c r="F1799">
        <v>6624</v>
      </c>
      <c r="G1799" t="s">
        <v>1746</v>
      </c>
      <c r="H1799" t="s">
        <v>1747</v>
      </c>
      <c r="I1799" t="b">
        <v>0</v>
      </c>
      <c r="J1799" t="s">
        <v>1748</v>
      </c>
      <c r="K1799" t="s">
        <v>1830</v>
      </c>
      <c r="L1799" t="s">
        <v>2102</v>
      </c>
      <c r="M1799">
        <v>69</v>
      </c>
      <c r="N1799" t="b">
        <v>0</v>
      </c>
      <c r="P1799" t="s">
        <v>1778</v>
      </c>
      <c r="Q1799" t="s">
        <v>1779</v>
      </c>
    </row>
    <row r="1800" spans="1:18" x14ac:dyDescent="0.25">
      <c r="A1800" t="s">
        <v>4487</v>
      </c>
      <c r="B1800" t="s">
        <v>1754</v>
      </c>
      <c r="C1800" t="s">
        <v>6</v>
      </c>
      <c r="D1800" t="s">
        <v>1173</v>
      </c>
      <c r="E1800" s="2">
        <v>40088</v>
      </c>
      <c r="F1800">
        <v>5523</v>
      </c>
      <c r="G1800" t="s">
        <v>1746</v>
      </c>
      <c r="H1800" t="s">
        <v>1747</v>
      </c>
      <c r="I1800" t="b">
        <v>1</v>
      </c>
      <c r="J1800" t="s">
        <v>1761</v>
      </c>
      <c r="K1800" t="s">
        <v>1934</v>
      </c>
      <c r="L1800" t="s">
        <v>1750</v>
      </c>
      <c r="M1800">
        <v>69</v>
      </c>
      <c r="N1800" t="b">
        <v>0</v>
      </c>
      <c r="O1800">
        <v>105</v>
      </c>
      <c r="P1800" t="s">
        <v>1752</v>
      </c>
      <c r="Q1800" t="s">
        <v>1753</v>
      </c>
      <c r="R1800" t="s">
        <v>2028</v>
      </c>
    </row>
    <row r="1801" spans="1:18" x14ac:dyDescent="0.25">
      <c r="A1801" t="s">
        <v>4489</v>
      </c>
      <c r="B1801" t="s">
        <v>1907</v>
      </c>
      <c r="C1801" t="s">
        <v>6</v>
      </c>
      <c r="D1801" t="s">
        <v>4488</v>
      </c>
      <c r="E1801" s="2">
        <v>43845</v>
      </c>
      <c r="F1801">
        <v>1766</v>
      </c>
      <c r="G1801" t="s">
        <v>1746</v>
      </c>
      <c r="H1801" t="s">
        <v>1798</v>
      </c>
      <c r="I1801" t="b">
        <v>1</v>
      </c>
      <c r="J1801" t="s">
        <v>1748</v>
      </c>
      <c r="K1801" t="s">
        <v>1765</v>
      </c>
      <c r="L1801" t="s">
        <v>1750</v>
      </c>
      <c r="M1801">
        <v>69</v>
      </c>
      <c r="N1801" t="b">
        <v>0</v>
      </c>
      <c r="O1801">
        <v>190</v>
      </c>
      <c r="P1801" t="s">
        <v>1752</v>
      </c>
      <c r="Q1801" t="s">
        <v>1753</v>
      </c>
      <c r="R1801" t="s">
        <v>1828</v>
      </c>
    </row>
    <row r="1802" spans="1:18" x14ac:dyDescent="0.25">
      <c r="A1802" t="s">
        <v>4491</v>
      </c>
      <c r="B1802" t="s">
        <v>2177</v>
      </c>
      <c r="C1802" t="s">
        <v>6</v>
      </c>
      <c r="D1802" t="s">
        <v>4490</v>
      </c>
      <c r="E1802" s="2">
        <v>42062</v>
      </c>
      <c r="F1802">
        <v>3549</v>
      </c>
      <c r="G1802" t="s">
        <v>1746</v>
      </c>
      <c r="H1802" t="s">
        <v>1805</v>
      </c>
      <c r="I1802" t="b">
        <v>1</v>
      </c>
      <c r="J1802" t="s">
        <v>1748</v>
      </c>
      <c r="K1802" t="s">
        <v>1925</v>
      </c>
      <c r="L1802" t="s">
        <v>1750</v>
      </c>
      <c r="M1802">
        <v>69</v>
      </c>
      <c r="N1802" t="b">
        <v>0</v>
      </c>
      <c r="O1802">
        <v>86</v>
      </c>
      <c r="P1802" t="s">
        <v>1752</v>
      </c>
      <c r="Q1802" t="s">
        <v>1753</v>
      </c>
    </row>
    <row r="1803" spans="1:18" x14ac:dyDescent="0.25">
      <c r="A1803" t="s">
        <v>4493</v>
      </c>
      <c r="B1803" t="s">
        <v>1902</v>
      </c>
      <c r="C1803" t="s">
        <v>4</v>
      </c>
      <c r="D1803" t="s">
        <v>4492</v>
      </c>
      <c r="E1803" s="2">
        <v>41796</v>
      </c>
      <c r="F1803">
        <v>3815</v>
      </c>
      <c r="G1803" t="s">
        <v>1746</v>
      </c>
      <c r="H1803" t="s">
        <v>1747</v>
      </c>
      <c r="I1803" t="b">
        <v>1</v>
      </c>
      <c r="J1803" t="s">
        <v>1748</v>
      </c>
      <c r="K1803" t="s">
        <v>2042</v>
      </c>
      <c r="L1803" t="s">
        <v>1756</v>
      </c>
      <c r="M1803">
        <v>69</v>
      </c>
      <c r="N1803" t="b">
        <v>0</v>
      </c>
      <c r="O1803">
        <v>326</v>
      </c>
      <c r="P1803" t="s">
        <v>1752</v>
      </c>
      <c r="Q1803" t="s">
        <v>1753</v>
      </c>
      <c r="R1803" t="s">
        <v>1759</v>
      </c>
    </row>
    <row r="1804" spans="1:18" x14ac:dyDescent="0.25">
      <c r="A1804" t="s">
        <v>4494</v>
      </c>
      <c r="B1804" t="s">
        <v>4495</v>
      </c>
      <c r="C1804" t="s">
        <v>6</v>
      </c>
      <c r="D1804" t="s">
        <v>847</v>
      </c>
      <c r="E1804" s="2">
        <v>40121</v>
      </c>
      <c r="F1804">
        <v>5490</v>
      </c>
      <c r="G1804" t="s">
        <v>1746</v>
      </c>
      <c r="H1804" t="s">
        <v>1798</v>
      </c>
      <c r="I1804" t="b">
        <v>0</v>
      </c>
      <c r="J1804" t="s">
        <v>1748</v>
      </c>
      <c r="K1804" t="s">
        <v>1934</v>
      </c>
      <c r="L1804" t="s">
        <v>1817</v>
      </c>
      <c r="M1804">
        <v>69</v>
      </c>
      <c r="N1804" t="b">
        <v>1</v>
      </c>
      <c r="O1804">
        <v>700</v>
      </c>
      <c r="P1804" t="s">
        <v>1819</v>
      </c>
      <c r="Q1804" t="s">
        <v>1753</v>
      </c>
      <c r="R1804" t="s">
        <v>1759</v>
      </c>
    </row>
    <row r="1805" spans="1:18" x14ac:dyDescent="0.25">
      <c r="A1805" t="s">
        <v>4496</v>
      </c>
      <c r="B1805" t="s">
        <v>3874</v>
      </c>
      <c r="C1805" t="s">
        <v>6</v>
      </c>
      <c r="D1805" t="s">
        <v>1150</v>
      </c>
      <c r="E1805" s="2">
        <v>42062</v>
      </c>
      <c r="F1805">
        <v>3549</v>
      </c>
      <c r="G1805" t="s">
        <v>1746</v>
      </c>
      <c r="H1805" t="s">
        <v>1798</v>
      </c>
      <c r="I1805" t="b">
        <v>1</v>
      </c>
      <c r="J1805" t="s">
        <v>1748</v>
      </c>
      <c r="K1805" t="s">
        <v>1925</v>
      </c>
      <c r="L1805" t="s">
        <v>1750</v>
      </c>
      <c r="M1805">
        <v>69</v>
      </c>
      <c r="N1805" t="b">
        <v>0</v>
      </c>
      <c r="O1805">
        <v>86</v>
      </c>
      <c r="P1805" t="s">
        <v>1752</v>
      </c>
      <c r="Q1805" t="s">
        <v>1753</v>
      </c>
    </row>
    <row r="1806" spans="1:18" x14ac:dyDescent="0.25">
      <c r="A1806" t="s">
        <v>4498</v>
      </c>
      <c r="B1806" t="s">
        <v>2277</v>
      </c>
      <c r="C1806" t="s">
        <v>4</v>
      </c>
      <c r="D1806" t="s">
        <v>4497</v>
      </c>
      <c r="E1806" s="2">
        <v>44076</v>
      </c>
      <c r="F1806">
        <v>1535</v>
      </c>
      <c r="G1806" t="s">
        <v>1746</v>
      </c>
      <c r="H1806" t="s">
        <v>1747</v>
      </c>
      <c r="I1806" t="b">
        <v>1</v>
      </c>
      <c r="J1806" t="s">
        <v>1748</v>
      </c>
      <c r="K1806" t="s">
        <v>1776</v>
      </c>
      <c r="L1806" t="s">
        <v>1750</v>
      </c>
      <c r="M1806">
        <v>68</v>
      </c>
      <c r="N1806" t="b">
        <v>0</v>
      </c>
      <c r="O1806">
        <v>346</v>
      </c>
      <c r="P1806" t="s">
        <v>1752</v>
      </c>
      <c r="Q1806" t="s">
        <v>1753</v>
      </c>
      <c r="R1806" t="s">
        <v>1759</v>
      </c>
    </row>
    <row r="1807" spans="1:18" x14ac:dyDescent="0.25">
      <c r="A1807" t="s">
        <v>4500</v>
      </c>
      <c r="B1807" t="s">
        <v>2157</v>
      </c>
      <c r="C1807" t="s">
        <v>4</v>
      </c>
      <c r="D1807" t="s">
        <v>4499</v>
      </c>
      <c r="E1807" s="2">
        <v>45421</v>
      </c>
      <c r="F1807">
        <v>190</v>
      </c>
      <c r="G1807" t="s">
        <v>1746</v>
      </c>
      <c r="H1807" t="s">
        <v>1798</v>
      </c>
      <c r="I1807" t="b">
        <v>0</v>
      </c>
      <c r="J1807" t="s">
        <v>1761</v>
      </c>
      <c r="K1807" t="s">
        <v>1774</v>
      </c>
      <c r="L1807" t="s">
        <v>1817</v>
      </c>
      <c r="M1807">
        <v>68</v>
      </c>
      <c r="N1807" t="b">
        <v>1</v>
      </c>
      <c r="O1807">
        <v>294</v>
      </c>
      <c r="P1807" t="s">
        <v>1819</v>
      </c>
      <c r="Q1807" t="s">
        <v>1753</v>
      </c>
      <c r="R1807" t="s">
        <v>1759</v>
      </c>
    </row>
    <row r="1808" spans="1:18" x14ac:dyDescent="0.25">
      <c r="A1808" t="s">
        <v>4501</v>
      </c>
      <c r="B1808" t="s">
        <v>1936</v>
      </c>
      <c r="C1808" t="s">
        <v>4</v>
      </c>
      <c r="D1808" t="s">
        <v>337</v>
      </c>
      <c r="E1808" s="2">
        <v>44902</v>
      </c>
      <c r="F1808">
        <v>709</v>
      </c>
      <c r="G1808" t="s">
        <v>1746</v>
      </c>
      <c r="H1808" t="s">
        <v>1747</v>
      </c>
      <c r="I1808" t="b">
        <v>0</v>
      </c>
      <c r="J1808" t="s">
        <v>1748</v>
      </c>
      <c r="K1808" t="s">
        <v>1880</v>
      </c>
      <c r="L1808" t="s">
        <v>1750</v>
      </c>
      <c r="M1808">
        <v>68</v>
      </c>
      <c r="N1808" t="b">
        <v>1</v>
      </c>
      <c r="O1808">
        <v>206</v>
      </c>
      <c r="P1808" t="s">
        <v>1752</v>
      </c>
      <c r="Q1808" t="s">
        <v>1753</v>
      </c>
      <c r="R1808" t="s">
        <v>1772</v>
      </c>
    </row>
    <row r="1809" spans="1:18" x14ac:dyDescent="0.25">
      <c r="A1809" t="s">
        <v>4502</v>
      </c>
      <c r="B1809" t="s">
        <v>1876</v>
      </c>
      <c r="C1809" t="s">
        <v>4</v>
      </c>
      <c r="D1809" t="s">
        <v>754</v>
      </c>
      <c r="E1809" s="2">
        <v>43865</v>
      </c>
      <c r="F1809">
        <v>1746</v>
      </c>
      <c r="G1809" t="s">
        <v>1833</v>
      </c>
      <c r="H1809" t="s">
        <v>1747</v>
      </c>
      <c r="I1809" t="b">
        <v>0</v>
      </c>
      <c r="J1809" t="s">
        <v>1748</v>
      </c>
      <c r="K1809" t="s">
        <v>1880</v>
      </c>
      <c r="L1809" t="s">
        <v>1750</v>
      </c>
      <c r="M1809">
        <v>68</v>
      </c>
      <c r="N1809" t="b">
        <v>1</v>
      </c>
      <c r="O1809">
        <v>400</v>
      </c>
      <c r="P1809" t="s">
        <v>1819</v>
      </c>
      <c r="Q1809" t="s">
        <v>1753</v>
      </c>
      <c r="R1809" t="s">
        <v>1759</v>
      </c>
    </row>
    <row r="1810" spans="1:18" x14ac:dyDescent="0.25">
      <c r="A1810" t="s">
        <v>4504</v>
      </c>
      <c r="B1810" t="s">
        <v>2150</v>
      </c>
      <c r="C1810" t="s">
        <v>4</v>
      </c>
      <c r="D1810" t="s">
        <v>4503</v>
      </c>
      <c r="E1810" s="2">
        <v>45441</v>
      </c>
      <c r="F1810">
        <v>170</v>
      </c>
      <c r="G1810" t="s">
        <v>1746</v>
      </c>
      <c r="H1810" t="s">
        <v>1747</v>
      </c>
      <c r="I1810" t="b">
        <v>0</v>
      </c>
      <c r="J1810" t="s">
        <v>1748</v>
      </c>
      <c r="K1810" t="s">
        <v>1774</v>
      </c>
      <c r="L1810" t="s">
        <v>1817</v>
      </c>
      <c r="M1810">
        <v>68</v>
      </c>
      <c r="N1810" t="b">
        <v>1</v>
      </c>
      <c r="O1810">
        <v>396</v>
      </c>
      <c r="P1810" t="s">
        <v>1819</v>
      </c>
      <c r="Q1810" t="s">
        <v>1753</v>
      </c>
      <c r="R1810" t="s">
        <v>1759</v>
      </c>
    </row>
    <row r="1811" spans="1:18" x14ac:dyDescent="0.25">
      <c r="A1811" t="s">
        <v>4506</v>
      </c>
      <c r="B1811" t="s">
        <v>2150</v>
      </c>
      <c r="C1811" t="s">
        <v>4</v>
      </c>
      <c r="D1811" t="s">
        <v>4505</v>
      </c>
      <c r="E1811" s="2">
        <v>45126</v>
      </c>
      <c r="F1811">
        <v>485</v>
      </c>
      <c r="G1811" t="s">
        <v>1746</v>
      </c>
      <c r="H1811" t="s">
        <v>1805</v>
      </c>
      <c r="I1811" t="b">
        <v>1</v>
      </c>
      <c r="J1811" t="s">
        <v>1761</v>
      </c>
      <c r="K1811" t="s">
        <v>1825</v>
      </c>
      <c r="L1811" t="s">
        <v>1756</v>
      </c>
      <c r="M1811">
        <v>68</v>
      </c>
      <c r="N1811" t="b">
        <v>0</v>
      </c>
      <c r="O1811">
        <v>1399</v>
      </c>
      <c r="P1811" t="s">
        <v>1752</v>
      </c>
      <c r="Q1811" t="s">
        <v>1753</v>
      </c>
      <c r="R1811" t="s">
        <v>1759</v>
      </c>
    </row>
    <row r="1812" spans="1:18" x14ac:dyDescent="0.25">
      <c r="A1812" t="s">
        <v>4508</v>
      </c>
      <c r="B1812" t="s">
        <v>1803</v>
      </c>
      <c r="C1812" t="s">
        <v>572</v>
      </c>
      <c r="D1812" t="s">
        <v>4507</v>
      </c>
      <c r="E1812" s="2">
        <v>37445</v>
      </c>
      <c r="F1812">
        <v>8166</v>
      </c>
      <c r="G1812" t="s">
        <v>1746</v>
      </c>
      <c r="H1812" t="s">
        <v>1798</v>
      </c>
      <c r="I1812" t="b">
        <v>0</v>
      </c>
      <c r="J1812" t="s">
        <v>1761</v>
      </c>
      <c r="K1812" t="s">
        <v>1912</v>
      </c>
      <c r="L1812" t="s">
        <v>1750</v>
      </c>
      <c r="M1812">
        <v>68</v>
      </c>
      <c r="N1812" t="b">
        <v>0</v>
      </c>
      <c r="O1812">
        <v>33</v>
      </c>
      <c r="P1812" t="s">
        <v>1752</v>
      </c>
      <c r="Q1812" t="s">
        <v>1753</v>
      </c>
      <c r="R1812" t="s">
        <v>1828</v>
      </c>
    </row>
    <row r="1813" spans="1:18" x14ac:dyDescent="0.25">
      <c r="A1813" t="s">
        <v>1551</v>
      </c>
      <c r="B1813" t="s">
        <v>1810</v>
      </c>
      <c r="C1813" t="s">
        <v>6</v>
      </c>
      <c r="D1813" t="s">
        <v>1552</v>
      </c>
      <c r="E1813" s="2">
        <v>39255</v>
      </c>
      <c r="F1813">
        <v>6356</v>
      </c>
      <c r="G1813" t="s">
        <v>1746</v>
      </c>
      <c r="H1813" t="s">
        <v>1747</v>
      </c>
      <c r="I1813" t="b">
        <v>1</v>
      </c>
      <c r="J1813" t="s">
        <v>1748</v>
      </c>
      <c r="K1813" t="s">
        <v>1776</v>
      </c>
      <c r="L1813" t="s">
        <v>1750</v>
      </c>
      <c r="M1813">
        <v>68</v>
      </c>
      <c r="N1813" t="b">
        <v>0</v>
      </c>
      <c r="O1813">
        <v>52</v>
      </c>
      <c r="P1813" t="s">
        <v>1752</v>
      </c>
      <c r="Q1813" t="s">
        <v>1753</v>
      </c>
    </row>
    <row r="1814" spans="1:18" x14ac:dyDescent="0.25">
      <c r="A1814" t="s">
        <v>4510</v>
      </c>
      <c r="B1814" t="s">
        <v>1803</v>
      </c>
      <c r="C1814" t="s">
        <v>572</v>
      </c>
      <c r="D1814" t="s">
        <v>4509</v>
      </c>
      <c r="E1814" s="2">
        <v>40163</v>
      </c>
      <c r="F1814">
        <v>5448</v>
      </c>
      <c r="G1814" t="s">
        <v>1746</v>
      </c>
      <c r="H1814" t="s">
        <v>1798</v>
      </c>
      <c r="I1814" t="b">
        <v>0</v>
      </c>
      <c r="J1814" t="s">
        <v>1761</v>
      </c>
      <c r="K1814" t="s">
        <v>1863</v>
      </c>
      <c r="L1814" t="s">
        <v>1750</v>
      </c>
      <c r="M1814">
        <v>68</v>
      </c>
      <c r="N1814" t="b">
        <v>0</v>
      </c>
      <c r="O1814">
        <v>30</v>
      </c>
      <c r="P1814" t="s">
        <v>1819</v>
      </c>
      <c r="Q1814" t="s">
        <v>1753</v>
      </c>
    </row>
    <row r="1815" spans="1:18" x14ac:dyDescent="0.25">
      <c r="A1815" t="s">
        <v>4511</v>
      </c>
      <c r="B1815" t="s">
        <v>2342</v>
      </c>
      <c r="C1815" t="s">
        <v>6</v>
      </c>
      <c r="D1815" t="s">
        <v>61</v>
      </c>
      <c r="E1815" s="2">
        <v>41956</v>
      </c>
      <c r="F1815">
        <v>3655</v>
      </c>
      <c r="G1815" t="s">
        <v>1746</v>
      </c>
      <c r="H1815" t="s">
        <v>1798</v>
      </c>
      <c r="I1815" t="b">
        <v>0</v>
      </c>
      <c r="J1815" t="s">
        <v>1748</v>
      </c>
      <c r="K1815" t="s">
        <v>1770</v>
      </c>
      <c r="L1815" t="s">
        <v>1766</v>
      </c>
      <c r="M1815">
        <v>68</v>
      </c>
      <c r="N1815" t="b">
        <v>0</v>
      </c>
      <c r="P1815" t="s">
        <v>1752</v>
      </c>
      <c r="Q1815" t="s">
        <v>1753</v>
      </c>
    </row>
    <row r="1816" spans="1:18" x14ac:dyDescent="0.25">
      <c r="A1816" t="s">
        <v>4513</v>
      </c>
      <c r="B1816" t="s">
        <v>1803</v>
      </c>
      <c r="C1816" t="s">
        <v>572</v>
      </c>
      <c r="D1816" t="s">
        <v>4512</v>
      </c>
      <c r="E1816" s="2">
        <v>39888</v>
      </c>
      <c r="F1816">
        <v>5723</v>
      </c>
      <c r="G1816" t="s">
        <v>1746</v>
      </c>
      <c r="H1816" t="s">
        <v>1798</v>
      </c>
      <c r="I1816" t="b">
        <v>0</v>
      </c>
      <c r="J1816" t="s">
        <v>1761</v>
      </c>
      <c r="K1816" t="s">
        <v>1824</v>
      </c>
      <c r="L1816" t="s">
        <v>1750</v>
      </c>
      <c r="M1816">
        <v>67</v>
      </c>
      <c r="N1816" t="b">
        <v>0</v>
      </c>
      <c r="O1816">
        <v>14</v>
      </c>
      <c r="P1816" t="s">
        <v>1819</v>
      </c>
      <c r="Q1816" t="s">
        <v>1753</v>
      </c>
    </row>
    <row r="1817" spans="1:18" x14ac:dyDescent="0.25">
      <c r="A1817" t="s">
        <v>4514</v>
      </c>
      <c r="B1817" t="s">
        <v>2269</v>
      </c>
      <c r="C1817" t="s">
        <v>4</v>
      </c>
      <c r="D1817" t="s">
        <v>1078</v>
      </c>
      <c r="E1817" s="2">
        <v>43630</v>
      </c>
      <c r="F1817">
        <v>1981</v>
      </c>
      <c r="G1817" t="s">
        <v>1746</v>
      </c>
      <c r="H1817" t="s">
        <v>1798</v>
      </c>
      <c r="I1817" t="b">
        <v>1</v>
      </c>
      <c r="J1817" t="s">
        <v>1761</v>
      </c>
      <c r="K1817" t="s">
        <v>2021</v>
      </c>
      <c r="L1817" t="s">
        <v>1750</v>
      </c>
      <c r="M1817">
        <v>67</v>
      </c>
      <c r="N1817" t="b">
        <v>0</v>
      </c>
      <c r="O1817">
        <v>133</v>
      </c>
      <c r="P1817" t="s">
        <v>1752</v>
      </c>
      <c r="Q1817" t="s">
        <v>1753</v>
      </c>
    </row>
    <row r="1818" spans="1:18" x14ac:dyDescent="0.25">
      <c r="A1818" t="s">
        <v>4516</v>
      </c>
      <c r="B1818" t="s">
        <v>2150</v>
      </c>
      <c r="C1818" t="s">
        <v>4</v>
      </c>
      <c r="D1818" t="s">
        <v>4515</v>
      </c>
      <c r="E1818" s="2">
        <v>44336</v>
      </c>
      <c r="F1818">
        <v>1275</v>
      </c>
      <c r="G1818" t="s">
        <v>1746</v>
      </c>
      <c r="H1818" t="s">
        <v>1805</v>
      </c>
      <c r="I1818" t="b">
        <v>0</v>
      </c>
      <c r="J1818" t="s">
        <v>1761</v>
      </c>
      <c r="K1818" t="s">
        <v>1824</v>
      </c>
      <c r="L1818" t="s">
        <v>1817</v>
      </c>
      <c r="M1818">
        <v>67</v>
      </c>
      <c r="N1818" t="b">
        <v>1</v>
      </c>
      <c r="O1818">
        <v>4040</v>
      </c>
      <c r="P1818" t="s">
        <v>1819</v>
      </c>
      <c r="Q1818" t="s">
        <v>1753</v>
      </c>
      <c r="R1818" t="s">
        <v>1759</v>
      </c>
    </row>
    <row r="1819" spans="1:18" x14ac:dyDescent="0.25">
      <c r="A1819" t="s">
        <v>4518</v>
      </c>
      <c r="B1819" t="s">
        <v>2133</v>
      </c>
      <c r="C1819" t="s">
        <v>4</v>
      </c>
      <c r="D1819" t="s">
        <v>4517</v>
      </c>
      <c r="E1819" s="2">
        <v>42927</v>
      </c>
      <c r="F1819">
        <v>2684</v>
      </c>
      <c r="G1819" t="s">
        <v>1746</v>
      </c>
      <c r="H1819" t="s">
        <v>1747</v>
      </c>
      <c r="I1819" t="b">
        <v>0</v>
      </c>
      <c r="J1819" t="s">
        <v>1748</v>
      </c>
      <c r="K1819" t="s">
        <v>1824</v>
      </c>
      <c r="L1819" t="s">
        <v>1766</v>
      </c>
      <c r="M1819">
        <v>67</v>
      </c>
      <c r="N1819" t="b">
        <v>0</v>
      </c>
      <c r="P1819" t="s">
        <v>2070</v>
      </c>
      <c r="Q1819" t="s">
        <v>1753</v>
      </c>
    </row>
    <row r="1820" spans="1:18" x14ac:dyDescent="0.25">
      <c r="A1820" t="s">
        <v>4520</v>
      </c>
      <c r="B1820" t="s">
        <v>2150</v>
      </c>
      <c r="C1820" t="s">
        <v>4</v>
      </c>
      <c r="D1820" t="s">
        <v>4519</v>
      </c>
      <c r="E1820" s="2">
        <v>44726</v>
      </c>
      <c r="F1820">
        <v>885</v>
      </c>
      <c r="G1820" t="s">
        <v>1833</v>
      </c>
      <c r="H1820" t="s">
        <v>1805</v>
      </c>
      <c r="I1820" t="b">
        <v>0</v>
      </c>
      <c r="J1820" t="s">
        <v>1761</v>
      </c>
      <c r="K1820" t="s">
        <v>1776</v>
      </c>
      <c r="L1820" t="s">
        <v>1750</v>
      </c>
      <c r="M1820">
        <v>67</v>
      </c>
      <c r="N1820" t="b">
        <v>0</v>
      </c>
      <c r="O1820">
        <v>165</v>
      </c>
      <c r="P1820" t="s">
        <v>1752</v>
      </c>
      <c r="Q1820" t="s">
        <v>1753</v>
      </c>
    </row>
    <row r="1821" spans="1:18" x14ac:dyDescent="0.25">
      <c r="A1821" t="s">
        <v>4522</v>
      </c>
      <c r="B1821" t="s">
        <v>2046</v>
      </c>
      <c r="C1821" t="s">
        <v>4</v>
      </c>
      <c r="D1821" t="s">
        <v>4521</v>
      </c>
      <c r="E1821" s="2">
        <v>44432</v>
      </c>
      <c r="F1821">
        <v>1179</v>
      </c>
      <c r="G1821" t="s">
        <v>1746</v>
      </c>
      <c r="H1821" t="s">
        <v>1798</v>
      </c>
      <c r="I1821" t="b">
        <v>0</v>
      </c>
      <c r="J1821" t="s">
        <v>1748</v>
      </c>
      <c r="K1821" t="s">
        <v>1800</v>
      </c>
      <c r="L1821" t="s">
        <v>1756</v>
      </c>
      <c r="M1821">
        <v>67</v>
      </c>
      <c r="N1821" t="b">
        <v>1</v>
      </c>
      <c r="O1821">
        <v>605</v>
      </c>
      <c r="P1821" t="s">
        <v>1819</v>
      </c>
      <c r="Q1821" t="s">
        <v>1753</v>
      </c>
      <c r="R1821" t="s">
        <v>1772</v>
      </c>
    </row>
    <row r="1822" spans="1:18" x14ac:dyDescent="0.25">
      <c r="A1822" t="s">
        <v>4524</v>
      </c>
      <c r="B1822" t="s">
        <v>2277</v>
      </c>
      <c r="C1822" t="s">
        <v>4</v>
      </c>
      <c r="D1822" t="s">
        <v>4523</v>
      </c>
      <c r="E1822" s="2">
        <v>45105</v>
      </c>
      <c r="F1822">
        <v>506</v>
      </c>
      <c r="G1822" t="s">
        <v>1746</v>
      </c>
      <c r="H1822" t="s">
        <v>1747</v>
      </c>
      <c r="I1822" t="b">
        <v>0</v>
      </c>
      <c r="J1822" t="s">
        <v>1748</v>
      </c>
      <c r="K1822" t="s">
        <v>1770</v>
      </c>
      <c r="L1822" t="s">
        <v>1750</v>
      </c>
      <c r="M1822">
        <v>66</v>
      </c>
      <c r="N1822" t="b">
        <v>0</v>
      </c>
      <c r="O1822">
        <v>850</v>
      </c>
      <c r="P1822" t="s">
        <v>1752</v>
      </c>
      <c r="Q1822" t="s">
        <v>1753</v>
      </c>
    </row>
    <row r="1823" spans="1:18" x14ac:dyDescent="0.25">
      <c r="A1823" t="s">
        <v>4525</v>
      </c>
      <c r="B1823" t="s">
        <v>2810</v>
      </c>
      <c r="C1823" t="s">
        <v>4</v>
      </c>
      <c r="D1823" t="s">
        <v>1314</v>
      </c>
      <c r="E1823" s="2">
        <v>44173</v>
      </c>
      <c r="F1823">
        <v>1438</v>
      </c>
      <c r="G1823" t="s">
        <v>1833</v>
      </c>
      <c r="H1823" t="s">
        <v>1798</v>
      </c>
      <c r="I1823" t="b">
        <v>0</v>
      </c>
      <c r="J1823" t="s">
        <v>1748</v>
      </c>
      <c r="K1823" t="s">
        <v>1776</v>
      </c>
      <c r="L1823" t="s">
        <v>1750</v>
      </c>
      <c r="M1823">
        <v>66</v>
      </c>
      <c r="N1823" t="b">
        <v>0</v>
      </c>
      <c r="O1823">
        <v>14545</v>
      </c>
      <c r="P1823" t="s">
        <v>1752</v>
      </c>
      <c r="Q1823" t="s">
        <v>1753</v>
      </c>
      <c r="R1823" t="s">
        <v>1759</v>
      </c>
    </row>
    <row r="1824" spans="1:18" x14ac:dyDescent="0.25">
      <c r="A1824" t="s">
        <v>4527</v>
      </c>
      <c r="B1824" t="s">
        <v>2177</v>
      </c>
      <c r="C1824" t="s">
        <v>6</v>
      </c>
      <c r="D1824" t="s">
        <v>4526</v>
      </c>
      <c r="E1824" s="2">
        <v>42489</v>
      </c>
      <c r="F1824">
        <v>3122</v>
      </c>
      <c r="G1824" t="s">
        <v>1746</v>
      </c>
      <c r="H1824" t="s">
        <v>1805</v>
      </c>
      <c r="I1824" t="b">
        <v>0</v>
      </c>
      <c r="J1824" t="s">
        <v>1761</v>
      </c>
      <c r="K1824" t="s">
        <v>1846</v>
      </c>
      <c r="L1824" t="s">
        <v>1817</v>
      </c>
      <c r="M1824">
        <v>66</v>
      </c>
      <c r="N1824" t="b">
        <v>0</v>
      </c>
      <c r="O1824">
        <v>629</v>
      </c>
      <c r="P1824" t="s">
        <v>1819</v>
      </c>
      <c r="Q1824" t="s">
        <v>1753</v>
      </c>
      <c r="R1824" t="s">
        <v>1772</v>
      </c>
    </row>
    <row r="1825" spans="1:18" x14ac:dyDescent="0.25">
      <c r="A1825" t="s">
        <v>4529</v>
      </c>
      <c r="B1825" t="s">
        <v>2096</v>
      </c>
      <c r="C1825" t="s">
        <v>4</v>
      </c>
      <c r="D1825" t="s">
        <v>4528</v>
      </c>
      <c r="E1825" s="2">
        <v>45274</v>
      </c>
      <c r="F1825">
        <v>337</v>
      </c>
      <c r="G1825" t="s">
        <v>1746</v>
      </c>
      <c r="H1825" t="s">
        <v>1798</v>
      </c>
      <c r="I1825" t="b">
        <v>0</v>
      </c>
      <c r="J1825" t="s">
        <v>1761</v>
      </c>
      <c r="K1825" t="s">
        <v>1755</v>
      </c>
      <c r="L1825" t="s">
        <v>1750</v>
      </c>
      <c r="M1825">
        <v>66</v>
      </c>
      <c r="N1825" t="b">
        <v>1</v>
      </c>
      <c r="O1825">
        <v>1172</v>
      </c>
      <c r="P1825" t="s">
        <v>1752</v>
      </c>
      <c r="Q1825" t="s">
        <v>1753</v>
      </c>
      <c r="R1825" t="s">
        <v>1759</v>
      </c>
    </row>
    <row r="1826" spans="1:18" x14ac:dyDescent="0.25">
      <c r="A1826" t="s">
        <v>4531</v>
      </c>
      <c r="B1826" t="s">
        <v>2032</v>
      </c>
      <c r="C1826" t="s">
        <v>4</v>
      </c>
      <c r="D1826" t="s">
        <v>4530</v>
      </c>
      <c r="E1826" s="2">
        <v>42802</v>
      </c>
      <c r="F1826">
        <v>2809</v>
      </c>
      <c r="G1826" t="s">
        <v>1746</v>
      </c>
      <c r="H1826" t="s">
        <v>1747</v>
      </c>
      <c r="I1826" t="b">
        <v>0</v>
      </c>
      <c r="J1826" t="s">
        <v>1748</v>
      </c>
      <c r="K1826" t="s">
        <v>1830</v>
      </c>
      <c r="L1826" t="s">
        <v>1766</v>
      </c>
      <c r="M1826">
        <v>66</v>
      </c>
      <c r="N1826" t="b">
        <v>0</v>
      </c>
      <c r="P1826" t="s">
        <v>1752</v>
      </c>
      <c r="Q1826" t="s">
        <v>1753</v>
      </c>
    </row>
    <row r="1827" spans="1:18" x14ac:dyDescent="0.25">
      <c r="A1827" t="s">
        <v>4533</v>
      </c>
      <c r="B1827" t="s">
        <v>2150</v>
      </c>
      <c r="C1827" t="s">
        <v>4</v>
      </c>
      <c r="D1827" t="s">
        <v>4532</v>
      </c>
      <c r="E1827" s="2">
        <v>45189</v>
      </c>
      <c r="F1827">
        <v>422</v>
      </c>
      <c r="G1827" t="s">
        <v>1746</v>
      </c>
      <c r="H1827" t="s">
        <v>1805</v>
      </c>
      <c r="I1827" t="b">
        <v>1</v>
      </c>
      <c r="J1827" t="s">
        <v>1761</v>
      </c>
      <c r="K1827" t="s">
        <v>1913</v>
      </c>
      <c r="L1827" t="s">
        <v>1817</v>
      </c>
      <c r="M1827">
        <v>65</v>
      </c>
      <c r="N1827" t="b">
        <v>0</v>
      </c>
      <c r="O1827">
        <v>628</v>
      </c>
      <c r="P1827" t="s">
        <v>1819</v>
      </c>
      <c r="Q1827" t="s">
        <v>1753</v>
      </c>
      <c r="R1827" t="s">
        <v>1759</v>
      </c>
    </row>
    <row r="1828" spans="1:18" x14ac:dyDescent="0.25">
      <c r="A1828" t="s">
        <v>4534</v>
      </c>
      <c r="B1828" t="s">
        <v>1814</v>
      </c>
      <c r="C1828" t="s">
        <v>4</v>
      </c>
      <c r="D1828" t="s">
        <v>419</v>
      </c>
      <c r="E1828" s="2">
        <v>39419</v>
      </c>
      <c r="F1828">
        <v>6192</v>
      </c>
      <c r="G1828" t="s">
        <v>1746</v>
      </c>
      <c r="H1828" t="s">
        <v>1747</v>
      </c>
      <c r="I1828" t="b">
        <v>0</v>
      </c>
      <c r="J1828" t="s">
        <v>1761</v>
      </c>
      <c r="K1828" t="s">
        <v>1917</v>
      </c>
      <c r="L1828" t="s">
        <v>1756</v>
      </c>
      <c r="M1828">
        <v>65</v>
      </c>
      <c r="N1828" t="b">
        <v>0</v>
      </c>
      <c r="O1828">
        <v>1200</v>
      </c>
      <c r="P1828" t="s">
        <v>1752</v>
      </c>
      <c r="Q1828" t="s">
        <v>1753</v>
      </c>
      <c r="R1828" t="s">
        <v>1759</v>
      </c>
    </row>
    <row r="1829" spans="1:18" x14ac:dyDescent="0.25">
      <c r="A1829" t="s">
        <v>22</v>
      </c>
      <c r="B1829" t="s">
        <v>2799</v>
      </c>
      <c r="C1829" t="s">
        <v>6</v>
      </c>
      <c r="D1829" t="s">
        <v>23</v>
      </c>
      <c r="E1829" s="2">
        <v>45191</v>
      </c>
      <c r="F1829">
        <v>420</v>
      </c>
      <c r="G1829" t="s">
        <v>1746</v>
      </c>
      <c r="H1829" t="s">
        <v>1798</v>
      </c>
      <c r="I1829" t="b">
        <v>0</v>
      </c>
      <c r="J1829" t="s">
        <v>1761</v>
      </c>
      <c r="K1829" t="s">
        <v>1880</v>
      </c>
      <c r="L1829" t="s">
        <v>1817</v>
      </c>
      <c r="M1829">
        <v>65</v>
      </c>
      <c r="N1829" t="b">
        <v>1</v>
      </c>
      <c r="O1829">
        <v>284</v>
      </c>
      <c r="P1829" t="s">
        <v>1819</v>
      </c>
      <c r="Q1829" t="s">
        <v>1753</v>
      </c>
      <c r="R1829" t="s">
        <v>1759</v>
      </c>
    </row>
    <row r="1830" spans="1:18" x14ac:dyDescent="0.25">
      <c r="A1830" t="s">
        <v>1662</v>
      </c>
      <c r="B1830" t="s">
        <v>2269</v>
      </c>
      <c r="C1830" t="s">
        <v>4</v>
      </c>
      <c r="D1830" t="s">
        <v>1663</v>
      </c>
      <c r="E1830" s="2">
        <v>40578</v>
      </c>
      <c r="F1830">
        <v>5033</v>
      </c>
      <c r="G1830" t="s">
        <v>1833</v>
      </c>
      <c r="H1830" t="s">
        <v>1798</v>
      </c>
      <c r="I1830" t="b">
        <v>1</v>
      </c>
      <c r="J1830" t="s">
        <v>1761</v>
      </c>
      <c r="K1830" t="s">
        <v>1757</v>
      </c>
      <c r="L1830" t="s">
        <v>1750</v>
      </c>
      <c r="M1830">
        <v>65</v>
      </c>
      <c r="N1830" t="b">
        <v>0</v>
      </c>
      <c r="O1830">
        <v>10141</v>
      </c>
      <c r="P1830" t="s">
        <v>1752</v>
      </c>
      <c r="Q1830" t="s">
        <v>1753</v>
      </c>
      <c r="R1830" t="s">
        <v>1759</v>
      </c>
    </row>
    <row r="1831" spans="1:18" x14ac:dyDescent="0.25">
      <c r="A1831" t="s">
        <v>4536</v>
      </c>
      <c r="B1831" t="s">
        <v>2177</v>
      </c>
      <c r="C1831" t="s">
        <v>4</v>
      </c>
      <c r="D1831" t="s">
        <v>4535</v>
      </c>
      <c r="E1831" s="2">
        <v>43644</v>
      </c>
      <c r="F1831">
        <v>1967</v>
      </c>
      <c r="G1831" t="s">
        <v>1746</v>
      </c>
      <c r="H1831" t="s">
        <v>1805</v>
      </c>
      <c r="I1831" t="b">
        <v>1</v>
      </c>
      <c r="J1831" t="s">
        <v>1761</v>
      </c>
      <c r="K1831" t="s">
        <v>1822</v>
      </c>
      <c r="L1831" t="s">
        <v>1817</v>
      </c>
      <c r="M1831">
        <v>65</v>
      </c>
      <c r="N1831" t="b">
        <v>0</v>
      </c>
      <c r="O1831">
        <v>289</v>
      </c>
      <c r="P1831" t="s">
        <v>1819</v>
      </c>
      <c r="Q1831" t="s">
        <v>1753</v>
      </c>
    </row>
    <row r="1832" spans="1:18" x14ac:dyDescent="0.25">
      <c r="A1832" t="s">
        <v>492</v>
      </c>
      <c r="B1832" t="s">
        <v>1876</v>
      </c>
      <c r="C1832" t="s">
        <v>4</v>
      </c>
      <c r="D1832" t="s">
        <v>493</v>
      </c>
      <c r="E1832" s="2">
        <v>45028</v>
      </c>
      <c r="F1832">
        <v>583</v>
      </c>
      <c r="G1832" t="s">
        <v>1746</v>
      </c>
      <c r="H1832" t="s">
        <v>1747</v>
      </c>
      <c r="I1832" t="b">
        <v>0</v>
      </c>
      <c r="J1832" t="s">
        <v>1748</v>
      </c>
      <c r="K1832" t="s">
        <v>1770</v>
      </c>
      <c r="L1832" t="s">
        <v>1750</v>
      </c>
      <c r="M1832">
        <v>65</v>
      </c>
      <c r="N1832" t="b">
        <v>1</v>
      </c>
      <c r="O1832">
        <v>80</v>
      </c>
      <c r="P1832" t="s">
        <v>1752</v>
      </c>
      <c r="Q1832" t="s">
        <v>1753</v>
      </c>
      <c r="R1832" t="s">
        <v>1759</v>
      </c>
    </row>
    <row r="1833" spans="1:18" x14ac:dyDescent="0.25">
      <c r="A1833" t="s">
        <v>4538</v>
      </c>
      <c r="B1833" t="s">
        <v>2564</v>
      </c>
      <c r="C1833" t="s">
        <v>6</v>
      </c>
      <c r="D1833" t="s">
        <v>4537</v>
      </c>
      <c r="E1833" s="2">
        <v>42311</v>
      </c>
      <c r="F1833">
        <v>3300</v>
      </c>
      <c r="G1833" t="s">
        <v>1746</v>
      </c>
      <c r="H1833" t="s">
        <v>1798</v>
      </c>
      <c r="I1833" t="b">
        <v>1</v>
      </c>
      <c r="J1833" t="s">
        <v>1761</v>
      </c>
      <c r="K1833" t="s">
        <v>1934</v>
      </c>
      <c r="L1833" t="s">
        <v>1817</v>
      </c>
      <c r="M1833">
        <v>64</v>
      </c>
      <c r="N1833" t="b">
        <v>0</v>
      </c>
      <c r="O1833">
        <v>209</v>
      </c>
      <c r="P1833" t="s">
        <v>1819</v>
      </c>
      <c r="Q1833" t="s">
        <v>1753</v>
      </c>
      <c r="R1833" t="s">
        <v>1828</v>
      </c>
    </row>
    <row r="1834" spans="1:18" x14ac:dyDescent="0.25">
      <c r="A1834" t="s">
        <v>261</v>
      </c>
      <c r="B1834" t="s">
        <v>1810</v>
      </c>
      <c r="C1834" t="s">
        <v>4</v>
      </c>
      <c r="D1834" t="s">
        <v>262</v>
      </c>
      <c r="E1834" s="2">
        <v>42984</v>
      </c>
      <c r="F1834">
        <v>2627</v>
      </c>
      <c r="G1834" t="s">
        <v>1746</v>
      </c>
      <c r="H1834" t="s">
        <v>1747</v>
      </c>
      <c r="I1834" t="b">
        <v>0</v>
      </c>
      <c r="J1834" t="s">
        <v>1748</v>
      </c>
      <c r="K1834" t="s">
        <v>1776</v>
      </c>
      <c r="L1834" t="s">
        <v>1750</v>
      </c>
      <c r="M1834">
        <v>64</v>
      </c>
      <c r="N1834" t="b">
        <v>0</v>
      </c>
      <c r="O1834">
        <v>251</v>
      </c>
      <c r="P1834" t="s">
        <v>1752</v>
      </c>
      <c r="Q1834" t="s">
        <v>1753</v>
      </c>
    </row>
    <row r="1835" spans="1:18" x14ac:dyDescent="0.25">
      <c r="A1835" t="s">
        <v>4539</v>
      </c>
      <c r="B1835" t="s">
        <v>2353</v>
      </c>
      <c r="C1835" t="s">
        <v>6</v>
      </c>
      <c r="D1835" t="s">
        <v>1509</v>
      </c>
      <c r="E1835" s="2">
        <v>44537</v>
      </c>
      <c r="F1835">
        <v>1074</v>
      </c>
      <c r="G1835" t="s">
        <v>1746</v>
      </c>
      <c r="H1835" t="s">
        <v>1798</v>
      </c>
      <c r="I1835" t="b">
        <v>0</v>
      </c>
      <c r="J1835" t="s">
        <v>1761</v>
      </c>
      <c r="K1835" t="s">
        <v>1776</v>
      </c>
      <c r="L1835" t="s">
        <v>1756</v>
      </c>
      <c r="M1835">
        <v>64</v>
      </c>
      <c r="N1835" t="b">
        <v>1</v>
      </c>
      <c r="O1835">
        <v>1024</v>
      </c>
      <c r="P1835" t="s">
        <v>1819</v>
      </c>
      <c r="Q1835" t="s">
        <v>1753</v>
      </c>
      <c r="R1835" t="s">
        <v>1759</v>
      </c>
    </row>
    <row r="1836" spans="1:18" x14ac:dyDescent="0.25">
      <c r="A1836" t="s">
        <v>399</v>
      </c>
      <c r="B1836" t="s">
        <v>2035</v>
      </c>
      <c r="C1836" t="s">
        <v>4</v>
      </c>
      <c r="D1836" t="s">
        <v>400</v>
      </c>
      <c r="E1836" s="2">
        <v>39729</v>
      </c>
      <c r="F1836">
        <v>5882</v>
      </c>
      <c r="G1836" t="s">
        <v>1746</v>
      </c>
      <c r="H1836" t="s">
        <v>1798</v>
      </c>
      <c r="I1836" t="b">
        <v>0</v>
      </c>
      <c r="J1836" t="s">
        <v>1748</v>
      </c>
      <c r="K1836" t="s">
        <v>1863</v>
      </c>
      <c r="L1836" t="s">
        <v>1756</v>
      </c>
      <c r="M1836">
        <v>64</v>
      </c>
      <c r="N1836" t="b">
        <v>0</v>
      </c>
      <c r="O1836">
        <v>46</v>
      </c>
      <c r="P1836" t="s">
        <v>1827</v>
      </c>
      <c r="Q1836" t="s">
        <v>1753</v>
      </c>
      <c r="R1836" t="s">
        <v>1828</v>
      </c>
    </row>
    <row r="1837" spans="1:18" x14ac:dyDescent="0.25">
      <c r="A1837" t="s">
        <v>4541</v>
      </c>
      <c r="B1837" t="s">
        <v>2150</v>
      </c>
      <c r="C1837" t="s">
        <v>4</v>
      </c>
      <c r="D1837" t="s">
        <v>4540</v>
      </c>
      <c r="E1837" s="2">
        <v>44768</v>
      </c>
      <c r="F1837">
        <v>843</v>
      </c>
      <c r="G1837" t="s">
        <v>1746</v>
      </c>
      <c r="H1837" t="s">
        <v>1747</v>
      </c>
      <c r="I1837" t="b">
        <v>0</v>
      </c>
      <c r="J1837" t="s">
        <v>1761</v>
      </c>
      <c r="K1837" t="s">
        <v>1770</v>
      </c>
      <c r="L1837" t="s">
        <v>1750</v>
      </c>
      <c r="M1837">
        <v>64</v>
      </c>
      <c r="N1837" t="b">
        <v>1</v>
      </c>
      <c r="O1837">
        <v>783</v>
      </c>
      <c r="P1837" t="s">
        <v>1752</v>
      </c>
      <c r="Q1837" t="s">
        <v>1753</v>
      </c>
      <c r="R1837" t="s">
        <v>1759</v>
      </c>
    </row>
    <row r="1838" spans="1:18" x14ac:dyDescent="0.25">
      <c r="A1838" t="s">
        <v>4543</v>
      </c>
      <c r="B1838" t="s">
        <v>2173</v>
      </c>
      <c r="C1838" t="s">
        <v>4</v>
      </c>
      <c r="D1838" t="s">
        <v>4542</v>
      </c>
      <c r="E1838" s="2">
        <v>43088</v>
      </c>
      <c r="F1838">
        <v>2523</v>
      </c>
      <c r="G1838" t="s">
        <v>1746</v>
      </c>
      <c r="H1838" t="s">
        <v>2231</v>
      </c>
      <c r="I1838" t="b">
        <v>0</v>
      </c>
      <c r="J1838" t="s">
        <v>1761</v>
      </c>
      <c r="K1838" t="s">
        <v>1909</v>
      </c>
      <c r="L1838" t="s">
        <v>1756</v>
      </c>
      <c r="M1838">
        <v>64</v>
      </c>
      <c r="N1838" t="b">
        <v>1</v>
      </c>
      <c r="O1838">
        <v>1911</v>
      </c>
      <c r="P1838" t="s">
        <v>1752</v>
      </c>
      <c r="Q1838" t="s">
        <v>1753</v>
      </c>
      <c r="R1838" t="s">
        <v>1759</v>
      </c>
    </row>
    <row r="1839" spans="1:18" x14ac:dyDescent="0.25">
      <c r="A1839" t="s">
        <v>4544</v>
      </c>
      <c r="B1839" t="s">
        <v>1754</v>
      </c>
      <c r="C1839" t="s">
        <v>4</v>
      </c>
      <c r="D1839" t="s">
        <v>682</v>
      </c>
      <c r="E1839" s="2">
        <v>40415</v>
      </c>
      <c r="F1839">
        <v>5196</v>
      </c>
      <c r="G1839" t="s">
        <v>1746</v>
      </c>
      <c r="H1839" t="s">
        <v>1747</v>
      </c>
      <c r="I1839" t="b">
        <v>0</v>
      </c>
      <c r="J1839" t="s">
        <v>1748</v>
      </c>
      <c r="K1839" t="s">
        <v>1757</v>
      </c>
      <c r="L1839" t="s">
        <v>1750</v>
      </c>
      <c r="M1839">
        <v>64</v>
      </c>
      <c r="N1839" t="b">
        <v>0</v>
      </c>
      <c r="O1839">
        <v>25</v>
      </c>
      <c r="P1839" t="s">
        <v>1752</v>
      </c>
      <c r="Q1839" t="s">
        <v>1753</v>
      </c>
    </row>
    <row r="1840" spans="1:18" x14ac:dyDescent="0.25">
      <c r="A1840" t="s">
        <v>4546</v>
      </c>
      <c r="B1840" t="s">
        <v>2177</v>
      </c>
      <c r="C1840" t="s">
        <v>4</v>
      </c>
      <c r="D1840" t="s">
        <v>4545</v>
      </c>
      <c r="E1840" s="2">
        <v>42803</v>
      </c>
      <c r="F1840">
        <v>2808</v>
      </c>
      <c r="G1840" t="s">
        <v>1746</v>
      </c>
      <c r="H1840" t="s">
        <v>1747</v>
      </c>
      <c r="I1840" t="b">
        <v>0</v>
      </c>
      <c r="J1840" t="s">
        <v>1748</v>
      </c>
      <c r="K1840" t="s">
        <v>1950</v>
      </c>
      <c r="L1840" t="s">
        <v>1756</v>
      </c>
      <c r="M1840">
        <v>63</v>
      </c>
      <c r="N1840" t="b">
        <v>1</v>
      </c>
      <c r="O1840">
        <v>496</v>
      </c>
      <c r="P1840" t="s">
        <v>1752</v>
      </c>
      <c r="Q1840" t="s">
        <v>1753</v>
      </c>
    </row>
    <row r="1841" spans="1:18" x14ac:dyDescent="0.25">
      <c r="A1841" t="s">
        <v>4548</v>
      </c>
      <c r="B1841" t="s">
        <v>2173</v>
      </c>
      <c r="C1841" t="s">
        <v>4</v>
      </c>
      <c r="D1841" t="s">
        <v>4547</v>
      </c>
      <c r="E1841" s="2">
        <v>45509</v>
      </c>
      <c r="F1841">
        <v>102</v>
      </c>
      <c r="G1841" t="s">
        <v>1746</v>
      </c>
      <c r="H1841" t="s">
        <v>2231</v>
      </c>
      <c r="I1841" t="b">
        <v>0</v>
      </c>
      <c r="J1841" t="s">
        <v>1748</v>
      </c>
      <c r="K1841" t="s">
        <v>1793</v>
      </c>
      <c r="L1841" t="s">
        <v>1817</v>
      </c>
      <c r="M1841">
        <v>63</v>
      </c>
      <c r="N1841" t="b">
        <v>0</v>
      </c>
      <c r="O1841">
        <v>561</v>
      </c>
      <c r="P1841" t="s">
        <v>1819</v>
      </c>
      <c r="Q1841" t="s">
        <v>1753</v>
      </c>
      <c r="R1841" t="s">
        <v>1759</v>
      </c>
    </row>
    <row r="1842" spans="1:18" x14ac:dyDescent="0.25">
      <c r="A1842" t="s">
        <v>4550</v>
      </c>
      <c r="B1842" t="s">
        <v>1907</v>
      </c>
      <c r="C1842" t="s">
        <v>6</v>
      </c>
      <c r="D1842" t="s">
        <v>4549</v>
      </c>
      <c r="E1842" s="2">
        <v>44659</v>
      </c>
      <c r="F1842">
        <v>952</v>
      </c>
      <c r="G1842" t="s">
        <v>1746</v>
      </c>
      <c r="H1842" t="s">
        <v>1798</v>
      </c>
      <c r="I1842" t="b">
        <v>1</v>
      </c>
      <c r="J1842" t="s">
        <v>1761</v>
      </c>
      <c r="K1842" t="s">
        <v>1863</v>
      </c>
      <c r="L1842" t="s">
        <v>1750</v>
      </c>
      <c r="M1842">
        <v>63</v>
      </c>
      <c r="N1842" t="b">
        <v>0</v>
      </c>
      <c r="O1842">
        <v>40</v>
      </c>
      <c r="P1842" t="s">
        <v>1752</v>
      </c>
      <c r="Q1842" t="s">
        <v>1753</v>
      </c>
    </row>
    <row r="1843" spans="1:18" x14ac:dyDescent="0.25">
      <c r="A1843" t="s">
        <v>4552</v>
      </c>
      <c r="B1843" t="s">
        <v>2133</v>
      </c>
      <c r="C1843" t="s">
        <v>6</v>
      </c>
      <c r="D1843" t="s">
        <v>4551</v>
      </c>
      <c r="E1843" s="2">
        <v>44993</v>
      </c>
      <c r="F1843">
        <v>618</v>
      </c>
      <c r="G1843" t="s">
        <v>1746</v>
      </c>
      <c r="H1843" t="s">
        <v>1747</v>
      </c>
      <c r="I1843" t="b">
        <v>1</v>
      </c>
      <c r="J1843" t="s">
        <v>1761</v>
      </c>
      <c r="K1843" t="s">
        <v>1774</v>
      </c>
      <c r="L1843" t="s">
        <v>1750</v>
      </c>
      <c r="M1843">
        <v>63</v>
      </c>
      <c r="N1843" t="b">
        <v>0</v>
      </c>
      <c r="O1843">
        <v>198</v>
      </c>
      <c r="P1843" t="s">
        <v>1752</v>
      </c>
      <c r="Q1843" t="s">
        <v>1753</v>
      </c>
    </row>
    <row r="1844" spans="1:18" x14ac:dyDescent="0.25">
      <c r="A1844" t="s">
        <v>4554</v>
      </c>
      <c r="B1844" t="s">
        <v>1785</v>
      </c>
      <c r="C1844" t="s">
        <v>6</v>
      </c>
      <c r="D1844" t="s">
        <v>4553</v>
      </c>
      <c r="E1844" s="2">
        <v>41241</v>
      </c>
      <c r="F1844">
        <v>4370</v>
      </c>
      <c r="G1844" t="s">
        <v>1746</v>
      </c>
      <c r="H1844" t="s">
        <v>1805</v>
      </c>
      <c r="I1844" t="b">
        <v>1</v>
      </c>
      <c r="J1844" t="s">
        <v>1748</v>
      </c>
      <c r="K1844" t="s">
        <v>1863</v>
      </c>
      <c r="L1844" t="s">
        <v>1750</v>
      </c>
      <c r="M1844">
        <v>63</v>
      </c>
      <c r="N1844" t="b">
        <v>0</v>
      </c>
      <c r="O1844">
        <v>100</v>
      </c>
      <c r="P1844" t="s">
        <v>1752</v>
      </c>
      <c r="Q1844" t="s">
        <v>1753</v>
      </c>
    </row>
    <row r="1845" spans="1:18" x14ac:dyDescent="0.25">
      <c r="A1845" t="s">
        <v>805</v>
      </c>
      <c r="B1845" t="s">
        <v>1876</v>
      </c>
      <c r="C1845" t="s">
        <v>4</v>
      </c>
      <c r="D1845" t="s">
        <v>806</v>
      </c>
      <c r="E1845" s="2">
        <v>43648</v>
      </c>
      <c r="F1845">
        <v>1963</v>
      </c>
      <c r="G1845" t="s">
        <v>1746</v>
      </c>
      <c r="H1845" t="s">
        <v>1747</v>
      </c>
      <c r="I1845" t="b">
        <v>0</v>
      </c>
      <c r="J1845" t="s">
        <v>1748</v>
      </c>
      <c r="K1845" t="s">
        <v>1830</v>
      </c>
      <c r="L1845" t="s">
        <v>1750</v>
      </c>
      <c r="M1845">
        <v>62</v>
      </c>
      <c r="N1845" t="b">
        <v>0</v>
      </c>
      <c r="O1845">
        <v>70</v>
      </c>
      <c r="P1845" t="s">
        <v>1752</v>
      </c>
      <c r="Q1845" t="s">
        <v>1753</v>
      </c>
      <c r="R1845" t="s">
        <v>1759</v>
      </c>
    </row>
    <row r="1846" spans="1:18" x14ac:dyDescent="0.25">
      <c r="A1846" t="s">
        <v>4555</v>
      </c>
      <c r="B1846" t="s">
        <v>1860</v>
      </c>
      <c r="C1846" t="s">
        <v>6</v>
      </c>
      <c r="D1846" t="s">
        <v>1121</v>
      </c>
      <c r="E1846" s="2">
        <v>43921</v>
      </c>
      <c r="F1846">
        <v>1690</v>
      </c>
      <c r="G1846" t="s">
        <v>1746</v>
      </c>
      <c r="H1846" t="s">
        <v>1747</v>
      </c>
      <c r="I1846" t="b">
        <v>0</v>
      </c>
      <c r="J1846" t="s">
        <v>1748</v>
      </c>
      <c r="K1846" t="s">
        <v>1787</v>
      </c>
      <c r="L1846" t="s">
        <v>1750</v>
      </c>
      <c r="M1846">
        <v>62</v>
      </c>
      <c r="N1846" t="b">
        <v>0</v>
      </c>
      <c r="O1846">
        <v>147</v>
      </c>
      <c r="P1846" t="s">
        <v>1819</v>
      </c>
      <c r="Q1846" t="s">
        <v>1753</v>
      </c>
    </row>
    <row r="1847" spans="1:18" x14ac:dyDescent="0.25">
      <c r="A1847" t="s">
        <v>4557</v>
      </c>
      <c r="B1847" t="s">
        <v>1866</v>
      </c>
      <c r="C1847" t="s">
        <v>4</v>
      </c>
      <c r="D1847" t="s">
        <v>4556</v>
      </c>
      <c r="E1847" s="2">
        <v>42676</v>
      </c>
      <c r="F1847">
        <v>2935</v>
      </c>
      <c r="G1847" t="s">
        <v>1746</v>
      </c>
      <c r="H1847" t="s">
        <v>1798</v>
      </c>
      <c r="I1847" t="b">
        <v>1</v>
      </c>
      <c r="J1847" t="s">
        <v>1748</v>
      </c>
      <c r="K1847" t="s">
        <v>1774</v>
      </c>
      <c r="L1847" t="s">
        <v>1750</v>
      </c>
      <c r="M1847">
        <v>62</v>
      </c>
      <c r="N1847" t="b">
        <v>0</v>
      </c>
      <c r="O1847">
        <v>505</v>
      </c>
      <c r="P1847" t="s">
        <v>1752</v>
      </c>
      <c r="Q1847" t="s">
        <v>1753</v>
      </c>
    </row>
    <row r="1848" spans="1:18" x14ac:dyDescent="0.25">
      <c r="A1848" t="s">
        <v>4559</v>
      </c>
      <c r="B1848" t="s">
        <v>2144</v>
      </c>
      <c r="C1848" t="s">
        <v>4</v>
      </c>
      <c r="D1848" t="s">
        <v>4558</v>
      </c>
      <c r="E1848" s="2">
        <v>44656</v>
      </c>
      <c r="F1848">
        <v>955</v>
      </c>
      <c r="G1848" t="s">
        <v>1746</v>
      </c>
      <c r="H1848" t="s">
        <v>1798</v>
      </c>
      <c r="I1848" t="b">
        <v>0</v>
      </c>
      <c r="J1848" t="s">
        <v>1761</v>
      </c>
      <c r="K1848" t="s">
        <v>1755</v>
      </c>
      <c r="L1848" t="s">
        <v>1756</v>
      </c>
      <c r="M1848">
        <v>62</v>
      </c>
      <c r="N1848" t="b">
        <v>0</v>
      </c>
      <c r="O1848">
        <v>561</v>
      </c>
      <c r="P1848" t="s">
        <v>1819</v>
      </c>
      <c r="Q1848" t="s">
        <v>1753</v>
      </c>
      <c r="R1848" t="s">
        <v>1759</v>
      </c>
    </row>
    <row r="1849" spans="1:18" x14ac:dyDescent="0.25">
      <c r="A1849" t="s">
        <v>4560</v>
      </c>
      <c r="B1849" t="s">
        <v>2353</v>
      </c>
      <c r="C1849" t="s">
        <v>4</v>
      </c>
      <c r="D1849" t="s">
        <v>209</v>
      </c>
      <c r="E1849" s="2">
        <v>44858</v>
      </c>
      <c r="F1849">
        <v>753</v>
      </c>
      <c r="G1849" t="s">
        <v>1833</v>
      </c>
      <c r="H1849" t="s">
        <v>1798</v>
      </c>
      <c r="I1849" t="b">
        <v>0</v>
      </c>
      <c r="J1849" t="s">
        <v>1748</v>
      </c>
      <c r="K1849" t="s">
        <v>1853</v>
      </c>
      <c r="L1849" t="s">
        <v>1750</v>
      </c>
      <c r="M1849">
        <v>62</v>
      </c>
      <c r="N1849" t="b">
        <v>1</v>
      </c>
      <c r="O1849">
        <v>326</v>
      </c>
      <c r="P1849" t="s">
        <v>1819</v>
      </c>
      <c r="Q1849" t="s">
        <v>1753</v>
      </c>
      <c r="R1849" t="s">
        <v>1759</v>
      </c>
    </row>
    <row r="1850" spans="1:18" x14ac:dyDescent="0.25">
      <c r="A1850" t="s">
        <v>4562</v>
      </c>
      <c r="B1850" t="s">
        <v>2144</v>
      </c>
      <c r="C1850" t="s">
        <v>4</v>
      </c>
      <c r="D1850" t="s">
        <v>4561</v>
      </c>
      <c r="E1850" s="2">
        <v>45091</v>
      </c>
      <c r="F1850">
        <v>520</v>
      </c>
      <c r="G1850" t="s">
        <v>1746</v>
      </c>
      <c r="H1850" t="s">
        <v>1747</v>
      </c>
      <c r="I1850" t="b">
        <v>0</v>
      </c>
      <c r="J1850" t="s">
        <v>1761</v>
      </c>
      <c r="K1850" t="s">
        <v>1868</v>
      </c>
      <c r="L1850" t="s">
        <v>1756</v>
      </c>
      <c r="M1850">
        <v>62</v>
      </c>
      <c r="N1850" t="b">
        <v>1</v>
      </c>
      <c r="O1850">
        <v>3620</v>
      </c>
      <c r="P1850" t="s">
        <v>1752</v>
      </c>
      <c r="Q1850" t="s">
        <v>1753</v>
      </c>
      <c r="R1850" t="s">
        <v>1759</v>
      </c>
    </row>
    <row r="1851" spans="1:18" x14ac:dyDescent="0.25">
      <c r="A1851" t="s">
        <v>4564</v>
      </c>
      <c r="B1851" t="s">
        <v>1907</v>
      </c>
      <c r="C1851" t="s">
        <v>6</v>
      </c>
      <c r="D1851" t="s">
        <v>4563</v>
      </c>
      <c r="E1851" s="2">
        <v>44950</v>
      </c>
      <c r="F1851">
        <v>661</v>
      </c>
      <c r="G1851" t="s">
        <v>1746</v>
      </c>
      <c r="H1851" t="s">
        <v>1798</v>
      </c>
      <c r="I1851" t="b">
        <v>1</v>
      </c>
      <c r="J1851" t="s">
        <v>1761</v>
      </c>
      <c r="K1851" t="s">
        <v>1824</v>
      </c>
      <c r="L1851" t="s">
        <v>1817</v>
      </c>
      <c r="M1851">
        <v>62</v>
      </c>
      <c r="N1851" t="b">
        <v>0</v>
      </c>
      <c r="O1851">
        <v>39</v>
      </c>
      <c r="P1851" t="s">
        <v>1819</v>
      </c>
      <c r="Q1851" t="s">
        <v>1753</v>
      </c>
      <c r="R1851" t="s">
        <v>1828</v>
      </c>
    </row>
    <row r="1852" spans="1:18" x14ac:dyDescent="0.25">
      <c r="A1852" t="s">
        <v>4566</v>
      </c>
      <c r="B1852" t="s">
        <v>2011</v>
      </c>
      <c r="C1852" t="s">
        <v>4</v>
      </c>
      <c r="D1852" t="s">
        <v>4565</v>
      </c>
      <c r="E1852" s="2">
        <v>45251</v>
      </c>
      <c r="F1852">
        <v>360</v>
      </c>
      <c r="G1852" t="s">
        <v>1746</v>
      </c>
      <c r="H1852" t="s">
        <v>1747</v>
      </c>
      <c r="I1852" t="b">
        <v>0</v>
      </c>
      <c r="J1852" t="s">
        <v>1748</v>
      </c>
      <c r="K1852" t="s">
        <v>1986</v>
      </c>
      <c r="L1852" t="s">
        <v>1750</v>
      </c>
      <c r="M1852">
        <v>62</v>
      </c>
      <c r="N1852" t="b">
        <v>1</v>
      </c>
      <c r="P1852" t="s">
        <v>1752</v>
      </c>
      <c r="Q1852" t="s">
        <v>1753</v>
      </c>
    </row>
    <row r="1853" spans="1:18" x14ac:dyDescent="0.25">
      <c r="A1853" t="s">
        <v>378</v>
      </c>
      <c r="B1853" t="s">
        <v>2220</v>
      </c>
      <c r="C1853" t="s">
        <v>4</v>
      </c>
      <c r="D1853" t="s">
        <v>379</v>
      </c>
      <c r="E1853" s="2">
        <v>43367</v>
      </c>
      <c r="F1853">
        <v>2244</v>
      </c>
      <c r="G1853" t="s">
        <v>1746</v>
      </c>
      <c r="H1853" t="s">
        <v>1747</v>
      </c>
      <c r="I1853" t="b">
        <v>1</v>
      </c>
      <c r="J1853" t="s">
        <v>1761</v>
      </c>
      <c r="K1853" t="s">
        <v>1917</v>
      </c>
      <c r="L1853" t="s">
        <v>1750</v>
      </c>
      <c r="M1853">
        <v>61</v>
      </c>
      <c r="N1853" t="b">
        <v>0</v>
      </c>
      <c r="O1853">
        <v>84</v>
      </c>
      <c r="P1853" t="s">
        <v>1819</v>
      </c>
      <c r="Q1853" t="s">
        <v>1753</v>
      </c>
      <c r="R1853" t="s">
        <v>1759</v>
      </c>
    </row>
    <row r="1854" spans="1:18" x14ac:dyDescent="0.25">
      <c r="A1854" t="s">
        <v>4568</v>
      </c>
      <c r="B1854" t="s">
        <v>2032</v>
      </c>
      <c r="C1854" t="s">
        <v>4</v>
      </c>
      <c r="D1854" t="s">
        <v>4567</v>
      </c>
      <c r="E1854" s="2">
        <v>43938</v>
      </c>
      <c r="F1854">
        <v>1673</v>
      </c>
      <c r="G1854" t="s">
        <v>1746</v>
      </c>
      <c r="H1854" t="s">
        <v>1798</v>
      </c>
      <c r="I1854" t="b">
        <v>0</v>
      </c>
      <c r="J1854" t="s">
        <v>1748</v>
      </c>
      <c r="K1854" t="s">
        <v>1776</v>
      </c>
      <c r="L1854" t="s">
        <v>1756</v>
      </c>
      <c r="M1854">
        <v>61</v>
      </c>
      <c r="N1854" t="b">
        <v>1</v>
      </c>
      <c r="O1854">
        <v>100</v>
      </c>
      <c r="P1854" t="s">
        <v>1752</v>
      </c>
      <c r="Q1854" t="s">
        <v>1753</v>
      </c>
      <c r="R1854" t="s">
        <v>1828</v>
      </c>
    </row>
    <row r="1855" spans="1:18" x14ac:dyDescent="0.25">
      <c r="A1855" t="s">
        <v>4569</v>
      </c>
      <c r="B1855" t="s">
        <v>1829</v>
      </c>
      <c r="C1855" t="s">
        <v>6</v>
      </c>
      <c r="D1855" t="s">
        <v>1133</v>
      </c>
      <c r="E1855" s="2">
        <v>42907</v>
      </c>
      <c r="F1855">
        <v>2704</v>
      </c>
      <c r="G1855" t="s">
        <v>1746</v>
      </c>
      <c r="H1855" t="s">
        <v>1798</v>
      </c>
      <c r="I1855" t="b">
        <v>1</v>
      </c>
      <c r="J1855" t="s">
        <v>1748</v>
      </c>
      <c r="K1855" t="s">
        <v>1986</v>
      </c>
      <c r="L1855" t="s">
        <v>1750</v>
      </c>
      <c r="M1855">
        <v>61</v>
      </c>
      <c r="N1855" t="b">
        <v>0</v>
      </c>
      <c r="O1855">
        <v>415</v>
      </c>
      <c r="P1855" t="s">
        <v>1752</v>
      </c>
      <c r="Q1855" t="s">
        <v>1753</v>
      </c>
      <c r="R1855" t="s">
        <v>1828</v>
      </c>
    </row>
    <row r="1856" spans="1:18" x14ac:dyDescent="0.25">
      <c r="A1856" t="s">
        <v>4570</v>
      </c>
      <c r="B1856" t="s">
        <v>1781</v>
      </c>
      <c r="C1856" t="s">
        <v>4</v>
      </c>
      <c r="D1856" t="s">
        <v>320</v>
      </c>
      <c r="E1856" s="2">
        <v>44740</v>
      </c>
      <c r="F1856">
        <v>871</v>
      </c>
      <c r="G1856" t="s">
        <v>1746</v>
      </c>
      <c r="H1856" t="s">
        <v>1798</v>
      </c>
      <c r="I1856" t="b">
        <v>1</v>
      </c>
      <c r="J1856" t="s">
        <v>1748</v>
      </c>
      <c r="K1856" t="s">
        <v>1765</v>
      </c>
      <c r="L1856" t="s">
        <v>1750</v>
      </c>
      <c r="M1856">
        <v>61</v>
      </c>
      <c r="N1856" t="b">
        <v>0</v>
      </c>
      <c r="O1856">
        <v>50</v>
      </c>
      <c r="P1856" t="s">
        <v>1752</v>
      </c>
      <c r="Q1856" t="s">
        <v>1753</v>
      </c>
      <c r="R1856" t="s">
        <v>1828</v>
      </c>
    </row>
    <row r="1857" spans="1:18" x14ac:dyDescent="0.25">
      <c r="A1857" t="s">
        <v>4572</v>
      </c>
      <c r="B1857" t="s">
        <v>1704</v>
      </c>
      <c r="C1857" t="s">
        <v>6</v>
      </c>
      <c r="D1857" t="s">
        <v>4571</v>
      </c>
      <c r="E1857" s="2">
        <v>45372</v>
      </c>
      <c r="F1857">
        <v>239</v>
      </c>
      <c r="G1857" t="s">
        <v>1746</v>
      </c>
      <c r="H1857" t="s">
        <v>1798</v>
      </c>
      <c r="I1857" t="b">
        <v>0</v>
      </c>
      <c r="J1857" t="s">
        <v>1761</v>
      </c>
      <c r="K1857" t="s">
        <v>1776</v>
      </c>
      <c r="L1857" t="s">
        <v>1750</v>
      </c>
      <c r="M1857">
        <v>61</v>
      </c>
      <c r="N1857" t="b">
        <v>0</v>
      </c>
      <c r="O1857">
        <v>30</v>
      </c>
      <c r="P1857" t="s">
        <v>1752</v>
      </c>
      <c r="Q1857" t="s">
        <v>1753</v>
      </c>
      <c r="R1857" t="s">
        <v>1828</v>
      </c>
    </row>
    <row r="1858" spans="1:18" x14ac:dyDescent="0.25">
      <c r="A1858" t="s">
        <v>4574</v>
      </c>
      <c r="B1858" t="s">
        <v>2133</v>
      </c>
      <c r="C1858" t="s">
        <v>4</v>
      </c>
      <c r="D1858" t="s">
        <v>4573</v>
      </c>
      <c r="E1858" s="2">
        <v>45112</v>
      </c>
      <c r="F1858">
        <v>499</v>
      </c>
      <c r="G1858" t="s">
        <v>1746</v>
      </c>
      <c r="H1858" t="s">
        <v>1747</v>
      </c>
      <c r="I1858" t="b">
        <v>0</v>
      </c>
      <c r="J1858" t="s">
        <v>1748</v>
      </c>
      <c r="K1858" t="s">
        <v>1776</v>
      </c>
      <c r="L1858" t="s">
        <v>1750</v>
      </c>
      <c r="M1858">
        <v>61</v>
      </c>
      <c r="N1858" t="b">
        <v>1</v>
      </c>
      <c r="O1858">
        <v>166</v>
      </c>
      <c r="P1858" t="s">
        <v>1752</v>
      </c>
      <c r="Q1858" t="s">
        <v>1753</v>
      </c>
      <c r="R1858" t="s">
        <v>1759</v>
      </c>
    </row>
    <row r="1859" spans="1:18" x14ac:dyDescent="0.25">
      <c r="A1859" t="s">
        <v>4575</v>
      </c>
      <c r="B1859" t="s">
        <v>2060</v>
      </c>
      <c r="C1859" t="s">
        <v>6</v>
      </c>
      <c r="D1859" t="s">
        <v>92</v>
      </c>
      <c r="E1859" s="2">
        <v>43495</v>
      </c>
      <c r="F1859">
        <v>2116</v>
      </c>
      <c r="G1859" t="s">
        <v>1746</v>
      </c>
      <c r="H1859" t="s">
        <v>1798</v>
      </c>
      <c r="I1859" t="b">
        <v>1</v>
      </c>
      <c r="J1859" t="s">
        <v>1761</v>
      </c>
      <c r="K1859" t="s">
        <v>1765</v>
      </c>
      <c r="L1859" t="s">
        <v>1750</v>
      </c>
      <c r="M1859">
        <v>61</v>
      </c>
      <c r="N1859" t="b">
        <v>0</v>
      </c>
      <c r="O1859">
        <v>409</v>
      </c>
      <c r="P1859" t="s">
        <v>1752</v>
      </c>
      <c r="Q1859" t="s">
        <v>1753</v>
      </c>
      <c r="R1859" t="s">
        <v>1828</v>
      </c>
    </row>
    <row r="1860" spans="1:18" x14ac:dyDescent="0.25">
      <c r="A1860" t="s">
        <v>4577</v>
      </c>
      <c r="B1860" t="s">
        <v>2150</v>
      </c>
      <c r="C1860" t="s">
        <v>6</v>
      </c>
      <c r="D1860" t="s">
        <v>4576</v>
      </c>
      <c r="E1860" s="2">
        <v>44543</v>
      </c>
      <c r="F1860">
        <v>1068</v>
      </c>
      <c r="G1860" t="s">
        <v>1746</v>
      </c>
      <c r="H1860" t="s">
        <v>1747</v>
      </c>
      <c r="I1860" t="b">
        <v>0</v>
      </c>
      <c r="J1860" t="s">
        <v>1748</v>
      </c>
      <c r="K1860" t="s">
        <v>1985</v>
      </c>
      <c r="L1860" t="s">
        <v>1817</v>
      </c>
      <c r="M1860">
        <v>61</v>
      </c>
      <c r="N1860" t="b">
        <v>0</v>
      </c>
      <c r="O1860">
        <v>96</v>
      </c>
      <c r="P1860" t="s">
        <v>1819</v>
      </c>
      <c r="Q1860" t="s">
        <v>1753</v>
      </c>
    </row>
    <row r="1861" spans="1:18" x14ac:dyDescent="0.25">
      <c r="A1861" t="s">
        <v>4578</v>
      </c>
      <c r="B1861" t="s">
        <v>1945</v>
      </c>
      <c r="C1861" t="s">
        <v>6</v>
      </c>
      <c r="D1861" t="s">
        <v>139</v>
      </c>
      <c r="E1861" s="2">
        <v>42528</v>
      </c>
      <c r="F1861">
        <v>3083</v>
      </c>
      <c r="G1861" t="s">
        <v>1746</v>
      </c>
      <c r="H1861" t="s">
        <v>1798</v>
      </c>
      <c r="I1861" t="b">
        <v>0</v>
      </c>
      <c r="J1861" t="s">
        <v>1748</v>
      </c>
      <c r="K1861" t="s">
        <v>1922</v>
      </c>
      <c r="L1861" t="s">
        <v>1766</v>
      </c>
      <c r="M1861">
        <v>61</v>
      </c>
      <c r="N1861" t="b">
        <v>1</v>
      </c>
      <c r="P1861" t="s">
        <v>1752</v>
      </c>
      <c r="Q1861" t="s">
        <v>1753</v>
      </c>
      <c r="R1861" t="s">
        <v>1828</v>
      </c>
    </row>
    <row r="1862" spans="1:18" x14ac:dyDescent="0.25">
      <c r="A1862" t="s">
        <v>4580</v>
      </c>
      <c r="B1862" t="s">
        <v>1866</v>
      </c>
      <c r="C1862" t="s">
        <v>572</v>
      </c>
      <c r="D1862" t="s">
        <v>4579</v>
      </c>
      <c r="E1862" s="2">
        <v>43129</v>
      </c>
      <c r="F1862">
        <v>2482</v>
      </c>
      <c r="G1862" t="s">
        <v>1746</v>
      </c>
      <c r="H1862" t="s">
        <v>1798</v>
      </c>
      <c r="I1862" t="b">
        <v>0</v>
      </c>
      <c r="J1862" t="s">
        <v>1761</v>
      </c>
      <c r="K1862" t="s">
        <v>1809</v>
      </c>
      <c r="L1862" t="s">
        <v>1750</v>
      </c>
      <c r="M1862">
        <v>61</v>
      </c>
      <c r="N1862" t="b">
        <v>1</v>
      </c>
      <c r="O1862">
        <v>477</v>
      </c>
      <c r="P1862" t="s">
        <v>1752</v>
      </c>
      <c r="Q1862" t="s">
        <v>1753</v>
      </c>
      <c r="R1862" t="s">
        <v>1828</v>
      </c>
    </row>
    <row r="1863" spans="1:18" x14ac:dyDescent="0.25">
      <c r="A1863" t="s">
        <v>4582</v>
      </c>
      <c r="B1863" t="s">
        <v>1840</v>
      </c>
      <c r="C1863" t="s">
        <v>6</v>
      </c>
      <c r="D1863" t="s">
        <v>4581</v>
      </c>
      <c r="E1863" s="2">
        <v>39093</v>
      </c>
      <c r="F1863">
        <v>6518</v>
      </c>
      <c r="G1863" t="s">
        <v>1746</v>
      </c>
      <c r="H1863" t="s">
        <v>1798</v>
      </c>
      <c r="I1863" t="b">
        <v>0</v>
      </c>
      <c r="J1863" t="s">
        <v>1748</v>
      </c>
      <c r="K1863" t="s">
        <v>1757</v>
      </c>
      <c r="L1863" t="s">
        <v>1766</v>
      </c>
      <c r="M1863">
        <v>60</v>
      </c>
      <c r="N1863" t="b">
        <v>0</v>
      </c>
      <c r="P1863" t="s">
        <v>1752</v>
      </c>
      <c r="Q1863" t="s">
        <v>1753</v>
      </c>
      <c r="R1863" t="s">
        <v>1759</v>
      </c>
    </row>
    <row r="1864" spans="1:18" x14ac:dyDescent="0.25">
      <c r="A1864" t="s">
        <v>4584</v>
      </c>
      <c r="B1864" t="s">
        <v>2183</v>
      </c>
      <c r="C1864" t="s">
        <v>572</v>
      </c>
      <c r="D1864" t="s">
        <v>4583</v>
      </c>
      <c r="E1864" s="2">
        <v>44333</v>
      </c>
      <c r="F1864">
        <v>1278</v>
      </c>
      <c r="G1864" t="s">
        <v>1746</v>
      </c>
      <c r="H1864" t="s">
        <v>1798</v>
      </c>
      <c r="I1864" t="b">
        <v>0</v>
      </c>
      <c r="J1864" t="s">
        <v>1748</v>
      </c>
      <c r="K1864" t="s">
        <v>1799</v>
      </c>
      <c r="L1864" t="s">
        <v>1775</v>
      </c>
      <c r="M1864">
        <v>60</v>
      </c>
      <c r="N1864" t="b">
        <v>0</v>
      </c>
      <c r="P1864" t="s">
        <v>1778</v>
      </c>
      <c r="Q1864" t="s">
        <v>1779</v>
      </c>
    </row>
    <row r="1865" spans="1:18" x14ac:dyDescent="0.25">
      <c r="A1865" t="s">
        <v>4586</v>
      </c>
      <c r="B1865" t="s">
        <v>2150</v>
      </c>
      <c r="C1865" t="s">
        <v>4</v>
      </c>
      <c r="D1865" t="s">
        <v>4585</v>
      </c>
      <c r="E1865" s="2">
        <v>44021</v>
      </c>
      <c r="F1865">
        <v>1590</v>
      </c>
      <c r="G1865" t="s">
        <v>1746</v>
      </c>
      <c r="H1865" t="s">
        <v>1805</v>
      </c>
      <c r="I1865" t="b">
        <v>0</v>
      </c>
      <c r="J1865" t="s">
        <v>1748</v>
      </c>
      <c r="K1865" t="s">
        <v>1808</v>
      </c>
      <c r="L1865" t="s">
        <v>1775</v>
      </c>
      <c r="M1865">
        <v>60</v>
      </c>
      <c r="N1865" t="b">
        <v>0</v>
      </c>
      <c r="P1865" t="s">
        <v>1778</v>
      </c>
      <c r="Q1865" t="s">
        <v>1779</v>
      </c>
    </row>
    <row r="1866" spans="1:18" x14ac:dyDescent="0.25">
      <c r="A1866" t="s">
        <v>4587</v>
      </c>
      <c r="B1866" t="s">
        <v>1876</v>
      </c>
      <c r="C1866" t="s">
        <v>4</v>
      </c>
      <c r="D1866" t="s">
        <v>1674</v>
      </c>
      <c r="E1866" s="2">
        <v>44901</v>
      </c>
      <c r="F1866">
        <v>710</v>
      </c>
      <c r="G1866" t="s">
        <v>1746</v>
      </c>
      <c r="H1866" t="s">
        <v>1747</v>
      </c>
      <c r="I1866" t="b">
        <v>0</v>
      </c>
      <c r="J1866" t="s">
        <v>1748</v>
      </c>
      <c r="K1866" t="s">
        <v>1898</v>
      </c>
      <c r="L1866" t="s">
        <v>1750</v>
      </c>
      <c r="M1866">
        <v>60</v>
      </c>
      <c r="N1866" t="b">
        <v>1</v>
      </c>
      <c r="O1866">
        <v>316</v>
      </c>
      <c r="P1866" t="s">
        <v>1752</v>
      </c>
      <c r="Q1866" t="s">
        <v>1753</v>
      </c>
    </row>
    <row r="1867" spans="1:18" x14ac:dyDescent="0.25">
      <c r="A1867" t="s">
        <v>4589</v>
      </c>
      <c r="B1867" t="s">
        <v>2133</v>
      </c>
      <c r="C1867" t="s">
        <v>4</v>
      </c>
      <c r="D1867" t="s">
        <v>4588</v>
      </c>
      <c r="E1867" s="2">
        <v>45103</v>
      </c>
      <c r="F1867">
        <v>508</v>
      </c>
      <c r="G1867" t="s">
        <v>1746</v>
      </c>
      <c r="H1867" t="s">
        <v>1747</v>
      </c>
      <c r="I1867" t="b">
        <v>1</v>
      </c>
      <c r="J1867" t="s">
        <v>1761</v>
      </c>
      <c r="K1867" t="s">
        <v>1824</v>
      </c>
      <c r="L1867" t="s">
        <v>1756</v>
      </c>
      <c r="M1867">
        <v>60</v>
      </c>
      <c r="N1867" t="b">
        <v>0</v>
      </c>
      <c r="O1867">
        <v>2420</v>
      </c>
      <c r="P1867" t="s">
        <v>1752</v>
      </c>
      <c r="Q1867" t="s">
        <v>1753</v>
      </c>
      <c r="R1867" t="s">
        <v>1759</v>
      </c>
    </row>
    <row r="1868" spans="1:18" x14ac:dyDescent="0.25">
      <c r="A1868" t="s">
        <v>4591</v>
      </c>
      <c r="B1868" t="s">
        <v>2662</v>
      </c>
      <c r="C1868" t="s">
        <v>4</v>
      </c>
      <c r="D1868" t="s">
        <v>4590</v>
      </c>
      <c r="E1868" s="2">
        <v>45125</v>
      </c>
      <c r="F1868">
        <v>486</v>
      </c>
      <c r="G1868" t="s">
        <v>1746</v>
      </c>
      <c r="H1868" t="s">
        <v>1798</v>
      </c>
      <c r="I1868" t="b">
        <v>0</v>
      </c>
      <c r="J1868" t="s">
        <v>1748</v>
      </c>
      <c r="K1868" t="s">
        <v>2042</v>
      </c>
      <c r="L1868" t="s">
        <v>1750</v>
      </c>
      <c r="M1868">
        <v>60</v>
      </c>
      <c r="N1868" t="b">
        <v>0</v>
      </c>
      <c r="O1868">
        <v>30</v>
      </c>
      <c r="P1868" t="s">
        <v>1752</v>
      </c>
      <c r="Q1868" t="s">
        <v>1753</v>
      </c>
      <c r="R1868" t="s">
        <v>1759</v>
      </c>
    </row>
    <row r="1869" spans="1:18" x14ac:dyDescent="0.25">
      <c r="A1869" t="s">
        <v>4592</v>
      </c>
      <c r="B1869" t="s">
        <v>1754</v>
      </c>
      <c r="C1869" t="s">
        <v>4</v>
      </c>
      <c r="D1869" t="s">
        <v>225</v>
      </c>
      <c r="E1869" s="2">
        <v>41933</v>
      </c>
      <c r="F1869">
        <v>3678</v>
      </c>
      <c r="G1869" t="s">
        <v>1746</v>
      </c>
      <c r="H1869" t="s">
        <v>1798</v>
      </c>
      <c r="I1869" t="b">
        <v>0</v>
      </c>
      <c r="J1869" t="s">
        <v>1748</v>
      </c>
      <c r="K1869" t="s">
        <v>1757</v>
      </c>
      <c r="L1869" t="s">
        <v>1750</v>
      </c>
      <c r="M1869">
        <v>60</v>
      </c>
      <c r="N1869" t="b">
        <v>0</v>
      </c>
      <c r="O1869">
        <v>150</v>
      </c>
      <c r="P1869" t="s">
        <v>1752</v>
      </c>
      <c r="Q1869" t="s">
        <v>1753</v>
      </c>
      <c r="R1869" t="s">
        <v>1828</v>
      </c>
    </row>
    <row r="1870" spans="1:18" x14ac:dyDescent="0.25">
      <c r="A1870" t="s">
        <v>4594</v>
      </c>
      <c r="B1870" t="s">
        <v>2173</v>
      </c>
      <c r="C1870" t="s">
        <v>6</v>
      </c>
      <c r="D1870" t="s">
        <v>4593</v>
      </c>
      <c r="E1870" s="2">
        <v>44572</v>
      </c>
      <c r="F1870">
        <v>1039</v>
      </c>
      <c r="G1870" t="s">
        <v>1746</v>
      </c>
      <c r="H1870" t="s">
        <v>2231</v>
      </c>
      <c r="I1870" t="b">
        <v>0</v>
      </c>
      <c r="J1870" t="s">
        <v>1748</v>
      </c>
      <c r="K1870" t="s">
        <v>1826</v>
      </c>
      <c r="L1870" t="s">
        <v>1817</v>
      </c>
      <c r="M1870">
        <v>60</v>
      </c>
      <c r="N1870" t="b">
        <v>1</v>
      </c>
      <c r="O1870">
        <v>1037</v>
      </c>
      <c r="P1870" t="s">
        <v>1819</v>
      </c>
      <c r="Q1870" t="s">
        <v>1753</v>
      </c>
      <c r="R1870" t="s">
        <v>1759</v>
      </c>
    </row>
    <row r="1871" spans="1:18" x14ac:dyDescent="0.25">
      <c r="A1871" t="s">
        <v>4596</v>
      </c>
      <c r="B1871" t="s">
        <v>1907</v>
      </c>
      <c r="C1871" t="s">
        <v>4</v>
      </c>
      <c r="D1871" t="s">
        <v>4595</v>
      </c>
      <c r="E1871" s="2">
        <v>45007</v>
      </c>
      <c r="F1871">
        <v>604</v>
      </c>
      <c r="G1871" t="s">
        <v>1746</v>
      </c>
      <c r="H1871" t="s">
        <v>1747</v>
      </c>
      <c r="I1871" t="b">
        <v>0</v>
      </c>
      <c r="J1871" t="s">
        <v>1748</v>
      </c>
      <c r="K1871" t="s">
        <v>1755</v>
      </c>
      <c r="L1871" t="s">
        <v>1750</v>
      </c>
      <c r="M1871">
        <v>59</v>
      </c>
      <c r="N1871" t="b">
        <v>1</v>
      </c>
      <c r="O1871">
        <v>613</v>
      </c>
      <c r="P1871" t="s">
        <v>1752</v>
      </c>
      <c r="Q1871" t="s">
        <v>1753</v>
      </c>
      <c r="R1871" t="s">
        <v>1759</v>
      </c>
    </row>
    <row r="1872" spans="1:18" x14ac:dyDescent="0.25">
      <c r="A1872" t="s">
        <v>4598</v>
      </c>
      <c r="B1872" t="s">
        <v>2150</v>
      </c>
      <c r="C1872" t="s">
        <v>4</v>
      </c>
      <c r="D1872" t="s">
        <v>4597</v>
      </c>
      <c r="E1872" s="2">
        <v>43558</v>
      </c>
      <c r="F1872">
        <v>2053</v>
      </c>
      <c r="G1872" t="s">
        <v>1833</v>
      </c>
      <c r="H1872" t="s">
        <v>1805</v>
      </c>
      <c r="I1872" t="b">
        <v>0</v>
      </c>
      <c r="J1872" t="s">
        <v>1748</v>
      </c>
      <c r="K1872" t="s">
        <v>1770</v>
      </c>
      <c r="L1872" t="s">
        <v>1750</v>
      </c>
      <c r="M1872">
        <v>59</v>
      </c>
      <c r="N1872" t="b">
        <v>0</v>
      </c>
      <c r="O1872">
        <v>124</v>
      </c>
      <c r="P1872" t="s">
        <v>1819</v>
      </c>
      <c r="Q1872" t="s">
        <v>1753</v>
      </c>
      <c r="R1872" t="s">
        <v>1759</v>
      </c>
    </row>
    <row r="1873" spans="1:18" x14ac:dyDescent="0.25">
      <c r="A1873" t="s">
        <v>4600</v>
      </c>
      <c r="B1873" t="s">
        <v>1803</v>
      </c>
      <c r="C1873" t="s">
        <v>572</v>
      </c>
      <c r="D1873" t="s">
        <v>4599</v>
      </c>
      <c r="E1873" s="2">
        <v>42307</v>
      </c>
      <c r="F1873">
        <v>3304</v>
      </c>
      <c r="G1873" t="s">
        <v>1746</v>
      </c>
      <c r="H1873" t="s">
        <v>1798</v>
      </c>
      <c r="I1873" t="b">
        <v>0</v>
      </c>
      <c r="J1873" t="s">
        <v>1761</v>
      </c>
      <c r="K1873" t="s">
        <v>1776</v>
      </c>
      <c r="L1873" t="s">
        <v>1750</v>
      </c>
      <c r="M1873">
        <v>59</v>
      </c>
      <c r="N1873" t="b">
        <v>0</v>
      </c>
      <c r="O1873">
        <v>15</v>
      </c>
      <c r="P1873" t="s">
        <v>1752</v>
      </c>
      <c r="Q1873" t="s">
        <v>1753</v>
      </c>
    </row>
    <row r="1874" spans="1:18" x14ac:dyDescent="0.25">
      <c r="A1874" t="s">
        <v>4601</v>
      </c>
      <c r="B1874" t="s">
        <v>2353</v>
      </c>
      <c r="C1874" t="s">
        <v>4</v>
      </c>
      <c r="D1874" t="s">
        <v>465</v>
      </c>
      <c r="E1874" s="2">
        <v>44761</v>
      </c>
      <c r="F1874">
        <v>850</v>
      </c>
      <c r="G1874" t="s">
        <v>1833</v>
      </c>
      <c r="H1874" t="s">
        <v>1798</v>
      </c>
      <c r="I1874" t="b">
        <v>0</v>
      </c>
      <c r="J1874" t="s">
        <v>1748</v>
      </c>
      <c r="K1874" t="s">
        <v>1853</v>
      </c>
      <c r="L1874" t="s">
        <v>1750</v>
      </c>
      <c r="M1874">
        <v>59</v>
      </c>
      <c r="N1874" t="b">
        <v>1</v>
      </c>
      <c r="O1874">
        <v>357</v>
      </c>
      <c r="P1874" t="s">
        <v>1752</v>
      </c>
      <c r="Q1874" t="s">
        <v>1753</v>
      </c>
      <c r="R1874" t="s">
        <v>1759</v>
      </c>
    </row>
    <row r="1875" spans="1:18" x14ac:dyDescent="0.25">
      <c r="A1875" t="s">
        <v>4603</v>
      </c>
      <c r="B1875" t="s">
        <v>2085</v>
      </c>
      <c r="C1875" t="s">
        <v>6</v>
      </c>
      <c r="D1875" t="s">
        <v>4602</v>
      </c>
      <c r="E1875" s="2">
        <v>43731</v>
      </c>
      <c r="F1875">
        <v>1880</v>
      </c>
      <c r="G1875" t="s">
        <v>1746</v>
      </c>
      <c r="H1875" t="s">
        <v>1747</v>
      </c>
      <c r="I1875" t="b">
        <v>0</v>
      </c>
      <c r="J1875" t="s">
        <v>1748</v>
      </c>
      <c r="K1875" t="s">
        <v>1863</v>
      </c>
      <c r="L1875" t="s">
        <v>1750</v>
      </c>
      <c r="M1875">
        <v>59</v>
      </c>
      <c r="N1875" t="b">
        <v>0</v>
      </c>
      <c r="O1875">
        <v>48</v>
      </c>
      <c r="P1875" t="s">
        <v>1819</v>
      </c>
      <c r="Q1875" t="s">
        <v>1753</v>
      </c>
    </row>
    <row r="1876" spans="1:18" x14ac:dyDescent="0.25">
      <c r="A1876" t="s">
        <v>4605</v>
      </c>
      <c r="B1876" t="s">
        <v>1803</v>
      </c>
      <c r="C1876" t="s">
        <v>6</v>
      </c>
      <c r="D1876" t="s">
        <v>4604</v>
      </c>
      <c r="E1876" s="2">
        <v>43137</v>
      </c>
      <c r="F1876">
        <v>2474</v>
      </c>
      <c r="G1876" t="s">
        <v>1746</v>
      </c>
      <c r="H1876" t="s">
        <v>1798</v>
      </c>
      <c r="I1876" t="b">
        <v>1</v>
      </c>
      <c r="J1876" t="s">
        <v>1761</v>
      </c>
      <c r="K1876" t="s">
        <v>1988</v>
      </c>
      <c r="L1876" t="s">
        <v>1750</v>
      </c>
      <c r="M1876">
        <v>59</v>
      </c>
      <c r="N1876" t="b">
        <v>0</v>
      </c>
      <c r="O1876">
        <v>361</v>
      </c>
      <c r="P1876" t="s">
        <v>2266</v>
      </c>
      <c r="Q1876" t="s">
        <v>1753</v>
      </c>
      <c r="R1876" t="s">
        <v>1759</v>
      </c>
    </row>
    <row r="1877" spans="1:18" x14ac:dyDescent="0.25">
      <c r="A1877" t="s">
        <v>4607</v>
      </c>
      <c r="B1877" t="s">
        <v>4608</v>
      </c>
      <c r="C1877" t="s">
        <v>4</v>
      </c>
      <c r="D1877" t="s">
        <v>4606</v>
      </c>
      <c r="E1877" s="2">
        <v>44854</v>
      </c>
      <c r="F1877">
        <v>757</v>
      </c>
      <c r="G1877" t="s">
        <v>1746</v>
      </c>
      <c r="H1877" t="s">
        <v>1747</v>
      </c>
      <c r="I1877" t="b">
        <v>0</v>
      </c>
      <c r="J1877" t="s">
        <v>1748</v>
      </c>
      <c r="K1877" t="s">
        <v>1776</v>
      </c>
      <c r="L1877" t="s">
        <v>1756</v>
      </c>
      <c r="M1877">
        <v>59</v>
      </c>
      <c r="N1877" t="b">
        <v>1</v>
      </c>
      <c r="O1877">
        <v>1150</v>
      </c>
      <c r="P1877" t="s">
        <v>1752</v>
      </c>
      <c r="Q1877" t="s">
        <v>1753</v>
      </c>
      <c r="R1877" t="s">
        <v>1759</v>
      </c>
    </row>
    <row r="1878" spans="1:18" x14ac:dyDescent="0.25">
      <c r="A1878" t="s">
        <v>4610</v>
      </c>
      <c r="B1878" t="s">
        <v>3117</v>
      </c>
      <c r="C1878" t="s">
        <v>4</v>
      </c>
      <c r="D1878" t="s">
        <v>4609</v>
      </c>
      <c r="E1878" s="2">
        <v>44658</v>
      </c>
      <c r="F1878">
        <v>953</v>
      </c>
      <c r="G1878" t="s">
        <v>1746</v>
      </c>
      <c r="H1878" t="s">
        <v>1747</v>
      </c>
      <c r="I1878" t="b">
        <v>0</v>
      </c>
      <c r="J1878" t="s">
        <v>1761</v>
      </c>
      <c r="K1878" t="s">
        <v>1770</v>
      </c>
      <c r="L1878" t="s">
        <v>1750</v>
      </c>
      <c r="M1878">
        <v>59</v>
      </c>
      <c r="N1878" t="b">
        <v>1</v>
      </c>
      <c r="O1878">
        <v>73</v>
      </c>
      <c r="P1878" t="s">
        <v>1752</v>
      </c>
      <c r="Q1878" t="s">
        <v>1753</v>
      </c>
      <c r="R1878" t="s">
        <v>1759</v>
      </c>
    </row>
    <row r="1879" spans="1:18" x14ac:dyDescent="0.25">
      <c r="A1879" t="s">
        <v>4612</v>
      </c>
      <c r="B1879" t="s">
        <v>2150</v>
      </c>
      <c r="C1879" t="s">
        <v>4</v>
      </c>
      <c r="D1879" t="s">
        <v>4611</v>
      </c>
      <c r="E1879" s="2">
        <v>44769</v>
      </c>
      <c r="F1879">
        <v>842</v>
      </c>
      <c r="G1879" t="s">
        <v>1746</v>
      </c>
      <c r="H1879" t="s">
        <v>1747</v>
      </c>
      <c r="I1879" t="b">
        <v>0</v>
      </c>
      <c r="J1879" t="s">
        <v>1748</v>
      </c>
      <c r="K1879" t="s">
        <v>1856</v>
      </c>
      <c r="L1879" t="s">
        <v>1817</v>
      </c>
      <c r="M1879">
        <v>59</v>
      </c>
      <c r="N1879" t="b">
        <v>0</v>
      </c>
      <c r="O1879">
        <v>83</v>
      </c>
      <c r="P1879" t="s">
        <v>1819</v>
      </c>
      <c r="Q1879" t="s">
        <v>1753</v>
      </c>
    </row>
    <row r="1880" spans="1:18" x14ac:dyDescent="0.25">
      <c r="A1880" t="s">
        <v>4613</v>
      </c>
      <c r="B1880" t="s">
        <v>2060</v>
      </c>
      <c r="C1880" t="s">
        <v>6</v>
      </c>
      <c r="D1880" t="s">
        <v>1684</v>
      </c>
      <c r="E1880" s="2">
        <v>39464</v>
      </c>
      <c r="F1880">
        <v>6147</v>
      </c>
      <c r="G1880" t="s">
        <v>1746</v>
      </c>
      <c r="H1880" t="s">
        <v>3505</v>
      </c>
      <c r="I1880" t="b">
        <v>1</v>
      </c>
      <c r="J1880" t="s">
        <v>1761</v>
      </c>
      <c r="K1880" t="s">
        <v>1868</v>
      </c>
      <c r="L1880" t="s">
        <v>1750</v>
      </c>
      <c r="M1880">
        <v>59</v>
      </c>
      <c r="N1880" t="b">
        <v>0</v>
      </c>
      <c r="O1880">
        <v>200</v>
      </c>
      <c r="P1880" t="s">
        <v>1752</v>
      </c>
      <c r="Q1880" t="s">
        <v>1753</v>
      </c>
    </row>
    <row r="1881" spans="1:18" x14ac:dyDescent="0.25">
      <c r="A1881" t="s">
        <v>4615</v>
      </c>
      <c r="B1881" t="s">
        <v>2503</v>
      </c>
      <c r="C1881" t="s">
        <v>4</v>
      </c>
      <c r="D1881" t="s">
        <v>4614</v>
      </c>
      <c r="E1881" s="2">
        <v>44538</v>
      </c>
      <c r="F1881">
        <v>1073</v>
      </c>
      <c r="G1881" t="s">
        <v>1746</v>
      </c>
      <c r="H1881" t="s">
        <v>1747</v>
      </c>
      <c r="I1881" t="b">
        <v>1</v>
      </c>
      <c r="J1881" t="s">
        <v>1748</v>
      </c>
      <c r="K1881" t="s">
        <v>1856</v>
      </c>
      <c r="L1881" t="s">
        <v>1750</v>
      </c>
      <c r="M1881">
        <v>59</v>
      </c>
      <c r="N1881" t="b">
        <v>1</v>
      </c>
      <c r="O1881">
        <v>149</v>
      </c>
      <c r="P1881" t="s">
        <v>1752</v>
      </c>
      <c r="Q1881" t="s">
        <v>1753</v>
      </c>
    </row>
    <row r="1882" spans="1:18" x14ac:dyDescent="0.25">
      <c r="A1882" t="s">
        <v>4617</v>
      </c>
      <c r="B1882" t="s">
        <v>2150</v>
      </c>
      <c r="C1882" t="s">
        <v>4</v>
      </c>
      <c r="D1882" t="s">
        <v>4616</v>
      </c>
      <c r="E1882" s="2">
        <v>43068</v>
      </c>
      <c r="F1882">
        <v>2543</v>
      </c>
      <c r="G1882" t="s">
        <v>1746</v>
      </c>
      <c r="H1882" t="s">
        <v>1805</v>
      </c>
      <c r="I1882" t="b">
        <v>0</v>
      </c>
      <c r="J1882" t="s">
        <v>1761</v>
      </c>
      <c r="K1882" t="s">
        <v>1856</v>
      </c>
      <c r="L1882" t="s">
        <v>1750</v>
      </c>
      <c r="M1882">
        <v>59</v>
      </c>
      <c r="N1882" t="b">
        <v>0</v>
      </c>
      <c r="O1882">
        <v>226</v>
      </c>
      <c r="P1882" t="s">
        <v>1752</v>
      </c>
      <c r="Q1882" t="s">
        <v>1753</v>
      </c>
      <c r="R1882" t="s">
        <v>1759</v>
      </c>
    </row>
    <row r="1883" spans="1:18" x14ac:dyDescent="0.25">
      <c r="A1883" t="s">
        <v>4619</v>
      </c>
      <c r="B1883" t="s">
        <v>2177</v>
      </c>
      <c r="C1883" t="s">
        <v>6</v>
      </c>
      <c r="D1883" t="s">
        <v>4618</v>
      </c>
      <c r="E1883" s="2">
        <v>41568</v>
      </c>
      <c r="F1883">
        <v>4043</v>
      </c>
      <c r="G1883" t="s">
        <v>1746</v>
      </c>
      <c r="H1883" t="s">
        <v>1805</v>
      </c>
      <c r="I1883" t="b">
        <v>1</v>
      </c>
      <c r="J1883" t="s">
        <v>1761</v>
      </c>
      <c r="K1883" t="s">
        <v>1755</v>
      </c>
      <c r="L1883" t="s">
        <v>1750</v>
      </c>
      <c r="M1883">
        <v>58</v>
      </c>
      <c r="N1883" t="b">
        <v>0</v>
      </c>
      <c r="O1883">
        <v>77</v>
      </c>
      <c r="P1883" t="s">
        <v>1752</v>
      </c>
      <c r="Q1883" t="s">
        <v>1753</v>
      </c>
    </row>
    <row r="1884" spans="1:18" x14ac:dyDescent="0.25">
      <c r="A1884" t="s">
        <v>4620</v>
      </c>
      <c r="B1884" t="s">
        <v>2106</v>
      </c>
      <c r="C1884" t="s">
        <v>6</v>
      </c>
      <c r="D1884" t="s">
        <v>138</v>
      </c>
      <c r="E1884" s="2">
        <v>44286</v>
      </c>
      <c r="F1884">
        <v>1325</v>
      </c>
      <c r="G1884" t="s">
        <v>1746</v>
      </c>
      <c r="H1884" t="s">
        <v>1798</v>
      </c>
      <c r="I1884" t="b">
        <v>0</v>
      </c>
      <c r="J1884" t="s">
        <v>1748</v>
      </c>
      <c r="K1884" t="s">
        <v>1922</v>
      </c>
      <c r="L1884" t="s">
        <v>1766</v>
      </c>
      <c r="M1884">
        <v>58</v>
      </c>
      <c r="N1884" t="b">
        <v>1</v>
      </c>
      <c r="O1884">
        <v>54</v>
      </c>
      <c r="P1884" t="s">
        <v>1752</v>
      </c>
      <c r="Q1884" t="s">
        <v>1753</v>
      </c>
      <c r="R1884" t="s">
        <v>1828</v>
      </c>
    </row>
    <row r="1885" spans="1:18" x14ac:dyDescent="0.25">
      <c r="A1885" t="s">
        <v>4622</v>
      </c>
      <c r="B1885" t="s">
        <v>2096</v>
      </c>
      <c r="C1885" t="s">
        <v>6</v>
      </c>
      <c r="D1885" t="s">
        <v>4621</v>
      </c>
      <c r="E1885" s="2">
        <v>45175</v>
      </c>
      <c r="F1885">
        <v>436</v>
      </c>
      <c r="G1885" t="s">
        <v>1746</v>
      </c>
      <c r="H1885" t="s">
        <v>1747</v>
      </c>
      <c r="I1885" t="b">
        <v>0</v>
      </c>
      <c r="J1885" t="s">
        <v>1748</v>
      </c>
      <c r="K1885" t="s">
        <v>1755</v>
      </c>
      <c r="L1885" t="s">
        <v>1750</v>
      </c>
      <c r="M1885">
        <v>58</v>
      </c>
      <c r="N1885" t="b">
        <v>1</v>
      </c>
      <c r="O1885">
        <v>1505</v>
      </c>
      <c r="P1885" t="s">
        <v>1819</v>
      </c>
      <c r="Q1885" t="s">
        <v>1753</v>
      </c>
      <c r="R1885" t="s">
        <v>1759</v>
      </c>
    </row>
    <row r="1886" spans="1:18" x14ac:dyDescent="0.25">
      <c r="A1886" t="s">
        <v>1575</v>
      </c>
      <c r="B1886" t="s">
        <v>2060</v>
      </c>
      <c r="C1886" t="s">
        <v>6</v>
      </c>
      <c r="D1886" t="s">
        <v>1576</v>
      </c>
      <c r="E1886" s="2">
        <v>39464</v>
      </c>
      <c r="F1886">
        <v>6147</v>
      </c>
      <c r="G1886" t="s">
        <v>1746</v>
      </c>
      <c r="H1886" t="s">
        <v>1747</v>
      </c>
      <c r="I1886" t="b">
        <v>1</v>
      </c>
      <c r="J1886" t="s">
        <v>1748</v>
      </c>
      <c r="K1886" t="s">
        <v>1774</v>
      </c>
      <c r="L1886" t="s">
        <v>1750</v>
      </c>
      <c r="M1886">
        <v>58</v>
      </c>
      <c r="N1886" t="b">
        <v>1</v>
      </c>
      <c r="O1886">
        <v>377</v>
      </c>
      <c r="P1886" t="s">
        <v>1752</v>
      </c>
      <c r="Q1886" t="s">
        <v>1753</v>
      </c>
      <c r="R1886" t="s">
        <v>1828</v>
      </c>
    </row>
    <row r="1887" spans="1:18" x14ac:dyDescent="0.25">
      <c r="A1887" t="s">
        <v>4624</v>
      </c>
      <c r="B1887" t="s">
        <v>1704</v>
      </c>
      <c r="C1887" t="s">
        <v>4</v>
      </c>
      <c r="D1887" t="s">
        <v>4623</v>
      </c>
      <c r="E1887" s="2">
        <v>44125</v>
      </c>
      <c r="F1887">
        <v>1486</v>
      </c>
      <c r="G1887" t="s">
        <v>1746</v>
      </c>
      <c r="H1887" t="s">
        <v>1747</v>
      </c>
      <c r="I1887" t="b">
        <v>1</v>
      </c>
      <c r="J1887" t="s">
        <v>1748</v>
      </c>
      <c r="K1887" t="s">
        <v>1825</v>
      </c>
      <c r="L1887" t="s">
        <v>1756</v>
      </c>
      <c r="M1887">
        <v>58</v>
      </c>
      <c r="N1887" t="b">
        <v>0</v>
      </c>
      <c r="O1887">
        <v>2312</v>
      </c>
      <c r="P1887" t="s">
        <v>1752</v>
      </c>
      <c r="Q1887" t="s">
        <v>1753</v>
      </c>
      <c r="R1887" t="s">
        <v>1759</v>
      </c>
    </row>
    <row r="1888" spans="1:18" x14ac:dyDescent="0.25">
      <c r="A1888" t="s">
        <v>4626</v>
      </c>
      <c r="B1888" t="s">
        <v>2150</v>
      </c>
      <c r="C1888" t="s">
        <v>4</v>
      </c>
      <c r="D1888" t="s">
        <v>4625</v>
      </c>
      <c r="E1888" s="2">
        <v>43861</v>
      </c>
      <c r="F1888">
        <v>1750</v>
      </c>
      <c r="G1888" t="s">
        <v>1746</v>
      </c>
      <c r="H1888" t="s">
        <v>1747</v>
      </c>
      <c r="I1888" t="b">
        <v>1</v>
      </c>
      <c r="J1888" t="s">
        <v>1748</v>
      </c>
      <c r="K1888" t="s">
        <v>1755</v>
      </c>
      <c r="L1888" t="s">
        <v>1750</v>
      </c>
      <c r="M1888">
        <v>58</v>
      </c>
      <c r="N1888" t="b">
        <v>0</v>
      </c>
      <c r="O1888">
        <v>495</v>
      </c>
      <c r="P1888" t="s">
        <v>1752</v>
      </c>
      <c r="Q1888" t="s">
        <v>1753</v>
      </c>
    </row>
    <row r="1889" spans="1:18" x14ac:dyDescent="0.25">
      <c r="A1889" t="s">
        <v>4628</v>
      </c>
      <c r="B1889" t="s">
        <v>1866</v>
      </c>
      <c r="C1889" t="s">
        <v>4</v>
      </c>
      <c r="D1889" t="s">
        <v>4627</v>
      </c>
      <c r="E1889" s="2">
        <v>42692</v>
      </c>
      <c r="F1889">
        <v>2919</v>
      </c>
      <c r="G1889" t="s">
        <v>1746</v>
      </c>
      <c r="H1889" t="s">
        <v>1798</v>
      </c>
      <c r="I1889" t="b">
        <v>1</v>
      </c>
      <c r="J1889" t="s">
        <v>1748</v>
      </c>
      <c r="K1889" t="s">
        <v>1776</v>
      </c>
      <c r="L1889" t="s">
        <v>1756</v>
      </c>
      <c r="M1889">
        <v>58</v>
      </c>
      <c r="N1889" t="b">
        <v>0</v>
      </c>
      <c r="O1889">
        <v>75</v>
      </c>
      <c r="P1889" t="s">
        <v>1752</v>
      </c>
      <c r="Q1889" t="s">
        <v>1753</v>
      </c>
    </row>
    <row r="1890" spans="1:18" x14ac:dyDescent="0.25">
      <c r="A1890" t="s">
        <v>4630</v>
      </c>
      <c r="B1890" t="s">
        <v>1866</v>
      </c>
      <c r="C1890" t="s">
        <v>4</v>
      </c>
      <c r="D1890" t="s">
        <v>4629</v>
      </c>
      <c r="E1890" s="2">
        <v>43017</v>
      </c>
      <c r="F1890">
        <v>2594</v>
      </c>
      <c r="G1890" t="s">
        <v>1746</v>
      </c>
      <c r="H1890" t="s">
        <v>1798</v>
      </c>
      <c r="I1890" t="b">
        <v>0</v>
      </c>
      <c r="J1890" t="s">
        <v>1748</v>
      </c>
      <c r="K1890" t="s">
        <v>1868</v>
      </c>
      <c r="L1890" t="s">
        <v>1817</v>
      </c>
      <c r="M1890">
        <v>58</v>
      </c>
      <c r="N1890" t="b">
        <v>0</v>
      </c>
      <c r="O1890">
        <v>511</v>
      </c>
      <c r="P1890" t="s">
        <v>1819</v>
      </c>
      <c r="Q1890" t="s">
        <v>1753</v>
      </c>
      <c r="R1890" t="s">
        <v>1828</v>
      </c>
    </row>
    <row r="1891" spans="1:18" x14ac:dyDescent="0.25">
      <c r="A1891" t="s">
        <v>4632</v>
      </c>
      <c r="B1891" t="s">
        <v>1840</v>
      </c>
      <c r="C1891" t="s">
        <v>6</v>
      </c>
      <c r="D1891" t="s">
        <v>4631</v>
      </c>
      <c r="E1891" s="2">
        <v>38845</v>
      </c>
      <c r="F1891">
        <v>6766</v>
      </c>
      <c r="G1891" t="s">
        <v>1746</v>
      </c>
      <c r="H1891" t="s">
        <v>1798</v>
      </c>
      <c r="I1891" t="b">
        <v>0</v>
      </c>
      <c r="J1891" t="s">
        <v>1748</v>
      </c>
      <c r="K1891" t="s">
        <v>2042</v>
      </c>
      <c r="L1891" t="s">
        <v>1766</v>
      </c>
      <c r="M1891">
        <v>57</v>
      </c>
      <c r="N1891" t="b">
        <v>0</v>
      </c>
      <c r="P1891" t="s">
        <v>2070</v>
      </c>
      <c r="Q1891" t="s">
        <v>1753</v>
      </c>
    </row>
    <row r="1892" spans="1:18" x14ac:dyDescent="0.25">
      <c r="A1892" t="s">
        <v>4634</v>
      </c>
      <c r="B1892" t="s">
        <v>2393</v>
      </c>
      <c r="C1892" t="s">
        <v>4</v>
      </c>
      <c r="D1892" t="s">
        <v>4633</v>
      </c>
      <c r="E1892" s="2">
        <v>44116</v>
      </c>
      <c r="F1892">
        <v>1495</v>
      </c>
      <c r="G1892" t="s">
        <v>1746</v>
      </c>
      <c r="H1892" t="s">
        <v>1747</v>
      </c>
      <c r="I1892" t="b">
        <v>0</v>
      </c>
      <c r="J1892" t="s">
        <v>1761</v>
      </c>
      <c r="K1892" t="s">
        <v>1891</v>
      </c>
      <c r="L1892" t="s">
        <v>1750</v>
      </c>
      <c r="M1892">
        <v>57</v>
      </c>
      <c r="N1892" t="b">
        <v>1</v>
      </c>
      <c r="O1892">
        <v>402</v>
      </c>
      <c r="P1892" t="s">
        <v>1752</v>
      </c>
      <c r="Q1892" t="s">
        <v>1753</v>
      </c>
      <c r="R1892" t="s">
        <v>1759</v>
      </c>
    </row>
    <row r="1893" spans="1:18" x14ac:dyDescent="0.25">
      <c r="A1893" t="s">
        <v>4635</v>
      </c>
      <c r="B1893" t="s">
        <v>2353</v>
      </c>
      <c r="C1893" t="s">
        <v>6</v>
      </c>
      <c r="D1893" t="s">
        <v>831</v>
      </c>
      <c r="E1893" s="2">
        <v>43605</v>
      </c>
      <c r="F1893">
        <v>2006</v>
      </c>
      <c r="G1893" t="s">
        <v>1746</v>
      </c>
      <c r="H1893" t="s">
        <v>1798</v>
      </c>
      <c r="I1893" t="b">
        <v>0</v>
      </c>
      <c r="J1893" t="s">
        <v>1761</v>
      </c>
      <c r="K1893" t="s">
        <v>1755</v>
      </c>
      <c r="L1893" t="s">
        <v>1817</v>
      </c>
      <c r="M1893">
        <v>57</v>
      </c>
      <c r="N1893" t="b">
        <v>0</v>
      </c>
      <c r="O1893">
        <v>88</v>
      </c>
      <c r="P1893" t="s">
        <v>1819</v>
      </c>
      <c r="Q1893" t="s">
        <v>1753</v>
      </c>
      <c r="R1893" t="s">
        <v>1759</v>
      </c>
    </row>
    <row r="1894" spans="1:18" x14ac:dyDescent="0.25">
      <c r="A1894" t="s">
        <v>4637</v>
      </c>
      <c r="B1894" t="s">
        <v>2871</v>
      </c>
      <c r="C1894" t="s">
        <v>4</v>
      </c>
      <c r="D1894" t="s">
        <v>4636</v>
      </c>
      <c r="E1894" s="2">
        <v>45175</v>
      </c>
      <c r="F1894">
        <v>436</v>
      </c>
      <c r="G1894" t="s">
        <v>1746</v>
      </c>
      <c r="H1894" t="s">
        <v>1747</v>
      </c>
      <c r="I1894" t="b">
        <v>0</v>
      </c>
      <c r="J1894" t="s">
        <v>1748</v>
      </c>
      <c r="K1894" t="s">
        <v>1822</v>
      </c>
      <c r="L1894" t="s">
        <v>1817</v>
      </c>
      <c r="M1894">
        <v>57</v>
      </c>
      <c r="N1894" t="b">
        <v>0</v>
      </c>
      <c r="O1894">
        <v>50</v>
      </c>
      <c r="P1894" t="s">
        <v>1819</v>
      </c>
      <c r="Q1894" t="s">
        <v>1753</v>
      </c>
    </row>
    <row r="1895" spans="1:18" x14ac:dyDescent="0.25">
      <c r="A1895" t="s">
        <v>4638</v>
      </c>
      <c r="B1895" t="s">
        <v>2799</v>
      </c>
      <c r="C1895" t="s">
        <v>6</v>
      </c>
      <c r="D1895" t="s">
        <v>58</v>
      </c>
      <c r="E1895" s="2">
        <v>40337</v>
      </c>
      <c r="F1895">
        <v>5274</v>
      </c>
      <c r="G1895" t="s">
        <v>1746</v>
      </c>
      <c r="H1895" t="s">
        <v>1798</v>
      </c>
      <c r="I1895" t="b">
        <v>1</v>
      </c>
      <c r="J1895" t="s">
        <v>1748</v>
      </c>
      <c r="K1895" t="s">
        <v>1770</v>
      </c>
      <c r="L1895" t="s">
        <v>1750</v>
      </c>
      <c r="M1895">
        <v>57</v>
      </c>
      <c r="N1895" t="b">
        <v>1</v>
      </c>
      <c r="O1895">
        <v>40</v>
      </c>
      <c r="P1895" t="s">
        <v>1752</v>
      </c>
      <c r="Q1895" t="s">
        <v>1753</v>
      </c>
    </row>
    <row r="1896" spans="1:18" x14ac:dyDescent="0.25">
      <c r="A1896" t="s">
        <v>782</v>
      </c>
      <c r="B1896" t="s">
        <v>1876</v>
      </c>
      <c r="C1896" t="s">
        <v>4</v>
      </c>
      <c r="D1896" t="s">
        <v>783</v>
      </c>
      <c r="E1896" s="2">
        <v>44168</v>
      </c>
      <c r="F1896">
        <v>1443</v>
      </c>
      <c r="G1896" t="s">
        <v>1746</v>
      </c>
      <c r="H1896" t="s">
        <v>1747</v>
      </c>
      <c r="I1896" t="b">
        <v>0</v>
      </c>
      <c r="J1896" t="s">
        <v>1761</v>
      </c>
      <c r="K1896" t="s">
        <v>1853</v>
      </c>
      <c r="L1896" t="s">
        <v>1750</v>
      </c>
      <c r="M1896">
        <v>57</v>
      </c>
      <c r="N1896" t="b">
        <v>0</v>
      </c>
      <c r="O1896">
        <v>170</v>
      </c>
      <c r="P1896" t="s">
        <v>1819</v>
      </c>
      <c r="Q1896" t="s">
        <v>1753</v>
      </c>
    </row>
    <row r="1897" spans="1:18" x14ac:dyDescent="0.25">
      <c r="A1897" t="s">
        <v>4639</v>
      </c>
      <c r="B1897" t="s">
        <v>1814</v>
      </c>
      <c r="C1897" t="s">
        <v>4</v>
      </c>
      <c r="D1897" t="s">
        <v>425</v>
      </c>
      <c r="E1897" s="2">
        <v>41936</v>
      </c>
      <c r="F1897">
        <v>3675</v>
      </c>
      <c r="G1897" t="s">
        <v>1746</v>
      </c>
      <c r="H1897" t="s">
        <v>1747</v>
      </c>
      <c r="I1897" t="b">
        <v>0</v>
      </c>
      <c r="J1897" t="s">
        <v>1761</v>
      </c>
      <c r="K1897" t="s">
        <v>1917</v>
      </c>
      <c r="L1897" t="s">
        <v>1750</v>
      </c>
      <c r="M1897">
        <v>57</v>
      </c>
      <c r="N1897" t="b">
        <v>0</v>
      </c>
      <c r="O1897">
        <v>282</v>
      </c>
      <c r="P1897" t="s">
        <v>1752</v>
      </c>
      <c r="Q1897" t="s">
        <v>1753</v>
      </c>
      <c r="R1897" t="s">
        <v>1759</v>
      </c>
    </row>
    <row r="1898" spans="1:18" x14ac:dyDescent="0.25">
      <c r="A1898" t="s">
        <v>4640</v>
      </c>
      <c r="B1898" t="s">
        <v>1876</v>
      </c>
      <c r="C1898" t="s">
        <v>4</v>
      </c>
      <c r="D1898" t="s">
        <v>437</v>
      </c>
      <c r="E1898" s="2">
        <v>44256</v>
      </c>
      <c r="F1898">
        <v>1355</v>
      </c>
      <c r="G1898" t="s">
        <v>1746</v>
      </c>
      <c r="H1898" t="s">
        <v>1747</v>
      </c>
      <c r="I1898" t="b">
        <v>1</v>
      </c>
      <c r="J1898" t="s">
        <v>1748</v>
      </c>
      <c r="K1898" t="s">
        <v>1880</v>
      </c>
      <c r="L1898" t="s">
        <v>1750</v>
      </c>
      <c r="M1898">
        <v>57</v>
      </c>
      <c r="N1898" t="b">
        <v>0</v>
      </c>
      <c r="O1898">
        <v>598</v>
      </c>
      <c r="P1898" t="s">
        <v>1752</v>
      </c>
      <c r="Q1898" t="s">
        <v>1753</v>
      </c>
    </row>
    <row r="1899" spans="1:18" x14ac:dyDescent="0.25">
      <c r="A1899" t="s">
        <v>4642</v>
      </c>
      <c r="B1899" t="s">
        <v>1803</v>
      </c>
      <c r="C1899" t="s">
        <v>11</v>
      </c>
      <c r="D1899" t="s">
        <v>4641</v>
      </c>
      <c r="E1899" s="2">
        <v>41774</v>
      </c>
      <c r="F1899">
        <v>3837</v>
      </c>
      <c r="G1899" t="s">
        <v>1746</v>
      </c>
      <c r="H1899" t="s">
        <v>1798</v>
      </c>
      <c r="I1899" t="b">
        <v>0</v>
      </c>
      <c r="J1899" t="s">
        <v>1761</v>
      </c>
      <c r="K1899" t="s">
        <v>1755</v>
      </c>
      <c r="L1899" t="s">
        <v>1766</v>
      </c>
      <c r="M1899">
        <v>57</v>
      </c>
      <c r="N1899" t="b">
        <v>0</v>
      </c>
      <c r="P1899" t="s">
        <v>1752</v>
      </c>
      <c r="Q1899" t="s">
        <v>1753</v>
      </c>
    </row>
    <row r="1900" spans="1:18" x14ac:dyDescent="0.25">
      <c r="A1900" t="s">
        <v>4644</v>
      </c>
      <c r="B1900" t="s">
        <v>2620</v>
      </c>
      <c r="C1900" t="s">
        <v>4</v>
      </c>
      <c r="D1900" t="s">
        <v>4643</v>
      </c>
      <c r="E1900" s="2">
        <v>44145</v>
      </c>
      <c r="F1900">
        <v>1466</v>
      </c>
      <c r="G1900" t="s">
        <v>1746</v>
      </c>
      <c r="H1900" t="s">
        <v>1747</v>
      </c>
      <c r="I1900" t="b">
        <v>0</v>
      </c>
      <c r="J1900" t="s">
        <v>1748</v>
      </c>
      <c r="K1900" t="s">
        <v>1755</v>
      </c>
      <c r="L1900" t="s">
        <v>1750</v>
      </c>
      <c r="M1900">
        <v>57</v>
      </c>
      <c r="N1900" t="b">
        <v>1</v>
      </c>
      <c r="O1900">
        <v>114</v>
      </c>
      <c r="P1900" t="s">
        <v>1752</v>
      </c>
      <c r="Q1900" t="s">
        <v>1753</v>
      </c>
      <c r="R1900" t="s">
        <v>1828</v>
      </c>
    </row>
    <row r="1901" spans="1:18" x14ac:dyDescent="0.25">
      <c r="A1901" t="s">
        <v>4645</v>
      </c>
      <c r="B1901" t="s">
        <v>1876</v>
      </c>
      <c r="C1901" t="s">
        <v>4</v>
      </c>
      <c r="D1901" t="s">
        <v>439</v>
      </c>
      <c r="E1901" s="2">
        <v>44725</v>
      </c>
      <c r="F1901">
        <v>886</v>
      </c>
      <c r="G1901" t="s">
        <v>1746</v>
      </c>
      <c r="H1901" t="s">
        <v>1747</v>
      </c>
      <c r="I1901" t="b">
        <v>0</v>
      </c>
      <c r="J1901" t="s">
        <v>1748</v>
      </c>
      <c r="K1901" t="s">
        <v>1809</v>
      </c>
      <c r="L1901" t="s">
        <v>1750</v>
      </c>
      <c r="M1901">
        <v>57</v>
      </c>
      <c r="N1901" t="b">
        <v>1</v>
      </c>
      <c r="O1901">
        <v>273</v>
      </c>
      <c r="P1901" t="s">
        <v>1752</v>
      </c>
      <c r="Q1901" t="s">
        <v>1753</v>
      </c>
      <c r="R1901" t="s">
        <v>1772</v>
      </c>
    </row>
    <row r="1902" spans="1:18" x14ac:dyDescent="0.25">
      <c r="A1902" t="s">
        <v>4647</v>
      </c>
      <c r="B1902" t="s">
        <v>2150</v>
      </c>
      <c r="C1902" t="s">
        <v>4</v>
      </c>
      <c r="D1902" t="s">
        <v>4646</v>
      </c>
      <c r="E1902" s="2">
        <v>43601</v>
      </c>
      <c r="F1902">
        <v>2010</v>
      </c>
      <c r="G1902" t="s">
        <v>1746</v>
      </c>
      <c r="H1902" t="s">
        <v>1805</v>
      </c>
      <c r="I1902" t="b">
        <v>0</v>
      </c>
      <c r="J1902" t="s">
        <v>1748</v>
      </c>
      <c r="K1902" t="s">
        <v>1822</v>
      </c>
      <c r="L1902" t="s">
        <v>1817</v>
      </c>
      <c r="M1902">
        <v>57</v>
      </c>
      <c r="N1902" t="b">
        <v>0</v>
      </c>
      <c r="O1902">
        <v>112</v>
      </c>
      <c r="P1902" t="s">
        <v>1819</v>
      </c>
      <c r="Q1902" t="s">
        <v>1753</v>
      </c>
    </row>
    <row r="1903" spans="1:18" x14ac:dyDescent="0.25">
      <c r="A1903" t="s">
        <v>4649</v>
      </c>
      <c r="B1903" t="s">
        <v>2589</v>
      </c>
      <c r="C1903" t="s">
        <v>4</v>
      </c>
      <c r="D1903" t="s">
        <v>4648</v>
      </c>
      <c r="E1903" s="2">
        <v>42489</v>
      </c>
      <c r="F1903">
        <v>3122</v>
      </c>
      <c r="G1903" t="s">
        <v>1746</v>
      </c>
      <c r="H1903" t="s">
        <v>1747</v>
      </c>
      <c r="I1903" t="b">
        <v>1</v>
      </c>
      <c r="J1903" t="s">
        <v>1748</v>
      </c>
      <c r="K1903" t="s">
        <v>1853</v>
      </c>
      <c r="L1903" t="s">
        <v>1750</v>
      </c>
      <c r="M1903">
        <v>57</v>
      </c>
      <c r="N1903" t="b">
        <v>0</v>
      </c>
      <c r="O1903">
        <v>140</v>
      </c>
      <c r="P1903" t="s">
        <v>1752</v>
      </c>
      <c r="Q1903" t="s">
        <v>1753</v>
      </c>
      <c r="R1903" t="s">
        <v>1759</v>
      </c>
    </row>
    <row r="1904" spans="1:18" x14ac:dyDescent="0.25">
      <c r="A1904" t="s">
        <v>4651</v>
      </c>
      <c r="B1904" t="s">
        <v>2144</v>
      </c>
      <c r="C1904" t="s">
        <v>6</v>
      </c>
      <c r="D1904" t="s">
        <v>4650</v>
      </c>
      <c r="E1904" s="2">
        <v>44014</v>
      </c>
      <c r="F1904">
        <v>1597</v>
      </c>
      <c r="G1904" t="s">
        <v>1746</v>
      </c>
      <c r="H1904" t="s">
        <v>1798</v>
      </c>
      <c r="I1904" t="b">
        <v>1</v>
      </c>
      <c r="J1904" t="s">
        <v>1761</v>
      </c>
      <c r="K1904" t="s">
        <v>1824</v>
      </c>
      <c r="L1904" t="s">
        <v>1750</v>
      </c>
      <c r="M1904">
        <v>57</v>
      </c>
      <c r="N1904" t="b">
        <v>0</v>
      </c>
      <c r="O1904">
        <v>40</v>
      </c>
      <c r="P1904" t="s">
        <v>1752</v>
      </c>
      <c r="Q1904" t="s">
        <v>1753</v>
      </c>
    </row>
    <row r="1905" spans="1:18" x14ac:dyDescent="0.25">
      <c r="A1905" t="s">
        <v>4653</v>
      </c>
      <c r="B1905" t="s">
        <v>2085</v>
      </c>
      <c r="C1905" t="s">
        <v>11</v>
      </c>
      <c r="D1905" t="s">
        <v>4652</v>
      </c>
      <c r="E1905" s="2">
        <v>42011</v>
      </c>
      <c r="F1905">
        <v>3600</v>
      </c>
      <c r="G1905" t="s">
        <v>1746</v>
      </c>
      <c r="H1905" t="s">
        <v>1747</v>
      </c>
      <c r="I1905" t="b">
        <v>0</v>
      </c>
      <c r="J1905" t="s">
        <v>1748</v>
      </c>
      <c r="K1905" t="s">
        <v>1755</v>
      </c>
      <c r="L1905" t="s">
        <v>1750</v>
      </c>
      <c r="M1905">
        <v>56</v>
      </c>
      <c r="N1905" t="b">
        <v>0</v>
      </c>
      <c r="O1905">
        <v>52</v>
      </c>
      <c r="P1905" t="s">
        <v>1752</v>
      </c>
      <c r="Q1905" t="s">
        <v>1753</v>
      </c>
      <c r="R1905" t="s">
        <v>1828</v>
      </c>
    </row>
    <row r="1906" spans="1:18" x14ac:dyDescent="0.25">
      <c r="A1906" t="s">
        <v>4654</v>
      </c>
      <c r="B1906" t="s">
        <v>4495</v>
      </c>
      <c r="C1906" t="s">
        <v>6</v>
      </c>
      <c r="D1906" t="s">
        <v>34</v>
      </c>
      <c r="E1906" s="2">
        <v>41751</v>
      </c>
      <c r="F1906">
        <v>3860</v>
      </c>
      <c r="G1906" t="s">
        <v>1746</v>
      </c>
      <c r="H1906" t="s">
        <v>1798</v>
      </c>
      <c r="I1906" t="b">
        <v>1</v>
      </c>
      <c r="J1906" t="s">
        <v>1748</v>
      </c>
      <c r="K1906" t="s">
        <v>1934</v>
      </c>
      <c r="L1906" t="s">
        <v>1750</v>
      </c>
      <c r="M1906">
        <v>56</v>
      </c>
      <c r="N1906" t="b">
        <v>0</v>
      </c>
      <c r="O1906">
        <v>40</v>
      </c>
      <c r="P1906" t="s">
        <v>1819</v>
      </c>
      <c r="Q1906" t="s">
        <v>1753</v>
      </c>
      <c r="R1906" t="s">
        <v>1828</v>
      </c>
    </row>
    <row r="1907" spans="1:18" x14ac:dyDescent="0.25">
      <c r="A1907" t="s">
        <v>4656</v>
      </c>
      <c r="B1907" t="s">
        <v>1803</v>
      </c>
      <c r="C1907" t="s">
        <v>572</v>
      </c>
      <c r="D1907" t="s">
        <v>4655</v>
      </c>
      <c r="E1907" s="2">
        <v>39874</v>
      </c>
      <c r="F1907">
        <v>5737</v>
      </c>
      <c r="G1907" t="s">
        <v>1746</v>
      </c>
      <c r="H1907" t="s">
        <v>1798</v>
      </c>
      <c r="I1907" t="b">
        <v>0</v>
      </c>
      <c r="J1907" t="s">
        <v>1761</v>
      </c>
      <c r="K1907" t="s">
        <v>1824</v>
      </c>
      <c r="L1907" t="s">
        <v>1750</v>
      </c>
      <c r="M1907">
        <v>56</v>
      </c>
      <c r="N1907" t="b">
        <v>0</v>
      </c>
      <c r="O1907">
        <v>25</v>
      </c>
      <c r="P1907" t="s">
        <v>1819</v>
      </c>
      <c r="Q1907" t="s">
        <v>1753</v>
      </c>
      <c r="R1907" t="s">
        <v>1828</v>
      </c>
    </row>
    <row r="1908" spans="1:18" x14ac:dyDescent="0.25">
      <c r="A1908" t="s">
        <v>4658</v>
      </c>
      <c r="B1908" t="s">
        <v>2611</v>
      </c>
      <c r="C1908" t="s">
        <v>4</v>
      </c>
      <c r="D1908" t="s">
        <v>4657</v>
      </c>
      <c r="E1908" s="2">
        <v>45265</v>
      </c>
      <c r="F1908">
        <v>346</v>
      </c>
      <c r="G1908" t="s">
        <v>1746</v>
      </c>
      <c r="H1908" t="s">
        <v>1747</v>
      </c>
      <c r="I1908" t="b">
        <v>0</v>
      </c>
      <c r="J1908" t="s">
        <v>1748</v>
      </c>
      <c r="K1908" t="s">
        <v>1868</v>
      </c>
      <c r="L1908" t="s">
        <v>1750</v>
      </c>
      <c r="M1908">
        <v>56</v>
      </c>
      <c r="N1908" t="b">
        <v>1</v>
      </c>
      <c r="O1908">
        <v>645</v>
      </c>
      <c r="P1908" t="s">
        <v>1752</v>
      </c>
      <c r="Q1908" t="s">
        <v>1753</v>
      </c>
      <c r="R1908" t="s">
        <v>1759</v>
      </c>
    </row>
    <row r="1909" spans="1:18" x14ac:dyDescent="0.25">
      <c r="A1909" t="s">
        <v>4660</v>
      </c>
      <c r="B1909" t="s">
        <v>2150</v>
      </c>
      <c r="C1909" t="s">
        <v>4</v>
      </c>
      <c r="D1909" t="s">
        <v>4659</v>
      </c>
      <c r="E1909" s="2">
        <v>45189</v>
      </c>
      <c r="F1909">
        <v>422</v>
      </c>
      <c r="G1909" t="s">
        <v>1746</v>
      </c>
      <c r="H1909" t="s">
        <v>1805</v>
      </c>
      <c r="I1909" t="b">
        <v>1</v>
      </c>
      <c r="J1909" t="s">
        <v>1761</v>
      </c>
      <c r="K1909" t="s">
        <v>1995</v>
      </c>
      <c r="L1909" t="s">
        <v>1817</v>
      </c>
      <c r="M1909">
        <v>56</v>
      </c>
      <c r="N1909" t="b">
        <v>0</v>
      </c>
      <c r="O1909">
        <v>1167</v>
      </c>
      <c r="P1909" t="s">
        <v>1819</v>
      </c>
      <c r="Q1909" t="s">
        <v>1753</v>
      </c>
      <c r="R1909" t="s">
        <v>1772</v>
      </c>
    </row>
    <row r="1910" spans="1:18" x14ac:dyDescent="0.25">
      <c r="A1910" t="s">
        <v>4662</v>
      </c>
      <c r="B1910" t="s">
        <v>2378</v>
      </c>
      <c r="C1910" t="s">
        <v>4</v>
      </c>
      <c r="D1910" t="s">
        <v>4661</v>
      </c>
      <c r="E1910" s="2">
        <v>39577</v>
      </c>
      <c r="F1910">
        <v>6034</v>
      </c>
      <c r="G1910" t="s">
        <v>1746</v>
      </c>
      <c r="H1910" t="s">
        <v>1747</v>
      </c>
      <c r="I1910" t="b">
        <v>1</v>
      </c>
      <c r="J1910" t="s">
        <v>1761</v>
      </c>
      <c r="K1910" t="s">
        <v>1835</v>
      </c>
      <c r="L1910" t="s">
        <v>1756</v>
      </c>
      <c r="M1910">
        <v>56</v>
      </c>
      <c r="N1910" t="b">
        <v>0</v>
      </c>
      <c r="O1910">
        <v>1230</v>
      </c>
      <c r="P1910" t="s">
        <v>1752</v>
      </c>
      <c r="Q1910" t="s">
        <v>1753</v>
      </c>
      <c r="R1910" t="s">
        <v>2028</v>
      </c>
    </row>
    <row r="1911" spans="1:18" x14ac:dyDescent="0.25">
      <c r="A1911" t="s">
        <v>4664</v>
      </c>
      <c r="B1911" t="s">
        <v>1704</v>
      </c>
      <c r="C1911" t="s">
        <v>572</v>
      </c>
      <c r="D1911" t="s">
        <v>4663</v>
      </c>
      <c r="E1911" s="2">
        <v>45371</v>
      </c>
      <c r="F1911">
        <v>240</v>
      </c>
      <c r="G1911" t="s">
        <v>1746</v>
      </c>
      <c r="H1911" t="s">
        <v>1798</v>
      </c>
      <c r="I1911" t="b">
        <v>0</v>
      </c>
      <c r="J1911" t="s">
        <v>1761</v>
      </c>
      <c r="K1911" t="s">
        <v>1774</v>
      </c>
      <c r="L1911" t="s">
        <v>1750</v>
      </c>
      <c r="M1911">
        <v>56</v>
      </c>
      <c r="N1911" t="b">
        <v>0</v>
      </c>
      <c r="O1911">
        <v>497</v>
      </c>
      <c r="P1911" t="s">
        <v>1752</v>
      </c>
      <c r="Q1911" t="s">
        <v>1753</v>
      </c>
    </row>
    <row r="1912" spans="1:18" x14ac:dyDescent="0.25">
      <c r="A1912" t="s">
        <v>4666</v>
      </c>
      <c r="B1912" t="s">
        <v>1704</v>
      </c>
      <c r="C1912" t="s">
        <v>572</v>
      </c>
      <c r="D1912" t="s">
        <v>4665</v>
      </c>
      <c r="E1912" s="2">
        <v>45140</v>
      </c>
      <c r="F1912">
        <v>471</v>
      </c>
      <c r="G1912" t="s">
        <v>1746</v>
      </c>
      <c r="H1912" t="s">
        <v>1798</v>
      </c>
      <c r="I1912" t="b">
        <v>0</v>
      </c>
      <c r="J1912" t="s">
        <v>1761</v>
      </c>
      <c r="K1912" t="s">
        <v>1776</v>
      </c>
      <c r="L1912" t="s">
        <v>1750</v>
      </c>
      <c r="M1912">
        <v>56</v>
      </c>
      <c r="N1912" t="b">
        <v>1</v>
      </c>
      <c r="O1912">
        <v>90</v>
      </c>
      <c r="P1912" t="s">
        <v>1819</v>
      </c>
      <c r="Q1912" t="s">
        <v>1753</v>
      </c>
      <c r="R1912" t="s">
        <v>1828</v>
      </c>
    </row>
    <row r="1913" spans="1:18" x14ac:dyDescent="0.25">
      <c r="A1913" t="s">
        <v>4668</v>
      </c>
      <c r="B1913" t="s">
        <v>3117</v>
      </c>
      <c r="C1913" t="s">
        <v>4</v>
      </c>
      <c r="D1913" t="s">
        <v>4667</v>
      </c>
      <c r="E1913" s="2">
        <v>44658</v>
      </c>
      <c r="F1913">
        <v>953</v>
      </c>
      <c r="G1913" t="s">
        <v>1746</v>
      </c>
      <c r="H1913" t="s">
        <v>1747</v>
      </c>
      <c r="I1913" t="b">
        <v>0</v>
      </c>
      <c r="J1913" t="s">
        <v>1761</v>
      </c>
      <c r="K1913" t="s">
        <v>1770</v>
      </c>
      <c r="L1913" t="s">
        <v>1750</v>
      </c>
      <c r="M1913">
        <v>56</v>
      </c>
      <c r="N1913" t="b">
        <v>1</v>
      </c>
      <c r="O1913">
        <v>231</v>
      </c>
      <c r="P1913" t="s">
        <v>1752</v>
      </c>
      <c r="Q1913" t="s">
        <v>1753</v>
      </c>
      <c r="R1913" t="s">
        <v>1759</v>
      </c>
    </row>
    <row r="1914" spans="1:18" x14ac:dyDescent="0.25">
      <c r="A1914" t="s">
        <v>4669</v>
      </c>
      <c r="B1914" t="s">
        <v>1876</v>
      </c>
      <c r="C1914" t="s">
        <v>4</v>
      </c>
      <c r="D1914" t="s">
        <v>1251</v>
      </c>
      <c r="E1914" s="2">
        <v>44281</v>
      </c>
      <c r="F1914">
        <v>1330</v>
      </c>
      <c r="G1914" t="s">
        <v>1746</v>
      </c>
      <c r="H1914" t="s">
        <v>1747</v>
      </c>
      <c r="I1914" t="b">
        <v>0</v>
      </c>
      <c r="J1914" t="s">
        <v>1748</v>
      </c>
      <c r="K1914" t="s">
        <v>1913</v>
      </c>
      <c r="L1914" t="s">
        <v>1750</v>
      </c>
      <c r="M1914">
        <v>56</v>
      </c>
      <c r="N1914" t="b">
        <v>1</v>
      </c>
      <c r="O1914">
        <v>22</v>
      </c>
      <c r="P1914" t="s">
        <v>1752</v>
      </c>
      <c r="Q1914" t="s">
        <v>1753</v>
      </c>
      <c r="R1914" t="s">
        <v>1759</v>
      </c>
    </row>
    <row r="1915" spans="1:18" x14ac:dyDescent="0.25">
      <c r="A1915" t="s">
        <v>4671</v>
      </c>
      <c r="B1915" t="s">
        <v>2150</v>
      </c>
      <c r="C1915" t="s">
        <v>6</v>
      </c>
      <c r="D1915" t="s">
        <v>4670</v>
      </c>
      <c r="E1915" s="2">
        <v>43951</v>
      </c>
      <c r="F1915">
        <v>1660</v>
      </c>
      <c r="G1915" t="s">
        <v>1746</v>
      </c>
      <c r="H1915" t="s">
        <v>1805</v>
      </c>
      <c r="I1915" t="b">
        <v>0</v>
      </c>
      <c r="J1915" t="s">
        <v>1761</v>
      </c>
      <c r="K1915" t="s">
        <v>1891</v>
      </c>
      <c r="L1915" t="s">
        <v>1750</v>
      </c>
      <c r="M1915">
        <v>55</v>
      </c>
      <c r="N1915" t="b">
        <v>1</v>
      </c>
      <c r="O1915">
        <v>74</v>
      </c>
      <c r="P1915" t="s">
        <v>1752</v>
      </c>
      <c r="Q1915" t="s">
        <v>1753</v>
      </c>
      <c r="R1915" t="s">
        <v>1828</v>
      </c>
    </row>
    <row r="1916" spans="1:18" x14ac:dyDescent="0.25">
      <c r="A1916" t="s">
        <v>4673</v>
      </c>
      <c r="B1916" t="s">
        <v>2662</v>
      </c>
      <c r="C1916" t="s">
        <v>572</v>
      </c>
      <c r="D1916" t="s">
        <v>4672</v>
      </c>
      <c r="E1916" s="2">
        <v>44533</v>
      </c>
      <c r="F1916">
        <v>1078</v>
      </c>
      <c r="G1916" t="s">
        <v>1746</v>
      </c>
      <c r="H1916" t="s">
        <v>1798</v>
      </c>
      <c r="I1916" t="b">
        <v>0</v>
      </c>
      <c r="J1916" t="s">
        <v>1748</v>
      </c>
      <c r="K1916" t="s">
        <v>1901</v>
      </c>
      <c r="L1916" t="s">
        <v>1750</v>
      </c>
      <c r="M1916">
        <v>55</v>
      </c>
      <c r="N1916" t="b">
        <v>0</v>
      </c>
      <c r="O1916">
        <v>27</v>
      </c>
      <c r="P1916" t="s">
        <v>1752</v>
      </c>
      <c r="Q1916" t="s">
        <v>1753</v>
      </c>
      <c r="R1916" t="s">
        <v>1828</v>
      </c>
    </row>
    <row r="1917" spans="1:18" x14ac:dyDescent="0.25">
      <c r="A1917" t="s">
        <v>4675</v>
      </c>
      <c r="B1917" t="s">
        <v>1803</v>
      </c>
      <c r="C1917" t="s">
        <v>572</v>
      </c>
      <c r="D1917" t="s">
        <v>4674</v>
      </c>
      <c r="E1917" s="2">
        <v>39973</v>
      </c>
      <c r="F1917">
        <v>5638</v>
      </c>
      <c r="G1917" t="s">
        <v>1746</v>
      </c>
      <c r="H1917" t="s">
        <v>2001</v>
      </c>
      <c r="I1917" t="b">
        <v>0</v>
      </c>
      <c r="J1917" t="s">
        <v>1761</v>
      </c>
      <c r="K1917" t="s">
        <v>1868</v>
      </c>
      <c r="L1917" t="s">
        <v>1750</v>
      </c>
      <c r="M1917">
        <v>55</v>
      </c>
      <c r="N1917" t="b">
        <v>0</v>
      </c>
      <c r="O1917">
        <v>199</v>
      </c>
      <c r="P1917" t="s">
        <v>1752</v>
      </c>
      <c r="Q1917" t="s">
        <v>1753</v>
      </c>
    </row>
    <row r="1918" spans="1:18" x14ac:dyDescent="0.25">
      <c r="A1918" t="s">
        <v>4677</v>
      </c>
      <c r="B1918" t="s">
        <v>2854</v>
      </c>
      <c r="C1918" t="s">
        <v>6</v>
      </c>
      <c r="D1918" t="s">
        <v>4676</v>
      </c>
      <c r="E1918" s="2">
        <v>42552</v>
      </c>
      <c r="F1918">
        <v>3059</v>
      </c>
      <c r="G1918" t="s">
        <v>1746</v>
      </c>
      <c r="H1918" t="s">
        <v>1798</v>
      </c>
      <c r="I1918" t="b">
        <v>0</v>
      </c>
      <c r="J1918" t="s">
        <v>1748</v>
      </c>
      <c r="K1918" t="s">
        <v>1853</v>
      </c>
      <c r="L1918" t="s">
        <v>1766</v>
      </c>
      <c r="M1918">
        <v>55</v>
      </c>
      <c r="N1918" t="b">
        <v>0</v>
      </c>
      <c r="P1918" t="s">
        <v>1752</v>
      </c>
      <c r="Q1918" t="s">
        <v>1753</v>
      </c>
    </row>
    <row r="1919" spans="1:18" x14ac:dyDescent="0.25">
      <c r="A1919" t="s">
        <v>4679</v>
      </c>
      <c r="B1919" t="s">
        <v>2854</v>
      </c>
      <c r="C1919" t="s">
        <v>6</v>
      </c>
      <c r="D1919" t="s">
        <v>4678</v>
      </c>
      <c r="E1919" s="2">
        <v>43761</v>
      </c>
      <c r="F1919">
        <v>1850</v>
      </c>
      <c r="G1919" t="s">
        <v>1746</v>
      </c>
      <c r="H1919" t="s">
        <v>1798</v>
      </c>
      <c r="I1919" t="b">
        <v>0</v>
      </c>
      <c r="J1919" t="s">
        <v>1761</v>
      </c>
      <c r="K1919" t="s">
        <v>1776</v>
      </c>
      <c r="L1919" t="s">
        <v>1750</v>
      </c>
      <c r="M1919">
        <v>55</v>
      </c>
      <c r="N1919" t="b">
        <v>1</v>
      </c>
      <c r="O1919">
        <v>96</v>
      </c>
      <c r="P1919" t="s">
        <v>1752</v>
      </c>
      <c r="Q1919" t="s">
        <v>1753</v>
      </c>
      <c r="R1919" t="s">
        <v>1828</v>
      </c>
    </row>
    <row r="1920" spans="1:18" x14ac:dyDescent="0.25">
      <c r="A1920" t="s">
        <v>4681</v>
      </c>
      <c r="B1920" t="s">
        <v>2060</v>
      </c>
      <c r="C1920" t="s">
        <v>6</v>
      </c>
      <c r="D1920" t="s">
        <v>4680</v>
      </c>
      <c r="E1920" s="2">
        <v>39266</v>
      </c>
      <c r="F1920">
        <v>6345</v>
      </c>
      <c r="G1920" t="s">
        <v>1746</v>
      </c>
      <c r="H1920" t="s">
        <v>1798</v>
      </c>
      <c r="I1920" t="b">
        <v>0</v>
      </c>
      <c r="J1920" t="s">
        <v>1748</v>
      </c>
      <c r="K1920" t="s">
        <v>1825</v>
      </c>
      <c r="L1920" t="s">
        <v>1750</v>
      </c>
      <c r="M1920">
        <v>55</v>
      </c>
      <c r="N1920" t="b">
        <v>1</v>
      </c>
      <c r="O1920">
        <v>26</v>
      </c>
      <c r="P1920" t="s">
        <v>1752</v>
      </c>
      <c r="Q1920" t="s">
        <v>1753</v>
      </c>
      <c r="R1920" t="s">
        <v>1828</v>
      </c>
    </row>
    <row r="1921" spans="1:18" x14ac:dyDescent="0.25">
      <c r="A1921" t="s">
        <v>4683</v>
      </c>
      <c r="B1921" t="s">
        <v>2177</v>
      </c>
      <c r="C1921" t="s">
        <v>6</v>
      </c>
      <c r="D1921" t="s">
        <v>4682</v>
      </c>
      <c r="E1921" s="2">
        <v>42696</v>
      </c>
      <c r="F1921">
        <v>2915</v>
      </c>
      <c r="G1921" t="s">
        <v>1746</v>
      </c>
      <c r="H1921" t="s">
        <v>1805</v>
      </c>
      <c r="I1921" t="b">
        <v>0</v>
      </c>
      <c r="J1921" t="s">
        <v>1748</v>
      </c>
      <c r="K1921" t="s">
        <v>1986</v>
      </c>
      <c r="L1921" t="s">
        <v>1750</v>
      </c>
      <c r="M1921">
        <v>55</v>
      </c>
      <c r="N1921" t="b">
        <v>0</v>
      </c>
      <c r="O1921">
        <v>34</v>
      </c>
      <c r="P1921" t="s">
        <v>1819</v>
      </c>
      <c r="Q1921" t="s">
        <v>1753</v>
      </c>
    </row>
    <row r="1922" spans="1:18" x14ac:dyDescent="0.25">
      <c r="A1922" t="s">
        <v>4684</v>
      </c>
      <c r="B1922" t="s">
        <v>2269</v>
      </c>
      <c r="C1922" t="s">
        <v>186</v>
      </c>
      <c r="D1922" t="s">
        <v>1659</v>
      </c>
      <c r="E1922" s="2">
        <v>40373</v>
      </c>
      <c r="F1922">
        <v>5238</v>
      </c>
      <c r="G1922" t="s">
        <v>1746</v>
      </c>
      <c r="H1922" t="s">
        <v>1798</v>
      </c>
      <c r="I1922" t="b">
        <v>0</v>
      </c>
      <c r="J1922" t="s">
        <v>1748</v>
      </c>
      <c r="K1922" t="s">
        <v>1848</v>
      </c>
      <c r="L1922" t="s">
        <v>1775</v>
      </c>
      <c r="M1922">
        <v>55</v>
      </c>
      <c r="N1922" t="b">
        <v>0</v>
      </c>
      <c r="P1922" t="s">
        <v>1778</v>
      </c>
      <c r="Q1922" t="s">
        <v>1779</v>
      </c>
    </row>
    <row r="1923" spans="1:18" x14ac:dyDescent="0.25">
      <c r="A1923" t="s">
        <v>4685</v>
      </c>
      <c r="B1923" t="s">
        <v>1860</v>
      </c>
      <c r="C1923" t="s">
        <v>4</v>
      </c>
      <c r="D1923" t="s">
        <v>725</v>
      </c>
      <c r="E1923" s="2">
        <v>44721</v>
      </c>
      <c r="F1923">
        <v>890</v>
      </c>
      <c r="G1923" t="s">
        <v>1746</v>
      </c>
      <c r="H1923" t="s">
        <v>1798</v>
      </c>
      <c r="I1923" t="b">
        <v>0</v>
      </c>
      <c r="J1923" t="s">
        <v>1748</v>
      </c>
      <c r="K1923" t="s">
        <v>1824</v>
      </c>
      <c r="L1923" t="s">
        <v>1817</v>
      </c>
      <c r="M1923">
        <v>55</v>
      </c>
      <c r="N1923" t="b">
        <v>1</v>
      </c>
      <c r="O1923">
        <v>2103</v>
      </c>
      <c r="P1923" t="s">
        <v>1819</v>
      </c>
      <c r="Q1923" t="s">
        <v>1753</v>
      </c>
      <c r="R1923" t="s">
        <v>1759</v>
      </c>
    </row>
    <row r="1924" spans="1:18" x14ac:dyDescent="0.25">
      <c r="A1924" t="s">
        <v>4686</v>
      </c>
      <c r="B1924" t="s">
        <v>1781</v>
      </c>
      <c r="C1924" t="s">
        <v>186</v>
      </c>
      <c r="D1924" t="s">
        <v>1370</v>
      </c>
      <c r="E1924" s="2">
        <v>38987</v>
      </c>
      <c r="F1924">
        <v>6624</v>
      </c>
      <c r="G1924" t="s">
        <v>1746</v>
      </c>
      <c r="H1924" t="s">
        <v>1747</v>
      </c>
      <c r="I1924" t="b">
        <v>0</v>
      </c>
      <c r="J1924" t="s">
        <v>1748</v>
      </c>
      <c r="K1924" t="s">
        <v>1830</v>
      </c>
      <c r="L1924" t="s">
        <v>2102</v>
      </c>
      <c r="M1924">
        <v>55</v>
      </c>
      <c r="N1924" t="b">
        <v>0</v>
      </c>
      <c r="P1924" t="s">
        <v>1778</v>
      </c>
      <c r="Q1924" t="s">
        <v>1779</v>
      </c>
    </row>
    <row r="1925" spans="1:18" x14ac:dyDescent="0.25">
      <c r="A1925" t="s">
        <v>4688</v>
      </c>
      <c r="B1925" t="s">
        <v>1907</v>
      </c>
      <c r="C1925" t="s">
        <v>6</v>
      </c>
      <c r="D1925" t="s">
        <v>4687</v>
      </c>
      <c r="E1925" s="2">
        <v>43845</v>
      </c>
      <c r="F1925">
        <v>1766</v>
      </c>
      <c r="G1925" t="s">
        <v>1746</v>
      </c>
      <c r="H1925" t="s">
        <v>1798</v>
      </c>
      <c r="I1925" t="b">
        <v>1</v>
      </c>
      <c r="J1925" t="s">
        <v>1748</v>
      </c>
      <c r="K1925" t="s">
        <v>1765</v>
      </c>
      <c r="L1925" t="s">
        <v>1750</v>
      </c>
      <c r="M1925">
        <v>55</v>
      </c>
      <c r="N1925" t="b">
        <v>0</v>
      </c>
      <c r="O1925">
        <v>409</v>
      </c>
      <c r="P1925" t="s">
        <v>1752</v>
      </c>
      <c r="Q1925" t="s">
        <v>1753</v>
      </c>
      <c r="R1925" t="s">
        <v>1828</v>
      </c>
    </row>
    <row r="1926" spans="1:18" x14ac:dyDescent="0.25">
      <c r="A1926" t="s">
        <v>4690</v>
      </c>
      <c r="B1926" t="s">
        <v>2564</v>
      </c>
      <c r="C1926" t="s">
        <v>6</v>
      </c>
      <c r="D1926" t="s">
        <v>4689</v>
      </c>
      <c r="E1926" s="2">
        <v>43511</v>
      </c>
      <c r="F1926">
        <v>2100</v>
      </c>
      <c r="G1926" t="s">
        <v>1746</v>
      </c>
      <c r="H1926" t="s">
        <v>1798</v>
      </c>
      <c r="I1926" t="b">
        <v>0</v>
      </c>
      <c r="J1926" t="s">
        <v>1748</v>
      </c>
      <c r="K1926" t="s">
        <v>1909</v>
      </c>
      <c r="L1926" t="s">
        <v>1750</v>
      </c>
      <c r="M1926">
        <v>55</v>
      </c>
      <c r="N1926" t="b">
        <v>1</v>
      </c>
      <c r="O1926">
        <v>46</v>
      </c>
      <c r="P1926" t="s">
        <v>1752</v>
      </c>
      <c r="Q1926" t="s">
        <v>1753</v>
      </c>
    </row>
    <row r="1927" spans="1:18" x14ac:dyDescent="0.25">
      <c r="A1927" t="s">
        <v>4691</v>
      </c>
      <c r="B1927" t="s">
        <v>2035</v>
      </c>
      <c r="C1927" t="s">
        <v>6</v>
      </c>
      <c r="D1927" t="s">
        <v>945</v>
      </c>
      <c r="E1927" s="2">
        <v>38947</v>
      </c>
      <c r="F1927">
        <v>6664</v>
      </c>
      <c r="G1927" t="s">
        <v>1746</v>
      </c>
      <c r="H1927" t="s">
        <v>1798</v>
      </c>
      <c r="I1927" t="b">
        <v>0</v>
      </c>
      <c r="J1927" t="s">
        <v>1748</v>
      </c>
      <c r="K1927" t="s">
        <v>1853</v>
      </c>
      <c r="L1927" t="s">
        <v>1766</v>
      </c>
      <c r="M1927">
        <v>55</v>
      </c>
      <c r="N1927" t="b">
        <v>0</v>
      </c>
      <c r="P1927" t="s">
        <v>1752</v>
      </c>
      <c r="Q1927" t="s">
        <v>1753</v>
      </c>
      <c r="R1927" t="s">
        <v>1828</v>
      </c>
    </row>
    <row r="1928" spans="1:18" x14ac:dyDescent="0.25">
      <c r="A1928" t="s">
        <v>4693</v>
      </c>
      <c r="B1928" t="s">
        <v>2177</v>
      </c>
      <c r="C1928" t="s">
        <v>6</v>
      </c>
      <c r="D1928" t="s">
        <v>4692</v>
      </c>
      <c r="E1928" s="2">
        <v>42947</v>
      </c>
      <c r="F1928">
        <v>2664</v>
      </c>
      <c r="G1928" t="s">
        <v>1746</v>
      </c>
      <c r="H1928" t="s">
        <v>1805</v>
      </c>
      <c r="I1928" t="b">
        <v>1</v>
      </c>
      <c r="J1928" t="s">
        <v>1761</v>
      </c>
      <c r="K1928" t="s">
        <v>1824</v>
      </c>
      <c r="L1928" t="s">
        <v>1750</v>
      </c>
      <c r="M1928">
        <v>55</v>
      </c>
      <c r="N1928" t="b">
        <v>0</v>
      </c>
      <c r="O1928">
        <v>221</v>
      </c>
      <c r="P1928" t="s">
        <v>1752</v>
      </c>
      <c r="Q1928" t="s">
        <v>1753</v>
      </c>
      <c r="R1928" t="s">
        <v>1828</v>
      </c>
    </row>
    <row r="1929" spans="1:18" x14ac:dyDescent="0.25">
      <c r="A1929" t="s">
        <v>4695</v>
      </c>
      <c r="B1929" t="s">
        <v>1803</v>
      </c>
      <c r="C1929" t="s">
        <v>6</v>
      </c>
      <c r="D1929" t="s">
        <v>4694</v>
      </c>
      <c r="E1929" s="2">
        <v>40263</v>
      </c>
      <c r="F1929">
        <v>5348</v>
      </c>
      <c r="G1929" t="s">
        <v>1746</v>
      </c>
      <c r="H1929" t="s">
        <v>1798</v>
      </c>
      <c r="I1929" t="b">
        <v>1</v>
      </c>
      <c r="J1929" t="s">
        <v>1748</v>
      </c>
      <c r="K1929" t="s">
        <v>1824</v>
      </c>
      <c r="L1929" t="s">
        <v>1750</v>
      </c>
      <c r="M1929">
        <v>55</v>
      </c>
      <c r="N1929" t="b">
        <v>0</v>
      </c>
      <c r="O1929">
        <v>149</v>
      </c>
      <c r="P1929" t="s">
        <v>1752</v>
      </c>
      <c r="Q1929" t="s">
        <v>1753</v>
      </c>
      <c r="R1929" t="s">
        <v>1828</v>
      </c>
    </row>
    <row r="1930" spans="1:18" x14ac:dyDescent="0.25">
      <c r="A1930" t="s">
        <v>4696</v>
      </c>
      <c r="B1930" t="s">
        <v>2035</v>
      </c>
      <c r="C1930" t="s">
        <v>6</v>
      </c>
      <c r="D1930" t="s">
        <v>915</v>
      </c>
      <c r="E1930" s="2">
        <v>40728</v>
      </c>
      <c r="F1930">
        <v>4883</v>
      </c>
      <c r="G1930" t="s">
        <v>1746</v>
      </c>
      <c r="H1930" t="s">
        <v>1798</v>
      </c>
      <c r="I1930" t="b">
        <v>0</v>
      </c>
      <c r="J1930" t="s">
        <v>1748</v>
      </c>
      <c r="K1930" t="s">
        <v>1856</v>
      </c>
      <c r="L1930" t="s">
        <v>1766</v>
      </c>
      <c r="M1930">
        <v>54</v>
      </c>
      <c r="N1930" t="b">
        <v>0</v>
      </c>
      <c r="P1930" t="s">
        <v>1752</v>
      </c>
      <c r="Q1930" t="s">
        <v>1753</v>
      </c>
    </row>
    <row r="1931" spans="1:18" x14ac:dyDescent="0.25">
      <c r="A1931" t="s">
        <v>4698</v>
      </c>
      <c r="B1931" t="s">
        <v>2144</v>
      </c>
      <c r="C1931" t="s">
        <v>6</v>
      </c>
      <c r="D1931" t="s">
        <v>4697</v>
      </c>
      <c r="E1931" s="2">
        <v>43845</v>
      </c>
      <c r="F1931">
        <v>1766</v>
      </c>
      <c r="G1931" t="s">
        <v>1746</v>
      </c>
      <c r="H1931" t="s">
        <v>1747</v>
      </c>
      <c r="I1931" t="b">
        <v>0</v>
      </c>
      <c r="J1931" t="s">
        <v>1748</v>
      </c>
      <c r="K1931" t="s">
        <v>1749</v>
      </c>
      <c r="L1931" t="s">
        <v>1817</v>
      </c>
      <c r="M1931">
        <v>54</v>
      </c>
      <c r="N1931" t="b">
        <v>0</v>
      </c>
      <c r="O1931">
        <v>2419</v>
      </c>
      <c r="P1931" t="s">
        <v>1819</v>
      </c>
      <c r="Q1931" t="s">
        <v>1753</v>
      </c>
      <c r="R1931" t="s">
        <v>1759</v>
      </c>
    </row>
    <row r="1932" spans="1:18" x14ac:dyDescent="0.25">
      <c r="A1932" t="s">
        <v>4700</v>
      </c>
      <c r="B1932" t="s">
        <v>2060</v>
      </c>
      <c r="C1932" t="s">
        <v>6</v>
      </c>
      <c r="D1932" t="s">
        <v>4699</v>
      </c>
      <c r="E1932" s="2">
        <v>39259</v>
      </c>
      <c r="F1932">
        <v>6352</v>
      </c>
      <c r="G1932" t="s">
        <v>1746</v>
      </c>
      <c r="H1932" t="s">
        <v>1798</v>
      </c>
      <c r="I1932" t="b">
        <v>0</v>
      </c>
      <c r="J1932" t="s">
        <v>1748</v>
      </c>
      <c r="K1932" t="s">
        <v>1825</v>
      </c>
      <c r="L1932" t="s">
        <v>1750</v>
      </c>
      <c r="M1932">
        <v>54</v>
      </c>
      <c r="N1932" t="b">
        <v>1</v>
      </c>
      <c r="O1932">
        <v>53</v>
      </c>
      <c r="P1932" t="s">
        <v>1752</v>
      </c>
      <c r="Q1932" t="s">
        <v>1753</v>
      </c>
      <c r="R1932" t="s">
        <v>1828</v>
      </c>
    </row>
    <row r="1933" spans="1:18" x14ac:dyDescent="0.25">
      <c r="A1933" t="s">
        <v>4702</v>
      </c>
      <c r="B1933" t="s">
        <v>1803</v>
      </c>
      <c r="C1933" t="s">
        <v>572</v>
      </c>
      <c r="D1933" t="s">
        <v>4701</v>
      </c>
      <c r="E1933" s="2">
        <v>39888</v>
      </c>
      <c r="F1933">
        <v>5723</v>
      </c>
      <c r="G1933" t="s">
        <v>1746</v>
      </c>
      <c r="H1933" t="s">
        <v>1798</v>
      </c>
      <c r="I1933" t="b">
        <v>0</v>
      </c>
      <c r="J1933" t="s">
        <v>1761</v>
      </c>
      <c r="K1933" t="s">
        <v>1824</v>
      </c>
      <c r="L1933" t="s">
        <v>1750</v>
      </c>
      <c r="M1933">
        <v>54</v>
      </c>
      <c r="N1933" t="b">
        <v>0</v>
      </c>
      <c r="O1933">
        <v>15</v>
      </c>
      <c r="P1933" t="s">
        <v>1819</v>
      </c>
      <c r="Q1933" t="s">
        <v>1753</v>
      </c>
    </row>
    <row r="1934" spans="1:18" x14ac:dyDescent="0.25">
      <c r="A1934" t="s">
        <v>4704</v>
      </c>
      <c r="B1934" t="s">
        <v>2085</v>
      </c>
      <c r="C1934" t="s">
        <v>11</v>
      </c>
      <c r="D1934" t="s">
        <v>4703</v>
      </c>
      <c r="E1934" s="2">
        <v>42034</v>
      </c>
      <c r="F1934">
        <v>3577</v>
      </c>
      <c r="G1934" t="s">
        <v>1746</v>
      </c>
      <c r="H1934" t="s">
        <v>1805</v>
      </c>
      <c r="I1934" t="b">
        <v>0</v>
      </c>
      <c r="J1934" t="s">
        <v>1748</v>
      </c>
      <c r="K1934" t="s">
        <v>1755</v>
      </c>
      <c r="L1934" t="s">
        <v>1750</v>
      </c>
      <c r="M1934">
        <v>53</v>
      </c>
      <c r="N1934" t="b">
        <v>0</v>
      </c>
      <c r="O1934">
        <v>52</v>
      </c>
      <c r="P1934" t="s">
        <v>1752</v>
      </c>
      <c r="Q1934" t="s">
        <v>1753</v>
      </c>
      <c r="R1934" t="s">
        <v>1828</v>
      </c>
    </row>
    <row r="1935" spans="1:18" x14ac:dyDescent="0.25">
      <c r="A1935" t="s">
        <v>4706</v>
      </c>
      <c r="B1935" t="s">
        <v>4608</v>
      </c>
      <c r="C1935" t="s">
        <v>6</v>
      </c>
      <c r="D1935" t="s">
        <v>4705</v>
      </c>
      <c r="E1935" s="2">
        <v>43020</v>
      </c>
      <c r="F1935">
        <v>2591</v>
      </c>
      <c r="G1935" t="s">
        <v>1746</v>
      </c>
      <c r="H1935" t="s">
        <v>1747</v>
      </c>
      <c r="I1935" t="b">
        <v>1</v>
      </c>
      <c r="J1935" t="s">
        <v>1748</v>
      </c>
      <c r="K1935" t="s">
        <v>1755</v>
      </c>
      <c r="L1935" t="s">
        <v>1750</v>
      </c>
      <c r="M1935">
        <v>53</v>
      </c>
      <c r="N1935" t="b">
        <v>1</v>
      </c>
      <c r="O1935">
        <v>154</v>
      </c>
      <c r="P1935" t="s">
        <v>1752</v>
      </c>
      <c r="Q1935" t="s">
        <v>1753</v>
      </c>
      <c r="R1935" t="s">
        <v>1759</v>
      </c>
    </row>
    <row r="1936" spans="1:18" x14ac:dyDescent="0.25">
      <c r="A1936" t="s">
        <v>1456</v>
      </c>
      <c r="B1936" t="s">
        <v>1876</v>
      </c>
      <c r="C1936" t="s">
        <v>4</v>
      </c>
      <c r="D1936" t="s">
        <v>1457</v>
      </c>
      <c r="E1936" s="2">
        <v>42677</v>
      </c>
      <c r="F1936">
        <v>2934</v>
      </c>
      <c r="G1936" t="s">
        <v>1746</v>
      </c>
      <c r="H1936" t="s">
        <v>1747</v>
      </c>
      <c r="I1936" t="b">
        <v>0</v>
      </c>
      <c r="J1936" t="s">
        <v>1748</v>
      </c>
      <c r="K1936" t="s">
        <v>1771</v>
      </c>
      <c r="L1936" t="s">
        <v>1750</v>
      </c>
      <c r="M1936">
        <v>53</v>
      </c>
      <c r="N1936" t="b">
        <v>1</v>
      </c>
      <c r="O1936">
        <v>343</v>
      </c>
      <c r="P1936" t="s">
        <v>1752</v>
      </c>
      <c r="Q1936" t="s">
        <v>1753</v>
      </c>
    </row>
    <row r="1937" spans="1:18" x14ac:dyDescent="0.25">
      <c r="A1937" t="s">
        <v>4707</v>
      </c>
      <c r="B1937" t="s">
        <v>1876</v>
      </c>
      <c r="C1937" t="s">
        <v>4</v>
      </c>
      <c r="D1937" t="s">
        <v>1561</v>
      </c>
      <c r="E1937" s="2">
        <v>42062</v>
      </c>
      <c r="F1937">
        <v>3549</v>
      </c>
      <c r="G1937" t="s">
        <v>1746</v>
      </c>
      <c r="H1937" t="s">
        <v>1805</v>
      </c>
      <c r="I1937" t="b">
        <v>1</v>
      </c>
      <c r="J1937" t="s">
        <v>1748</v>
      </c>
      <c r="K1937" t="s">
        <v>1826</v>
      </c>
      <c r="L1937" t="s">
        <v>1756</v>
      </c>
      <c r="M1937">
        <v>53</v>
      </c>
      <c r="N1937" t="b">
        <v>0</v>
      </c>
      <c r="O1937">
        <v>670</v>
      </c>
      <c r="P1937" t="s">
        <v>1752</v>
      </c>
      <c r="Q1937" t="s">
        <v>1753</v>
      </c>
      <c r="R1937" t="s">
        <v>1772</v>
      </c>
    </row>
    <row r="1938" spans="1:18" x14ac:dyDescent="0.25">
      <c r="A1938" t="s">
        <v>4709</v>
      </c>
      <c r="B1938" t="s">
        <v>1907</v>
      </c>
      <c r="C1938" t="s">
        <v>572</v>
      </c>
      <c r="D1938" t="s">
        <v>4708</v>
      </c>
      <c r="E1938" s="2">
        <v>43686</v>
      </c>
      <c r="F1938">
        <v>1925</v>
      </c>
      <c r="G1938" t="s">
        <v>1746</v>
      </c>
      <c r="H1938" t="s">
        <v>1798</v>
      </c>
      <c r="I1938" t="b">
        <v>0</v>
      </c>
      <c r="J1938" t="s">
        <v>1761</v>
      </c>
      <c r="K1938" t="s">
        <v>1824</v>
      </c>
      <c r="L1938" t="s">
        <v>1750</v>
      </c>
      <c r="M1938">
        <v>53</v>
      </c>
      <c r="N1938" t="b">
        <v>0</v>
      </c>
      <c r="O1938">
        <v>90</v>
      </c>
      <c r="P1938" t="s">
        <v>1819</v>
      </c>
      <c r="Q1938" t="s">
        <v>1753</v>
      </c>
      <c r="R1938" t="s">
        <v>1828</v>
      </c>
    </row>
    <row r="1939" spans="1:18" x14ac:dyDescent="0.25">
      <c r="A1939" t="s">
        <v>4710</v>
      </c>
      <c r="B1939" t="s">
        <v>1810</v>
      </c>
      <c r="C1939" t="s">
        <v>4</v>
      </c>
      <c r="D1939" t="s">
        <v>990</v>
      </c>
      <c r="E1939" s="2">
        <v>41513</v>
      </c>
      <c r="F1939">
        <v>4098</v>
      </c>
      <c r="G1939" t="s">
        <v>1746</v>
      </c>
      <c r="H1939" t="s">
        <v>1747</v>
      </c>
      <c r="I1939" t="b">
        <v>1</v>
      </c>
      <c r="J1939" t="s">
        <v>1761</v>
      </c>
      <c r="K1939" t="s">
        <v>1824</v>
      </c>
      <c r="L1939" t="s">
        <v>1817</v>
      </c>
      <c r="M1939">
        <v>53</v>
      </c>
      <c r="N1939" t="b">
        <v>0</v>
      </c>
      <c r="O1939">
        <v>89</v>
      </c>
      <c r="P1939" t="s">
        <v>1819</v>
      </c>
      <c r="Q1939" t="s">
        <v>1753</v>
      </c>
    </row>
    <row r="1940" spans="1:18" x14ac:dyDescent="0.25">
      <c r="A1940" t="s">
        <v>4711</v>
      </c>
      <c r="B1940" t="s">
        <v>2810</v>
      </c>
      <c r="C1940" t="s">
        <v>4</v>
      </c>
      <c r="D1940" t="s">
        <v>1319</v>
      </c>
      <c r="E1940" s="2">
        <v>44173</v>
      </c>
      <c r="F1940">
        <v>1438</v>
      </c>
      <c r="G1940" t="s">
        <v>1833</v>
      </c>
      <c r="H1940" t="s">
        <v>1798</v>
      </c>
      <c r="I1940" t="b">
        <v>0</v>
      </c>
      <c r="J1940" t="s">
        <v>1761</v>
      </c>
      <c r="K1940" t="s">
        <v>1776</v>
      </c>
      <c r="L1940" t="s">
        <v>1750</v>
      </c>
      <c r="M1940">
        <v>53</v>
      </c>
      <c r="N1940" t="b">
        <v>0</v>
      </c>
      <c r="O1940">
        <v>14555</v>
      </c>
      <c r="P1940" t="s">
        <v>1752</v>
      </c>
      <c r="Q1940" t="s">
        <v>1753</v>
      </c>
      <c r="R1940" t="s">
        <v>1759</v>
      </c>
    </row>
    <row r="1941" spans="1:18" x14ac:dyDescent="0.25">
      <c r="A1941" t="s">
        <v>4713</v>
      </c>
      <c r="B1941" t="s">
        <v>2284</v>
      </c>
      <c r="C1941" t="s">
        <v>2338</v>
      </c>
      <c r="D1941" t="s">
        <v>4712</v>
      </c>
      <c r="E1941" s="2">
        <v>44312</v>
      </c>
      <c r="F1941">
        <v>1299</v>
      </c>
      <c r="G1941" t="s">
        <v>1746</v>
      </c>
      <c r="H1941" t="s">
        <v>1747</v>
      </c>
      <c r="I1941" t="b">
        <v>0</v>
      </c>
      <c r="J1941" t="s">
        <v>1748</v>
      </c>
      <c r="K1941" t="s">
        <v>1935</v>
      </c>
      <c r="L1941" t="s">
        <v>1775</v>
      </c>
      <c r="M1941">
        <v>53</v>
      </c>
      <c r="N1941" t="b">
        <v>0</v>
      </c>
      <c r="P1941" t="s">
        <v>2283</v>
      </c>
      <c r="Q1941" t="s">
        <v>1705</v>
      </c>
    </row>
    <row r="1942" spans="1:18" x14ac:dyDescent="0.25">
      <c r="A1942" t="s">
        <v>4714</v>
      </c>
      <c r="B1942" t="s">
        <v>2847</v>
      </c>
      <c r="C1942" t="s">
        <v>6</v>
      </c>
      <c r="D1942" t="s">
        <v>73</v>
      </c>
      <c r="E1942" s="2">
        <v>42512</v>
      </c>
      <c r="F1942">
        <v>3099</v>
      </c>
      <c r="G1942" t="s">
        <v>1746</v>
      </c>
      <c r="H1942" t="s">
        <v>1798</v>
      </c>
      <c r="I1942" t="b">
        <v>0</v>
      </c>
      <c r="J1942" t="s">
        <v>1748</v>
      </c>
      <c r="K1942" t="s">
        <v>1891</v>
      </c>
      <c r="L1942" t="s">
        <v>1766</v>
      </c>
      <c r="M1942">
        <v>53</v>
      </c>
      <c r="N1942" t="b">
        <v>0</v>
      </c>
      <c r="P1942" t="s">
        <v>1752</v>
      </c>
      <c r="Q1942" t="s">
        <v>1753</v>
      </c>
      <c r="R1942" t="s">
        <v>1828</v>
      </c>
    </row>
    <row r="1943" spans="1:18" x14ac:dyDescent="0.25">
      <c r="A1943" t="s">
        <v>4716</v>
      </c>
      <c r="B1943" t="s">
        <v>1704</v>
      </c>
      <c r="C1943" t="s">
        <v>4</v>
      </c>
      <c r="D1943" t="s">
        <v>4715</v>
      </c>
      <c r="E1943" s="2">
        <v>45448</v>
      </c>
      <c r="F1943">
        <v>163</v>
      </c>
      <c r="G1943" t="s">
        <v>1746</v>
      </c>
      <c r="H1943" t="s">
        <v>1747</v>
      </c>
      <c r="I1943" t="b">
        <v>0</v>
      </c>
      <c r="J1943" t="s">
        <v>1748</v>
      </c>
      <c r="K1943" t="s">
        <v>1749</v>
      </c>
      <c r="L1943" t="s">
        <v>1750</v>
      </c>
      <c r="M1943">
        <v>53</v>
      </c>
      <c r="N1943" t="b">
        <v>0</v>
      </c>
      <c r="O1943">
        <v>2229</v>
      </c>
      <c r="P1943" t="s">
        <v>1752</v>
      </c>
      <c r="Q1943" t="s">
        <v>1753</v>
      </c>
      <c r="R1943" t="s">
        <v>1759</v>
      </c>
    </row>
    <row r="1944" spans="1:18" x14ac:dyDescent="0.25">
      <c r="A1944" t="s">
        <v>4718</v>
      </c>
      <c r="B1944" t="s">
        <v>2494</v>
      </c>
      <c r="C1944" t="s">
        <v>6</v>
      </c>
      <c r="D1944" t="s">
        <v>4717</v>
      </c>
      <c r="E1944" s="2">
        <v>41687</v>
      </c>
      <c r="F1944">
        <v>3924</v>
      </c>
      <c r="G1944" t="s">
        <v>1746</v>
      </c>
      <c r="H1944" t="s">
        <v>1747</v>
      </c>
      <c r="I1944" t="b">
        <v>0</v>
      </c>
      <c r="J1944" t="s">
        <v>1748</v>
      </c>
      <c r="K1944" t="s">
        <v>1776</v>
      </c>
      <c r="L1944" t="s">
        <v>1766</v>
      </c>
      <c r="M1944">
        <v>53</v>
      </c>
      <c r="N1944" t="b">
        <v>0</v>
      </c>
      <c r="P1944" t="s">
        <v>1752</v>
      </c>
      <c r="Q1944" t="s">
        <v>1753</v>
      </c>
      <c r="R1944" t="s">
        <v>1759</v>
      </c>
    </row>
    <row r="1945" spans="1:18" x14ac:dyDescent="0.25">
      <c r="A1945" t="s">
        <v>4720</v>
      </c>
      <c r="B1945" t="s">
        <v>2483</v>
      </c>
      <c r="C1945" t="s">
        <v>4</v>
      </c>
      <c r="D1945" t="s">
        <v>4719</v>
      </c>
      <c r="E1945" s="2">
        <v>45342</v>
      </c>
      <c r="F1945">
        <v>269</v>
      </c>
      <c r="G1945" t="s">
        <v>1746</v>
      </c>
      <c r="H1945" t="s">
        <v>1747</v>
      </c>
      <c r="I1945" t="b">
        <v>1</v>
      </c>
      <c r="J1945" t="s">
        <v>1748</v>
      </c>
      <c r="K1945" t="s">
        <v>1985</v>
      </c>
      <c r="L1945" t="s">
        <v>1817</v>
      </c>
      <c r="M1945">
        <v>52</v>
      </c>
      <c r="N1945" t="b">
        <v>0</v>
      </c>
      <c r="O1945">
        <v>95</v>
      </c>
      <c r="P1945" t="s">
        <v>1819</v>
      </c>
      <c r="Q1945" t="s">
        <v>1753</v>
      </c>
    </row>
    <row r="1946" spans="1:18" x14ac:dyDescent="0.25">
      <c r="A1946" t="s">
        <v>1268</v>
      </c>
      <c r="B1946" t="s">
        <v>2380</v>
      </c>
      <c r="C1946" t="s">
        <v>1249</v>
      </c>
      <c r="D1946" t="s">
        <v>1269</v>
      </c>
      <c r="E1946" s="2">
        <v>41913</v>
      </c>
      <c r="F1946">
        <v>3698</v>
      </c>
      <c r="G1946" t="s">
        <v>1746</v>
      </c>
      <c r="H1946" t="s">
        <v>1798</v>
      </c>
      <c r="I1946" t="b">
        <v>0</v>
      </c>
      <c r="J1946" t="s">
        <v>1761</v>
      </c>
      <c r="K1946" t="s">
        <v>2021</v>
      </c>
      <c r="L1946" t="s">
        <v>1750</v>
      </c>
      <c r="M1946">
        <v>52</v>
      </c>
      <c r="N1946" t="b">
        <v>1</v>
      </c>
      <c r="O1946">
        <v>100</v>
      </c>
      <c r="P1946" t="s">
        <v>1752</v>
      </c>
      <c r="Q1946" t="s">
        <v>1753</v>
      </c>
      <c r="R1946" t="s">
        <v>1828</v>
      </c>
    </row>
    <row r="1947" spans="1:18" x14ac:dyDescent="0.25">
      <c r="A1947" t="s">
        <v>4721</v>
      </c>
      <c r="B1947" t="s">
        <v>2269</v>
      </c>
      <c r="C1947" t="s">
        <v>6</v>
      </c>
      <c r="D1947" t="s">
        <v>1519</v>
      </c>
      <c r="E1947" s="2">
        <v>39234</v>
      </c>
      <c r="F1947">
        <v>6377</v>
      </c>
      <c r="G1947" t="s">
        <v>1746</v>
      </c>
      <c r="H1947" t="s">
        <v>1798</v>
      </c>
      <c r="I1947" t="b">
        <v>1</v>
      </c>
      <c r="J1947" t="s">
        <v>1748</v>
      </c>
      <c r="K1947" t="s">
        <v>1824</v>
      </c>
      <c r="L1947" t="s">
        <v>1817</v>
      </c>
      <c r="M1947">
        <v>52</v>
      </c>
      <c r="N1947" t="b">
        <v>0</v>
      </c>
      <c r="O1947">
        <v>54</v>
      </c>
      <c r="P1947" t="s">
        <v>1819</v>
      </c>
      <c r="Q1947" t="s">
        <v>1753</v>
      </c>
      <c r="R1947" t="s">
        <v>1828</v>
      </c>
    </row>
    <row r="1948" spans="1:18" x14ac:dyDescent="0.25">
      <c r="A1948" t="s">
        <v>4723</v>
      </c>
      <c r="B1948" t="s">
        <v>2177</v>
      </c>
      <c r="C1948" t="s">
        <v>4</v>
      </c>
      <c r="D1948" t="s">
        <v>4722</v>
      </c>
      <c r="E1948" s="2">
        <v>43160</v>
      </c>
      <c r="F1948">
        <v>2451</v>
      </c>
      <c r="G1948" t="s">
        <v>1746</v>
      </c>
      <c r="H1948" t="s">
        <v>1805</v>
      </c>
      <c r="I1948" t="b">
        <v>0</v>
      </c>
      <c r="J1948" t="s">
        <v>1748</v>
      </c>
      <c r="K1948" t="s">
        <v>1808</v>
      </c>
      <c r="L1948" t="s">
        <v>2102</v>
      </c>
      <c r="M1948">
        <v>52</v>
      </c>
      <c r="N1948" t="b">
        <v>0</v>
      </c>
      <c r="P1948" t="s">
        <v>2070</v>
      </c>
      <c r="Q1948" t="s">
        <v>1753</v>
      </c>
    </row>
    <row r="1949" spans="1:18" x14ac:dyDescent="0.25">
      <c r="A1949" t="s">
        <v>4725</v>
      </c>
      <c r="B1949" t="s">
        <v>2620</v>
      </c>
      <c r="C1949" t="s">
        <v>4</v>
      </c>
      <c r="D1949" t="s">
        <v>4724</v>
      </c>
      <c r="E1949" s="2">
        <v>43893</v>
      </c>
      <c r="F1949">
        <v>1718</v>
      </c>
      <c r="G1949" t="s">
        <v>1746</v>
      </c>
      <c r="H1949" t="s">
        <v>1798</v>
      </c>
      <c r="I1949" t="b">
        <v>0</v>
      </c>
      <c r="J1949" t="s">
        <v>1748</v>
      </c>
      <c r="K1949" t="s">
        <v>1755</v>
      </c>
      <c r="L1949" t="s">
        <v>1750</v>
      </c>
      <c r="M1949">
        <v>52</v>
      </c>
      <c r="N1949" t="b">
        <v>1</v>
      </c>
      <c r="O1949">
        <v>64</v>
      </c>
      <c r="P1949" t="s">
        <v>1752</v>
      </c>
      <c r="Q1949" t="s">
        <v>1753</v>
      </c>
      <c r="R1949" t="s">
        <v>1828</v>
      </c>
    </row>
    <row r="1950" spans="1:18" x14ac:dyDescent="0.25">
      <c r="A1950" t="s">
        <v>4727</v>
      </c>
      <c r="B1950" t="s">
        <v>1907</v>
      </c>
      <c r="C1950" t="s">
        <v>6</v>
      </c>
      <c r="D1950" t="s">
        <v>4726</v>
      </c>
      <c r="E1950" s="2">
        <v>44537</v>
      </c>
      <c r="F1950">
        <v>1074</v>
      </c>
      <c r="G1950" t="s">
        <v>1746</v>
      </c>
      <c r="H1950" t="s">
        <v>1798</v>
      </c>
      <c r="I1950" t="b">
        <v>0</v>
      </c>
      <c r="J1950" t="s">
        <v>1761</v>
      </c>
      <c r="K1950" t="s">
        <v>1856</v>
      </c>
      <c r="L1950" t="s">
        <v>1750</v>
      </c>
      <c r="M1950">
        <v>52</v>
      </c>
      <c r="N1950" t="b">
        <v>1</v>
      </c>
      <c r="O1950">
        <v>26</v>
      </c>
      <c r="P1950" t="s">
        <v>1752</v>
      </c>
      <c r="Q1950" t="s">
        <v>1753</v>
      </c>
      <c r="R1950" t="s">
        <v>2028</v>
      </c>
    </row>
    <row r="1951" spans="1:18" x14ac:dyDescent="0.25">
      <c r="A1951" t="s">
        <v>2302</v>
      </c>
      <c r="B1951" t="s">
        <v>1829</v>
      </c>
      <c r="C1951" t="s">
        <v>4</v>
      </c>
      <c r="D1951" t="s">
        <v>995</v>
      </c>
      <c r="E1951" s="2">
        <v>43301</v>
      </c>
      <c r="F1951">
        <v>2310</v>
      </c>
      <c r="G1951" t="s">
        <v>1746</v>
      </c>
      <c r="H1951" t="s">
        <v>1747</v>
      </c>
      <c r="I1951" t="b">
        <v>1</v>
      </c>
      <c r="J1951" t="s">
        <v>1748</v>
      </c>
      <c r="K1951" t="s">
        <v>1913</v>
      </c>
      <c r="L1951" t="s">
        <v>1817</v>
      </c>
      <c r="M1951">
        <v>52</v>
      </c>
      <c r="N1951" t="b">
        <v>0</v>
      </c>
      <c r="O1951">
        <v>486</v>
      </c>
      <c r="P1951" t="s">
        <v>1819</v>
      </c>
      <c r="Q1951" t="s">
        <v>1753</v>
      </c>
      <c r="R1951" t="s">
        <v>1772</v>
      </c>
    </row>
    <row r="1952" spans="1:18" x14ac:dyDescent="0.25">
      <c r="A1952" t="s">
        <v>4729</v>
      </c>
      <c r="B1952" t="s">
        <v>2836</v>
      </c>
      <c r="C1952" t="s">
        <v>4</v>
      </c>
      <c r="D1952" t="s">
        <v>4728</v>
      </c>
      <c r="E1952" s="2">
        <v>45335</v>
      </c>
      <c r="F1952">
        <v>276</v>
      </c>
      <c r="G1952" t="s">
        <v>1746</v>
      </c>
      <c r="H1952" t="s">
        <v>1798</v>
      </c>
      <c r="I1952" t="b">
        <v>0</v>
      </c>
      <c r="J1952" t="s">
        <v>1761</v>
      </c>
      <c r="K1952" t="s">
        <v>1793</v>
      </c>
      <c r="L1952" t="s">
        <v>1750</v>
      </c>
      <c r="M1952">
        <v>52</v>
      </c>
      <c r="N1952" t="b">
        <v>1</v>
      </c>
      <c r="P1952" t="s">
        <v>1819</v>
      </c>
      <c r="Q1952" t="s">
        <v>1753</v>
      </c>
      <c r="R1952" t="s">
        <v>1759</v>
      </c>
    </row>
    <row r="1953" spans="1:18" x14ac:dyDescent="0.25">
      <c r="A1953" t="s">
        <v>4731</v>
      </c>
      <c r="B1953" t="s">
        <v>1803</v>
      </c>
      <c r="C1953" t="s">
        <v>572</v>
      </c>
      <c r="D1953" t="s">
        <v>4730</v>
      </c>
      <c r="E1953" s="2">
        <v>38803</v>
      </c>
      <c r="F1953">
        <v>6808</v>
      </c>
      <c r="G1953" t="s">
        <v>1746</v>
      </c>
      <c r="H1953" t="s">
        <v>1747</v>
      </c>
      <c r="I1953" t="b">
        <v>0</v>
      </c>
      <c r="J1953" t="s">
        <v>1761</v>
      </c>
      <c r="K1953" t="s">
        <v>1791</v>
      </c>
      <c r="L1953" t="s">
        <v>1750</v>
      </c>
      <c r="M1953">
        <v>51</v>
      </c>
      <c r="N1953" t="b">
        <v>0</v>
      </c>
      <c r="O1953">
        <v>50</v>
      </c>
      <c r="P1953" t="s">
        <v>1752</v>
      </c>
      <c r="Q1953" t="s">
        <v>1753</v>
      </c>
    </row>
    <row r="1954" spans="1:18" x14ac:dyDescent="0.25">
      <c r="A1954" t="s">
        <v>4733</v>
      </c>
      <c r="B1954" t="s">
        <v>2662</v>
      </c>
      <c r="C1954" t="s">
        <v>4</v>
      </c>
      <c r="D1954" t="s">
        <v>4732</v>
      </c>
      <c r="E1954" s="2">
        <v>45189</v>
      </c>
      <c r="F1954">
        <v>422</v>
      </c>
      <c r="G1954" t="s">
        <v>1746</v>
      </c>
      <c r="H1954" t="s">
        <v>1747</v>
      </c>
      <c r="I1954" t="b">
        <v>1</v>
      </c>
      <c r="J1954" t="s">
        <v>1761</v>
      </c>
      <c r="K1954" t="s">
        <v>1913</v>
      </c>
      <c r="L1954" t="s">
        <v>1817</v>
      </c>
      <c r="M1954">
        <v>51</v>
      </c>
      <c r="N1954" t="b">
        <v>0</v>
      </c>
      <c r="O1954">
        <v>628</v>
      </c>
      <c r="P1954" t="s">
        <v>1819</v>
      </c>
      <c r="Q1954" t="s">
        <v>1753</v>
      </c>
      <c r="R1954" t="s">
        <v>1759</v>
      </c>
    </row>
    <row r="1955" spans="1:18" x14ac:dyDescent="0.25">
      <c r="A1955" t="s">
        <v>4734</v>
      </c>
      <c r="B1955" t="s">
        <v>2035</v>
      </c>
      <c r="C1955" t="s">
        <v>6</v>
      </c>
      <c r="D1955" t="s">
        <v>873</v>
      </c>
      <c r="E1955" s="2">
        <v>40872</v>
      </c>
      <c r="F1955">
        <v>4739</v>
      </c>
      <c r="G1955" t="s">
        <v>1746</v>
      </c>
      <c r="H1955" t="s">
        <v>1798</v>
      </c>
      <c r="I1955" t="b">
        <v>1</v>
      </c>
      <c r="J1955" t="s">
        <v>1748</v>
      </c>
      <c r="K1955" t="s">
        <v>1825</v>
      </c>
      <c r="L1955" t="s">
        <v>1750</v>
      </c>
      <c r="M1955">
        <v>51</v>
      </c>
      <c r="N1955" t="b">
        <v>0</v>
      </c>
      <c r="O1955">
        <v>33</v>
      </c>
      <c r="P1955" t="s">
        <v>1819</v>
      </c>
      <c r="Q1955" t="s">
        <v>1753</v>
      </c>
      <c r="R1955" t="s">
        <v>1828</v>
      </c>
    </row>
    <row r="1956" spans="1:18" x14ac:dyDescent="0.25">
      <c r="A1956" t="s">
        <v>4735</v>
      </c>
      <c r="B1956" t="s">
        <v>1876</v>
      </c>
      <c r="C1956" t="s">
        <v>4</v>
      </c>
      <c r="D1956" t="s">
        <v>284</v>
      </c>
      <c r="E1956" s="2">
        <v>44516</v>
      </c>
      <c r="F1956">
        <v>1095</v>
      </c>
      <c r="G1956" t="s">
        <v>1746</v>
      </c>
      <c r="H1956" t="s">
        <v>1747</v>
      </c>
      <c r="I1956" t="b">
        <v>1</v>
      </c>
      <c r="J1956" t="s">
        <v>1748</v>
      </c>
      <c r="K1956" t="s">
        <v>1868</v>
      </c>
      <c r="L1956" t="s">
        <v>1750</v>
      </c>
      <c r="M1956">
        <v>51</v>
      </c>
      <c r="N1956" t="b">
        <v>0</v>
      </c>
      <c r="O1956">
        <v>39</v>
      </c>
      <c r="P1956" t="s">
        <v>1752</v>
      </c>
      <c r="Q1956" t="s">
        <v>1753</v>
      </c>
      <c r="R1956" t="s">
        <v>1759</v>
      </c>
    </row>
    <row r="1957" spans="1:18" x14ac:dyDescent="0.25">
      <c r="A1957" t="s">
        <v>4737</v>
      </c>
      <c r="B1957" t="s">
        <v>2085</v>
      </c>
      <c r="C1957" t="s">
        <v>4</v>
      </c>
      <c r="D1957" t="s">
        <v>4736</v>
      </c>
      <c r="E1957" s="2">
        <v>43164</v>
      </c>
      <c r="F1957">
        <v>2447</v>
      </c>
      <c r="G1957" t="s">
        <v>1746</v>
      </c>
      <c r="H1957" t="s">
        <v>1798</v>
      </c>
      <c r="I1957" t="b">
        <v>1</v>
      </c>
      <c r="J1957" t="s">
        <v>1748</v>
      </c>
      <c r="K1957" t="s">
        <v>1905</v>
      </c>
      <c r="L1957" t="s">
        <v>1750</v>
      </c>
      <c r="M1957">
        <v>51</v>
      </c>
      <c r="N1957" t="b">
        <v>0</v>
      </c>
      <c r="O1957">
        <v>339</v>
      </c>
      <c r="P1957" t="s">
        <v>2266</v>
      </c>
      <c r="Q1957" t="s">
        <v>1753</v>
      </c>
      <c r="R1957" t="s">
        <v>1759</v>
      </c>
    </row>
    <row r="1958" spans="1:18" x14ac:dyDescent="0.25">
      <c r="A1958" t="s">
        <v>4739</v>
      </c>
      <c r="B1958" t="s">
        <v>2150</v>
      </c>
      <c r="C1958" t="s">
        <v>4</v>
      </c>
      <c r="D1958" t="s">
        <v>4738</v>
      </c>
      <c r="E1958" s="2">
        <v>43964</v>
      </c>
      <c r="F1958">
        <v>1647</v>
      </c>
      <c r="G1958" t="s">
        <v>1833</v>
      </c>
      <c r="H1958" t="s">
        <v>1747</v>
      </c>
      <c r="I1958" t="b">
        <v>0</v>
      </c>
      <c r="J1958" t="s">
        <v>1748</v>
      </c>
      <c r="K1958" t="s">
        <v>1880</v>
      </c>
      <c r="L1958" t="s">
        <v>1750</v>
      </c>
      <c r="M1958">
        <v>51</v>
      </c>
      <c r="N1958" t="b">
        <v>1</v>
      </c>
      <c r="O1958">
        <v>400</v>
      </c>
      <c r="P1958" t="s">
        <v>1819</v>
      </c>
      <c r="Q1958" t="s">
        <v>1753</v>
      </c>
      <c r="R1958" t="s">
        <v>1759</v>
      </c>
    </row>
    <row r="1959" spans="1:18" x14ac:dyDescent="0.25">
      <c r="A1959" t="s">
        <v>4741</v>
      </c>
      <c r="B1959" t="s">
        <v>2177</v>
      </c>
      <c r="C1959" t="s">
        <v>4</v>
      </c>
      <c r="D1959" t="s">
        <v>4740</v>
      </c>
      <c r="E1959" s="2">
        <v>42676</v>
      </c>
      <c r="F1959">
        <v>2935</v>
      </c>
      <c r="G1959" t="s">
        <v>1746</v>
      </c>
      <c r="H1959" t="s">
        <v>1805</v>
      </c>
      <c r="I1959" t="b">
        <v>1</v>
      </c>
      <c r="J1959" t="s">
        <v>1761</v>
      </c>
      <c r="K1959" t="s">
        <v>1774</v>
      </c>
      <c r="L1959" t="s">
        <v>1750</v>
      </c>
      <c r="M1959">
        <v>51</v>
      </c>
      <c r="N1959" t="b">
        <v>0</v>
      </c>
      <c r="O1959">
        <v>505</v>
      </c>
      <c r="P1959" t="s">
        <v>1752</v>
      </c>
      <c r="Q1959" t="s">
        <v>1753</v>
      </c>
    </row>
    <row r="1960" spans="1:18" x14ac:dyDescent="0.25">
      <c r="A1960" t="s">
        <v>4742</v>
      </c>
      <c r="B1960" t="s">
        <v>1876</v>
      </c>
      <c r="C1960" t="s">
        <v>4</v>
      </c>
      <c r="D1960" t="s">
        <v>216</v>
      </c>
      <c r="E1960" s="2">
        <v>43978</v>
      </c>
      <c r="F1960">
        <v>1633</v>
      </c>
      <c r="G1960" t="s">
        <v>1833</v>
      </c>
      <c r="H1960" t="s">
        <v>1747</v>
      </c>
      <c r="I1960" t="b">
        <v>0</v>
      </c>
      <c r="J1960" t="s">
        <v>1748</v>
      </c>
      <c r="K1960" t="s">
        <v>1776</v>
      </c>
      <c r="L1960" t="s">
        <v>1750</v>
      </c>
      <c r="M1960">
        <v>51</v>
      </c>
      <c r="N1960" t="b">
        <v>1</v>
      </c>
      <c r="O1960">
        <v>329</v>
      </c>
      <c r="P1960" t="s">
        <v>1752</v>
      </c>
      <c r="Q1960" t="s">
        <v>1753</v>
      </c>
      <c r="R1960" t="s">
        <v>1759</v>
      </c>
    </row>
    <row r="1961" spans="1:18" x14ac:dyDescent="0.25">
      <c r="A1961" t="s">
        <v>4744</v>
      </c>
      <c r="B1961" t="s">
        <v>2177</v>
      </c>
      <c r="C1961" t="s">
        <v>4</v>
      </c>
      <c r="D1961" t="s">
        <v>4743</v>
      </c>
      <c r="E1961" s="2">
        <v>43367</v>
      </c>
      <c r="F1961">
        <v>2244</v>
      </c>
      <c r="G1961" t="s">
        <v>1746</v>
      </c>
      <c r="H1961" t="s">
        <v>1805</v>
      </c>
      <c r="I1961" t="b">
        <v>1</v>
      </c>
      <c r="J1961" t="s">
        <v>1761</v>
      </c>
      <c r="K1961" t="s">
        <v>1917</v>
      </c>
      <c r="L1961" t="s">
        <v>1750</v>
      </c>
      <c r="M1961">
        <v>51</v>
      </c>
      <c r="N1961" t="b">
        <v>0</v>
      </c>
      <c r="O1961">
        <v>84</v>
      </c>
      <c r="P1961" t="s">
        <v>1819</v>
      </c>
      <c r="Q1961" t="s">
        <v>1753</v>
      </c>
      <c r="R1961" t="s">
        <v>1759</v>
      </c>
    </row>
    <row r="1962" spans="1:18" x14ac:dyDescent="0.25">
      <c r="A1962" t="s">
        <v>4745</v>
      </c>
      <c r="B1962" t="s">
        <v>1768</v>
      </c>
      <c r="C1962" t="s">
        <v>4</v>
      </c>
      <c r="D1962" t="s">
        <v>258</v>
      </c>
      <c r="E1962" s="2">
        <v>44041</v>
      </c>
      <c r="F1962">
        <v>1570</v>
      </c>
      <c r="G1962" t="s">
        <v>1746</v>
      </c>
      <c r="H1962" t="s">
        <v>1798</v>
      </c>
      <c r="I1962" t="b">
        <v>0</v>
      </c>
      <c r="J1962" t="s">
        <v>1748</v>
      </c>
      <c r="K1962" t="s">
        <v>1824</v>
      </c>
      <c r="L1962" t="s">
        <v>1750</v>
      </c>
      <c r="M1962">
        <v>51</v>
      </c>
      <c r="N1962" t="b">
        <v>1</v>
      </c>
      <c r="O1962">
        <v>455</v>
      </c>
      <c r="P1962" t="s">
        <v>1752</v>
      </c>
      <c r="Q1962" t="s">
        <v>1753</v>
      </c>
      <c r="R1962" t="s">
        <v>1828</v>
      </c>
    </row>
    <row r="1963" spans="1:18" x14ac:dyDescent="0.25">
      <c r="A1963" t="s">
        <v>4747</v>
      </c>
      <c r="B1963" t="s">
        <v>2483</v>
      </c>
      <c r="C1963" t="s">
        <v>4</v>
      </c>
      <c r="D1963" t="s">
        <v>4746</v>
      </c>
      <c r="E1963" s="2">
        <v>44301</v>
      </c>
      <c r="F1963">
        <v>1310</v>
      </c>
      <c r="G1963" t="s">
        <v>1746</v>
      </c>
      <c r="H1963" t="s">
        <v>1805</v>
      </c>
      <c r="I1963" t="b">
        <v>0</v>
      </c>
      <c r="J1963" t="s">
        <v>1761</v>
      </c>
      <c r="K1963" t="s">
        <v>1776</v>
      </c>
      <c r="L1963" t="s">
        <v>1750</v>
      </c>
      <c r="M1963">
        <v>51</v>
      </c>
      <c r="N1963" t="b">
        <v>1</v>
      </c>
      <c r="O1963">
        <v>38</v>
      </c>
      <c r="P1963" t="s">
        <v>1752</v>
      </c>
      <c r="Q1963" t="s">
        <v>1753</v>
      </c>
    </row>
    <row r="1964" spans="1:18" x14ac:dyDescent="0.25">
      <c r="A1964" t="s">
        <v>4748</v>
      </c>
      <c r="B1964" t="s">
        <v>1876</v>
      </c>
      <c r="C1964" t="s">
        <v>4</v>
      </c>
      <c r="D1964" t="s">
        <v>1343</v>
      </c>
      <c r="E1964" s="2">
        <v>43234</v>
      </c>
      <c r="F1964">
        <v>2377</v>
      </c>
      <c r="G1964" t="s">
        <v>1746</v>
      </c>
      <c r="H1964" t="s">
        <v>1747</v>
      </c>
      <c r="I1964" t="b">
        <v>0</v>
      </c>
      <c r="J1964" t="s">
        <v>1761</v>
      </c>
      <c r="K1964" t="s">
        <v>1917</v>
      </c>
      <c r="L1964" t="s">
        <v>1817</v>
      </c>
      <c r="M1964">
        <v>51</v>
      </c>
      <c r="N1964" t="b">
        <v>1</v>
      </c>
      <c r="O1964">
        <v>139</v>
      </c>
      <c r="P1964" t="s">
        <v>1819</v>
      </c>
      <c r="Q1964" t="s">
        <v>1753</v>
      </c>
      <c r="R1964" t="s">
        <v>1828</v>
      </c>
    </row>
    <row r="1965" spans="1:18" x14ac:dyDescent="0.25">
      <c r="A1965" t="s">
        <v>4750</v>
      </c>
      <c r="B1965" t="s">
        <v>2177</v>
      </c>
      <c r="C1965" t="s">
        <v>4</v>
      </c>
      <c r="D1965" t="s">
        <v>4749</v>
      </c>
      <c r="E1965" s="2">
        <v>43080</v>
      </c>
      <c r="F1965">
        <v>2531</v>
      </c>
      <c r="G1965" t="s">
        <v>1746</v>
      </c>
      <c r="H1965" t="s">
        <v>1798</v>
      </c>
      <c r="I1965" t="b">
        <v>0</v>
      </c>
      <c r="J1965" t="s">
        <v>1748</v>
      </c>
      <c r="K1965" t="s">
        <v>2042</v>
      </c>
      <c r="L1965" t="s">
        <v>1817</v>
      </c>
      <c r="M1965">
        <v>50</v>
      </c>
      <c r="N1965" t="b">
        <v>0</v>
      </c>
      <c r="O1965">
        <v>762</v>
      </c>
      <c r="P1965" t="s">
        <v>1819</v>
      </c>
      <c r="Q1965" t="s">
        <v>1753</v>
      </c>
      <c r="R1965" t="s">
        <v>1759</v>
      </c>
    </row>
    <row r="1966" spans="1:18" x14ac:dyDescent="0.25">
      <c r="A1966" t="s">
        <v>4751</v>
      </c>
      <c r="B1966" t="s">
        <v>1814</v>
      </c>
      <c r="C1966" t="s">
        <v>4</v>
      </c>
      <c r="D1966" t="s">
        <v>479</v>
      </c>
      <c r="E1966" s="2">
        <v>42873</v>
      </c>
      <c r="F1966">
        <v>2738</v>
      </c>
      <c r="G1966" t="s">
        <v>1746</v>
      </c>
      <c r="H1966" t="s">
        <v>1747</v>
      </c>
      <c r="I1966" t="b">
        <v>0</v>
      </c>
      <c r="J1966" t="s">
        <v>1761</v>
      </c>
      <c r="K1966" t="s">
        <v>1880</v>
      </c>
      <c r="L1966" t="s">
        <v>1750</v>
      </c>
      <c r="M1966">
        <v>50</v>
      </c>
      <c r="N1966" t="b">
        <v>0</v>
      </c>
      <c r="O1966">
        <v>101</v>
      </c>
      <c r="P1966" t="s">
        <v>1752</v>
      </c>
      <c r="Q1966" t="s">
        <v>1753</v>
      </c>
    </row>
    <row r="1967" spans="1:18" x14ac:dyDescent="0.25">
      <c r="A1967" t="s">
        <v>4752</v>
      </c>
      <c r="B1967" t="s">
        <v>2799</v>
      </c>
      <c r="C1967" t="s">
        <v>6</v>
      </c>
      <c r="D1967" t="s">
        <v>42</v>
      </c>
      <c r="E1967" s="2">
        <v>43080</v>
      </c>
      <c r="F1967">
        <v>2531</v>
      </c>
      <c r="G1967" t="s">
        <v>1746</v>
      </c>
      <c r="H1967" t="s">
        <v>1798</v>
      </c>
      <c r="I1967" t="b">
        <v>1</v>
      </c>
      <c r="J1967" t="s">
        <v>1748</v>
      </c>
      <c r="K1967" t="s">
        <v>1822</v>
      </c>
      <c r="L1967" t="s">
        <v>1817</v>
      </c>
      <c r="M1967">
        <v>50</v>
      </c>
      <c r="N1967" t="b">
        <v>0</v>
      </c>
      <c r="O1967">
        <v>8847</v>
      </c>
      <c r="P1967" t="s">
        <v>1819</v>
      </c>
      <c r="Q1967" t="s">
        <v>1753</v>
      </c>
      <c r="R1967" t="s">
        <v>1759</v>
      </c>
    </row>
    <row r="1968" spans="1:18" x14ac:dyDescent="0.25">
      <c r="A1968" t="s">
        <v>4754</v>
      </c>
      <c r="B1968" t="s">
        <v>4135</v>
      </c>
      <c r="C1968" t="s">
        <v>2709</v>
      </c>
      <c r="D1968" t="s">
        <v>4753</v>
      </c>
      <c r="E1968" s="2">
        <v>44452</v>
      </c>
      <c r="F1968">
        <v>1159</v>
      </c>
      <c r="G1968" t="s">
        <v>1746</v>
      </c>
      <c r="H1968" t="s">
        <v>1747</v>
      </c>
      <c r="I1968" t="b">
        <v>0</v>
      </c>
      <c r="J1968" t="s">
        <v>1748</v>
      </c>
      <c r="K1968" t="s">
        <v>1884</v>
      </c>
      <c r="L1968" t="s">
        <v>1775</v>
      </c>
      <c r="M1968">
        <v>50</v>
      </c>
      <c r="N1968" t="b">
        <v>0</v>
      </c>
      <c r="P1968" t="s">
        <v>2283</v>
      </c>
      <c r="Q1968" t="s">
        <v>1705</v>
      </c>
    </row>
    <row r="1969" spans="1:18" x14ac:dyDescent="0.25">
      <c r="A1969" t="s">
        <v>4756</v>
      </c>
      <c r="B1969" t="s">
        <v>2353</v>
      </c>
      <c r="C1969" t="s">
        <v>4</v>
      </c>
      <c r="D1969" t="s">
        <v>4755</v>
      </c>
      <c r="E1969" s="2">
        <v>44082</v>
      </c>
      <c r="F1969">
        <v>1529</v>
      </c>
      <c r="G1969" t="s">
        <v>1833</v>
      </c>
      <c r="H1969" t="s">
        <v>1798</v>
      </c>
      <c r="I1969" t="b">
        <v>0</v>
      </c>
      <c r="J1969" t="s">
        <v>1748</v>
      </c>
      <c r="K1969" t="s">
        <v>1776</v>
      </c>
      <c r="L1969" t="s">
        <v>1750</v>
      </c>
      <c r="M1969">
        <v>50</v>
      </c>
      <c r="N1969" t="b">
        <v>1</v>
      </c>
      <c r="O1969">
        <v>9674</v>
      </c>
      <c r="P1969" t="s">
        <v>1752</v>
      </c>
      <c r="Q1969" t="s">
        <v>1753</v>
      </c>
      <c r="R1969" t="s">
        <v>1759</v>
      </c>
    </row>
    <row r="1970" spans="1:18" x14ac:dyDescent="0.25">
      <c r="A1970" t="s">
        <v>4757</v>
      </c>
      <c r="B1970" t="s">
        <v>1829</v>
      </c>
      <c r="C1970" t="s">
        <v>4</v>
      </c>
      <c r="D1970" t="s">
        <v>971</v>
      </c>
      <c r="E1970" s="2">
        <v>43017</v>
      </c>
      <c r="F1970">
        <v>2594</v>
      </c>
      <c r="G1970" t="s">
        <v>1746</v>
      </c>
      <c r="H1970" t="s">
        <v>1798</v>
      </c>
      <c r="I1970" t="b">
        <v>0</v>
      </c>
      <c r="J1970" t="s">
        <v>1761</v>
      </c>
      <c r="K1970" t="s">
        <v>1868</v>
      </c>
      <c r="L1970" t="s">
        <v>1817</v>
      </c>
      <c r="M1970">
        <v>50</v>
      </c>
      <c r="N1970" t="b">
        <v>0</v>
      </c>
      <c r="O1970">
        <v>511</v>
      </c>
      <c r="P1970" t="s">
        <v>1819</v>
      </c>
      <c r="Q1970" t="s">
        <v>1753</v>
      </c>
      <c r="R1970" t="s">
        <v>1828</v>
      </c>
    </row>
    <row r="1971" spans="1:18" x14ac:dyDescent="0.25">
      <c r="A1971" t="s">
        <v>4758</v>
      </c>
      <c r="B1971" t="s">
        <v>2997</v>
      </c>
      <c r="C1971" t="s">
        <v>6</v>
      </c>
      <c r="D1971" t="s">
        <v>885</v>
      </c>
      <c r="E1971" s="2">
        <v>43868</v>
      </c>
      <c r="F1971">
        <v>1743</v>
      </c>
      <c r="G1971" t="s">
        <v>1746</v>
      </c>
      <c r="H1971" t="s">
        <v>1798</v>
      </c>
      <c r="I1971" t="b">
        <v>0</v>
      </c>
      <c r="J1971" t="s">
        <v>1748</v>
      </c>
      <c r="K1971" t="s">
        <v>1853</v>
      </c>
      <c r="L1971" t="s">
        <v>1817</v>
      </c>
      <c r="M1971">
        <v>50</v>
      </c>
      <c r="N1971" t="b">
        <v>1</v>
      </c>
      <c r="O1971">
        <v>701</v>
      </c>
      <c r="P1971" t="s">
        <v>1819</v>
      </c>
      <c r="Q1971" t="s">
        <v>1753</v>
      </c>
      <c r="R1971" t="s">
        <v>1759</v>
      </c>
    </row>
    <row r="1972" spans="1:18" x14ac:dyDescent="0.25">
      <c r="A1972" t="s">
        <v>4760</v>
      </c>
      <c r="B1972" t="s">
        <v>2763</v>
      </c>
      <c r="C1972" t="s">
        <v>11</v>
      </c>
      <c r="D1972" t="s">
        <v>4759</v>
      </c>
      <c r="E1972" s="2">
        <v>40456</v>
      </c>
      <c r="F1972">
        <v>5155</v>
      </c>
      <c r="G1972" t="s">
        <v>1746</v>
      </c>
      <c r="H1972" t="s">
        <v>1798</v>
      </c>
      <c r="I1972" t="b">
        <v>1</v>
      </c>
      <c r="J1972" t="s">
        <v>1748</v>
      </c>
      <c r="K1972" t="s">
        <v>1856</v>
      </c>
      <c r="L1972" t="s">
        <v>1750</v>
      </c>
      <c r="M1972">
        <v>49</v>
      </c>
      <c r="N1972" t="b">
        <v>1</v>
      </c>
      <c r="O1972">
        <v>42</v>
      </c>
      <c r="P1972" t="s">
        <v>1752</v>
      </c>
      <c r="Q1972" t="s">
        <v>1753</v>
      </c>
      <c r="R1972" t="s">
        <v>1759</v>
      </c>
    </row>
    <row r="1973" spans="1:18" x14ac:dyDescent="0.25">
      <c r="A1973" t="s">
        <v>4762</v>
      </c>
      <c r="B1973" t="s">
        <v>2133</v>
      </c>
      <c r="C1973" t="s">
        <v>4</v>
      </c>
      <c r="D1973" t="s">
        <v>4761</v>
      </c>
      <c r="E1973" s="2">
        <v>44454</v>
      </c>
      <c r="F1973">
        <v>1157</v>
      </c>
      <c r="G1973" t="s">
        <v>1833</v>
      </c>
      <c r="H1973" t="s">
        <v>1798</v>
      </c>
      <c r="I1973" t="b">
        <v>0</v>
      </c>
      <c r="J1973" t="s">
        <v>1761</v>
      </c>
      <c r="K1973" t="s">
        <v>1776</v>
      </c>
      <c r="L1973" t="s">
        <v>1750</v>
      </c>
      <c r="M1973">
        <v>49</v>
      </c>
      <c r="N1973" t="b">
        <v>1</v>
      </c>
      <c r="O1973">
        <v>138</v>
      </c>
      <c r="P1973" t="s">
        <v>1752</v>
      </c>
      <c r="Q1973" t="s">
        <v>1753</v>
      </c>
      <c r="R1973" t="s">
        <v>1828</v>
      </c>
    </row>
    <row r="1974" spans="1:18" x14ac:dyDescent="0.25">
      <c r="A1974" t="s">
        <v>4764</v>
      </c>
      <c r="B1974" t="s">
        <v>2611</v>
      </c>
      <c r="C1974" t="s">
        <v>4</v>
      </c>
      <c r="D1974" t="s">
        <v>4763</v>
      </c>
      <c r="E1974" s="2">
        <v>45260</v>
      </c>
      <c r="F1974">
        <v>351</v>
      </c>
      <c r="G1974" t="s">
        <v>1833</v>
      </c>
      <c r="H1974" t="s">
        <v>1747</v>
      </c>
      <c r="I1974" t="b">
        <v>0</v>
      </c>
      <c r="J1974" t="s">
        <v>1748</v>
      </c>
      <c r="K1974" t="s">
        <v>1880</v>
      </c>
      <c r="L1974" t="s">
        <v>1750</v>
      </c>
      <c r="M1974">
        <v>49</v>
      </c>
      <c r="N1974" t="b">
        <v>0</v>
      </c>
      <c r="O1974">
        <v>250</v>
      </c>
      <c r="P1974" t="s">
        <v>1752</v>
      </c>
      <c r="Q1974" t="s">
        <v>1753</v>
      </c>
      <c r="R1974" t="s">
        <v>1759</v>
      </c>
    </row>
    <row r="1975" spans="1:18" x14ac:dyDescent="0.25">
      <c r="A1975" t="s">
        <v>4765</v>
      </c>
      <c r="B1975" t="s">
        <v>1810</v>
      </c>
      <c r="C1975" t="s">
        <v>6</v>
      </c>
      <c r="D1975" t="s">
        <v>1123</v>
      </c>
      <c r="E1975" s="2">
        <v>43039</v>
      </c>
      <c r="F1975">
        <v>2572</v>
      </c>
      <c r="G1975" t="s">
        <v>1746</v>
      </c>
      <c r="H1975" t="s">
        <v>1747</v>
      </c>
      <c r="I1975" t="b">
        <v>0</v>
      </c>
      <c r="J1975" t="s">
        <v>1761</v>
      </c>
      <c r="K1975" t="s">
        <v>1880</v>
      </c>
      <c r="L1975" t="s">
        <v>1817</v>
      </c>
      <c r="M1975">
        <v>49</v>
      </c>
      <c r="N1975" t="b">
        <v>0</v>
      </c>
      <c r="O1975">
        <v>647</v>
      </c>
      <c r="P1975" t="s">
        <v>1819</v>
      </c>
      <c r="Q1975" t="s">
        <v>1753</v>
      </c>
      <c r="R1975" t="s">
        <v>1772</v>
      </c>
    </row>
    <row r="1976" spans="1:18" x14ac:dyDescent="0.25">
      <c r="A1976" t="s">
        <v>4767</v>
      </c>
      <c r="B1976" t="s">
        <v>1907</v>
      </c>
      <c r="C1976" t="s">
        <v>4</v>
      </c>
      <c r="D1976" t="s">
        <v>4766</v>
      </c>
      <c r="E1976" s="2">
        <v>45099</v>
      </c>
      <c r="F1976">
        <v>512</v>
      </c>
      <c r="G1976" t="s">
        <v>1746</v>
      </c>
      <c r="H1976" t="s">
        <v>1798</v>
      </c>
      <c r="I1976" t="b">
        <v>0</v>
      </c>
      <c r="J1976" t="s">
        <v>1748</v>
      </c>
      <c r="K1976" t="s">
        <v>1755</v>
      </c>
      <c r="L1976" t="s">
        <v>1750</v>
      </c>
      <c r="M1976">
        <v>49</v>
      </c>
      <c r="N1976" t="b">
        <v>1</v>
      </c>
      <c r="O1976">
        <v>182</v>
      </c>
      <c r="P1976" t="s">
        <v>1752</v>
      </c>
      <c r="Q1976" t="s">
        <v>1753</v>
      </c>
    </row>
    <row r="1977" spans="1:18" x14ac:dyDescent="0.25">
      <c r="A1977" t="s">
        <v>4769</v>
      </c>
      <c r="B1977" t="s">
        <v>3867</v>
      </c>
      <c r="C1977" t="s">
        <v>6</v>
      </c>
      <c r="D1977" t="s">
        <v>4768</v>
      </c>
      <c r="E1977" s="2">
        <v>42152</v>
      </c>
      <c r="F1977">
        <v>3459</v>
      </c>
      <c r="G1977" t="s">
        <v>1746</v>
      </c>
      <c r="H1977" t="s">
        <v>1747</v>
      </c>
      <c r="I1977" t="b">
        <v>0</v>
      </c>
      <c r="J1977" t="s">
        <v>1748</v>
      </c>
      <c r="K1977" t="s">
        <v>1770</v>
      </c>
      <c r="L1977" t="s">
        <v>1766</v>
      </c>
      <c r="M1977">
        <v>49</v>
      </c>
      <c r="N1977" t="b">
        <v>0</v>
      </c>
      <c r="P1977" t="s">
        <v>1752</v>
      </c>
      <c r="Q1977" t="s">
        <v>1753</v>
      </c>
    </row>
    <row r="1978" spans="1:18" x14ac:dyDescent="0.25">
      <c r="A1978" t="s">
        <v>4770</v>
      </c>
      <c r="B1978" t="s">
        <v>2269</v>
      </c>
      <c r="C1978" t="s">
        <v>6</v>
      </c>
      <c r="D1978" t="s">
        <v>1536</v>
      </c>
      <c r="E1978" s="2">
        <v>40920</v>
      </c>
      <c r="F1978">
        <v>4691</v>
      </c>
      <c r="G1978" t="s">
        <v>1746</v>
      </c>
      <c r="H1978" t="s">
        <v>1798</v>
      </c>
      <c r="I1978" t="b">
        <v>0</v>
      </c>
      <c r="J1978" t="s">
        <v>1748</v>
      </c>
      <c r="K1978" t="s">
        <v>1824</v>
      </c>
      <c r="L1978" t="s">
        <v>1766</v>
      </c>
      <c r="M1978">
        <v>49</v>
      </c>
      <c r="N1978" t="b">
        <v>0</v>
      </c>
      <c r="P1978" t="s">
        <v>1819</v>
      </c>
      <c r="Q1978" t="s">
        <v>1753</v>
      </c>
    </row>
    <row r="1979" spans="1:18" x14ac:dyDescent="0.25">
      <c r="A1979" t="s">
        <v>1490</v>
      </c>
      <c r="B1979" t="s">
        <v>2269</v>
      </c>
      <c r="C1979" t="s">
        <v>6</v>
      </c>
      <c r="D1979" t="s">
        <v>1491</v>
      </c>
      <c r="E1979" s="2">
        <v>39086</v>
      </c>
      <c r="F1979">
        <v>6525</v>
      </c>
      <c r="G1979" t="s">
        <v>1746</v>
      </c>
      <c r="H1979" t="s">
        <v>1798</v>
      </c>
      <c r="I1979" t="b">
        <v>1</v>
      </c>
      <c r="J1979" t="s">
        <v>1761</v>
      </c>
      <c r="K1979" t="s">
        <v>1853</v>
      </c>
      <c r="L1979" t="s">
        <v>1750</v>
      </c>
      <c r="M1979">
        <v>49</v>
      </c>
      <c r="N1979" t="b">
        <v>0</v>
      </c>
      <c r="O1979">
        <v>40</v>
      </c>
      <c r="P1979" t="s">
        <v>1752</v>
      </c>
      <c r="Q1979" t="s">
        <v>1753</v>
      </c>
    </row>
    <row r="1980" spans="1:18" x14ac:dyDescent="0.25">
      <c r="A1980" t="s">
        <v>4772</v>
      </c>
      <c r="B1980" t="s">
        <v>2144</v>
      </c>
      <c r="C1980" t="s">
        <v>2709</v>
      </c>
      <c r="D1980" t="s">
        <v>4771</v>
      </c>
      <c r="E1980" s="2">
        <v>44575</v>
      </c>
      <c r="F1980">
        <v>1036</v>
      </c>
      <c r="G1980" t="s">
        <v>1746</v>
      </c>
      <c r="H1980" t="s">
        <v>1747</v>
      </c>
      <c r="I1980" t="b">
        <v>0</v>
      </c>
      <c r="J1980" t="s">
        <v>1748</v>
      </c>
      <c r="K1980" t="s">
        <v>1884</v>
      </c>
      <c r="L1980" t="s">
        <v>1775</v>
      </c>
      <c r="M1980">
        <v>49</v>
      </c>
      <c r="N1980" t="b">
        <v>0</v>
      </c>
      <c r="P1980" t="s">
        <v>2283</v>
      </c>
      <c r="Q1980" t="s">
        <v>1705</v>
      </c>
    </row>
    <row r="1981" spans="1:18" x14ac:dyDescent="0.25">
      <c r="A1981" t="s">
        <v>4773</v>
      </c>
      <c r="B1981" t="s">
        <v>2046</v>
      </c>
      <c r="C1981" t="s">
        <v>4</v>
      </c>
      <c r="D1981" t="s">
        <v>1097</v>
      </c>
      <c r="E1981" s="2">
        <v>43581</v>
      </c>
      <c r="F1981">
        <v>2030</v>
      </c>
      <c r="G1981" t="s">
        <v>1746</v>
      </c>
      <c r="H1981" t="s">
        <v>1747</v>
      </c>
      <c r="I1981" t="b">
        <v>0</v>
      </c>
      <c r="J1981" t="s">
        <v>1761</v>
      </c>
      <c r="K1981" t="s">
        <v>1755</v>
      </c>
      <c r="L1981" t="s">
        <v>1750</v>
      </c>
      <c r="M1981">
        <v>49</v>
      </c>
      <c r="N1981" t="b">
        <v>1</v>
      </c>
      <c r="O1981">
        <v>114</v>
      </c>
      <c r="P1981" t="s">
        <v>1752</v>
      </c>
      <c r="Q1981" t="s">
        <v>1753</v>
      </c>
      <c r="R1981" t="s">
        <v>1759</v>
      </c>
    </row>
    <row r="1982" spans="1:18" x14ac:dyDescent="0.25">
      <c r="A1982" t="s">
        <v>4775</v>
      </c>
      <c r="B1982" t="s">
        <v>2150</v>
      </c>
      <c r="C1982" t="s">
        <v>186</v>
      </c>
      <c r="D1982" t="s">
        <v>4774</v>
      </c>
      <c r="E1982" s="2">
        <v>40682</v>
      </c>
      <c r="F1982">
        <v>4929</v>
      </c>
      <c r="G1982" t="s">
        <v>1746</v>
      </c>
      <c r="H1982" t="s">
        <v>1747</v>
      </c>
      <c r="I1982" t="b">
        <v>0</v>
      </c>
      <c r="J1982" t="s">
        <v>1748</v>
      </c>
      <c r="K1982" t="s">
        <v>1941</v>
      </c>
      <c r="L1982" t="s">
        <v>1775</v>
      </c>
      <c r="M1982">
        <v>49</v>
      </c>
      <c r="N1982" t="b">
        <v>0</v>
      </c>
      <c r="P1982" t="s">
        <v>1778</v>
      </c>
      <c r="Q1982" t="s">
        <v>1779</v>
      </c>
    </row>
    <row r="1983" spans="1:18" x14ac:dyDescent="0.25">
      <c r="A1983" t="s">
        <v>4777</v>
      </c>
      <c r="B1983" t="s">
        <v>2150</v>
      </c>
      <c r="C1983" t="s">
        <v>4</v>
      </c>
      <c r="D1983" t="s">
        <v>4776</v>
      </c>
      <c r="E1983" s="2">
        <v>44672</v>
      </c>
      <c r="F1983">
        <v>939</v>
      </c>
      <c r="G1983" t="s">
        <v>1746</v>
      </c>
      <c r="H1983" t="s">
        <v>1798</v>
      </c>
      <c r="I1983" t="b">
        <v>0</v>
      </c>
      <c r="J1983" t="s">
        <v>1761</v>
      </c>
      <c r="K1983" t="s">
        <v>1824</v>
      </c>
      <c r="L1983" t="s">
        <v>1750</v>
      </c>
      <c r="M1983">
        <v>49</v>
      </c>
      <c r="N1983" t="b">
        <v>1</v>
      </c>
      <c r="O1983">
        <v>169</v>
      </c>
      <c r="P1983" t="s">
        <v>1752</v>
      </c>
      <c r="Q1983" t="s">
        <v>1753</v>
      </c>
      <c r="R1983" t="s">
        <v>1828</v>
      </c>
    </row>
    <row r="1984" spans="1:18" x14ac:dyDescent="0.25">
      <c r="A1984" t="s">
        <v>4778</v>
      </c>
      <c r="B1984" t="s">
        <v>4495</v>
      </c>
      <c r="C1984" t="s">
        <v>6</v>
      </c>
      <c r="D1984" t="s">
        <v>63</v>
      </c>
      <c r="E1984" s="2">
        <v>39870</v>
      </c>
      <c r="F1984">
        <v>5741</v>
      </c>
      <c r="G1984" t="s">
        <v>1746</v>
      </c>
      <c r="H1984" t="s">
        <v>1798</v>
      </c>
      <c r="I1984" t="b">
        <v>0</v>
      </c>
      <c r="J1984" t="s">
        <v>1748</v>
      </c>
      <c r="K1984" t="s">
        <v>1913</v>
      </c>
      <c r="L1984" t="s">
        <v>1750</v>
      </c>
      <c r="M1984">
        <v>48</v>
      </c>
      <c r="N1984" t="b">
        <v>1</v>
      </c>
      <c r="O1984">
        <v>89</v>
      </c>
      <c r="P1984" t="s">
        <v>1752</v>
      </c>
      <c r="Q1984" t="s">
        <v>1753</v>
      </c>
    </row>
    <row r="1985" spans="1:18" x14ac:dyDescent="0.25">
      <c r="A1985" t="s">
        <v>4779</v>
      </c>
      <c r="B1985" t="s">
        <v>1810</v>
      </c>
      <c r="C1985" t="s">
        <v>6</v>
      </c>
      <c r="D1985" t="s">
        <v>1147</v>
      </c>
      <c r="E1985" s="2">
        <v>43348</v>
      </c>
      <c r="F1985">
        <v>2263</v>
      </c>
      <c r="G1985" t="s">
        <v>1746</v>
      </c>
      <c r="H1985" t="s">
        <v>1747</v>
      </c>
      <c r="I1985" t="b">
        <v>0</v>
      </c>
      <c r="J1985" t="s">
        <v>1761</v>
      </c>
      <c r="K1985" t="s">
        <v>2021</v>
      </c>
      <c r="L1985" t="s">
        <v>1817</v>
      </c>
      <c r="M1985">
        <v>48</v>
      </c>
      <c r="N1985" t="b">
        <v>0</v>
      </c>
      <c r="O1985">
        <v>254</v>
      </c>
      <c r="P1985" t="s">
        <v>1819</v>
      </c>
      <c r="Q1985" t="s">
        <v>1753</v>
      </c>
      <c r="R1985" t="s">
        <v>1772</v>
      </c>
    </row>
    <row r="1986" spans="1:18" x14ac:dyDescent="0.25">
      <c r="A1986" t="s">
        <v>4780</v>
      </c>
      <c r="B1986" t="s">
        <v>2106</v>
      </c>
      <c r="C1986" t="s">
        <v>6</v>
      </c>
      <c r="D1986" t="s">
        <v>179</v>
      </c>
      <c r="E1986" s="2">
        <v>43747</v>
      </c>
      <c r="F1986">
        <v>1864</v>
      </c>
      <c r="G1986" t="s">
        <v>1746</v>
      </c>
      <c r="H1986" t="s">
        <v>1798</v>
      </c>
      <c r="I1986" t="b">
        <v>0</v>
      </c>
      <c r="J1986" t="s">
        <v>1748</v>
      </c>
      <c r="K1986" t="s">
        <v>1865</v>
      </c>
      <c r="L1986" t="s">
        <v>1750</v>
      </c>
      <c r="M1986">
        <v>48</v>
      </c>
      <c r="N1986" t="b">
        <v>1</v>
      </c>
      <c r="O1986">
        <v>96</v>
      </c>
      <c r="P1986" t="s">
        <v>2266</v>
      </c>
      <c r="Q1986" t="s">
        <v>1753</v>
      </c>
      <c r="R1986" t="s">
        <v>1828</v>
      </c>
    </row>
    <row r="1987" spans="1:18" x14ac:dyDescent="0.25">
      <c r="A1987" t="s">
        <v>350</v>
      </c>
      <c r="B1987" t="s">
        <v>1998</v>
      </c>
      <c r="C1987" t="s">
        <v>4</v>
      </c>
      <c r="D1987" t="s">
        <v>351</v>
      </c>
      <c r="E1987" s="2">
        <v>40639</v>
      </c>
      <c r="F1987">
        <v>4972</v>
      </c>
      <c r="G1987" t="s">
        <v>1746</v>
      </c>
      <c r="H1987" t="s">
        <v>1747</v>
      </c>
      <c r="I1987" t="b">
        <v>1</v>
      </c>
      <c r="J1987" t="s">
        <v>1761</v>
      </c>
      <c r="K1987" t="s">
        <v>1868</v>
      </c>
      <c r="L1987" t="s">
        <v>1750</v>
      </c>
      <c r="M1987">
        <v>48</v>
      </c>
      <c r="N1987" t="b">
        <v>0</v>
      </c>
      <c r="O1987">
        <v>99</v>
      </c>
      <c r="P1987" t="s">
        <v>1752</v>
      </c>
      <c r="Q1987" t="s">
        <v>1753</v>
      </c>
    </row>
    <row r="1988" spans="1:18" x14ac:dyDescent="0.25">
      <c r="A1988" t="s">
        <v>4781</v>
      </c>
      <c r="B1988" t="s">
        <v>1876</v>
      </c>
      <c r="C1988" t="s">
        <v>4</v>
      </c>
      <c r="D1988" t="s">
        <v>494</v>
      </c>
      <c r="E1988" s="2">
        <v>44410</v>
      </c>
      <c r="F1988">
        <v>1201</v>
      </c>
      <c r="G1988" t="s">
        <v>1746</v>
      </c>
      <c r="H1988" t="s">
        <v>1747</v>
      </c>
      <c r="I1988" t="b">
        <v>0</v>
      </c>
      <c r="J1988" t="s">
        <v>1748</v>
      </c>
      <c r="K1988" t="s">
        <v>1906</v>
      </c>
      <c r="L1988" t="s">
        <v>1750</v>
      </c>
      <c r="M1988">
        <v>48</v>
      </c>
      <c r="N1988" t="b">
        <v>1</v>
      </c>
      <c r="O1988">
        <v>35</v>
      </c>
      <c r="P1988" t="s">
        <v>1752</v>
      </c>
      <c r="Q1988" t="s">
        <v>1753</v>
      </c>
      <c r="R1988" t="s">
        <v>1759</v>
      </c>
    </row>
    <row r="1989" spans="1:18" x14ac:dyDescent="0.25">
      <c r="A1989" t="s">
        <v>4783</v>
      </c>
      <c r="B1989" t="s">
        <v>1907</v>
      </c>
      <c r="C1989" t="s">
        <v>4</v>
      </c>
      <c r="D1989" t="s">
        <v>4782</v>
      </c>
      <c r="E1989" s="2">
        <v>44593</v>
      </c>
      <c r="F1989">
        <v>1018</v>
      </c>
      <c r="G1989" t="s">
        <v>1746</v>
      </c>
      <c r="H1989" t="s">
        <v>1798</v>
      </c>
      <c r="I1989" t="b">
        <v>1</v>
      </c>
      <c r="J1989" t="s">
        <v>1761</v>
      </c>
      <c r="K1989" t="s">
        <v>1822</v>
      </c>
      <c r="L1989" t="s">
        <v>1817</v>
      </c>
      <c r="M1989">
        <v>48</v>
      </c>
      <c r="N1989" t="b">
        <v>0</v>
      </c>
      <c r="O1989">
        <v>96</v>
      </c>
      <c r="P1989" t="s">
        <v>1819</v>
      </c>
      <c r="Q1989" t="s">
        <v>1753</v>
      </c>
    </row>
    <row r="1990" spans="1:18" x14ac:dyDescent="0.25">
      <c r="A1990" t="s">
        <v>4785</v>
      </c>
      <c r="B1990" t="s">
        <v>1803</v>
      </c>
      <c r="C1990" t="s">
        <v>572</v>
      </c>
      <c r="D1990" t="s">
        <v>4784</v>
      </c>
      <c r="E1990" s="2">
        <v>38623</v>
      </c>
      <c r="F1990">
        <v>6988</v>
      </c>
      <c r="G1990" t="s">
        <v>1746</v>
      </c>
      <c r="H1990" t="s">
        <v>1798</v>
      </c>
      <c r="I1990" t="b">
        <v>0</v>
      </c>
      <c r="J1990" t="s">
        <v>1761</v>
      </c>
      <c r="K1990" t="s">
        <v>1826</v>
      </c>
      <c r="L1990" t="s">
        <v>1817</v>
      </c>
      <c r="M1990">
        <v>48</v>
      </c>
      <c r="N1990" t="b">
        <v>0</v>
      </c>
      <c r="O1990">
        <v>17</v>
      </c>
      <c r="P1990" t="s">
        <v>1819</v>
      </c>
      <c r="Q1990" t="s">
        <v>1753</v>
      </c>
    </row>
    <row r="1991" spans="1:18" x14ac:dyDescent="0.25">
      <c r="A1991" t="s">
        <v>4787</v>
      </c>
      <c r="B1991" t="s">
        <v>2173</v>
      </c>
      <c r="C1991" t="s">
        <v>6</v>
      </c>
      <c r="D1991" t="s">
        <v>4786</v>
      </c>
      <c r="E1991" s="2">
        <v>41912</v>
      </c>
      <c r="F1991">
        <v>3699</v>
      </c>
      <c r="G1991" t="s">
        <v>1746</v>
      </c>
      <c r="H1991" t="s">
        <v>2231</v>
      </c>
      <c r="I1991" t="b">
        <v>0</v>
      </c>
      <c r="J1991" t="s">
        <v>1748</v>
      </c>
      <c r="K1991" t="s">
        <v>1826</v>
      </c>
      <c r="L1991" t="s">
        <v>1817</v>
      </c>
      <c r="M1991">
        <v>48</v>
      </c>
      <c r="N1991" t="b">
        <v>0</v>
      </c>
      <c r="O1991">
        <v>605</v>
      </c>
      <c r="P1991" t="s">
        <v>1819</v>
      </c>
      <c r="Q1991" t="s">
        <v>1753</v>
      </c>
    </row>
    <row r="1992" spans="1:18" x14ac:dyDescent="0.25">
      <c r="A1992" t="s">
        <v>4789</v>
      </c>
      <c r="B1992" t="s">
        <v>2173</v>
      </c>
      <c r="C1992" t="s">
        <v>6</v>
      </c>
      <c r="D1992" t="s">
        <v>4788</v>
      </c>
      <c r="E1992" s="2">
        <v>44118</v>
      </c>
      <c r="F1992">
        <v>1493</v>
      </c>
      <c r="G1992" t="s">
        <v>1746</v>
      </c>
      <c r="H1992" t="s">
        <v>1747</v>
      </c>
      <c r="I1992" t="b">
        <v>0</v>
      </c>
      <c r="J1992" t="s">
        <v>1748</v>
      </c>
      <c r="K1992" t="s">
        <v>1770</v>
      </c>
      <c r="L1992" t="s">
        <v>1817</v>
      </c>
      <c r="M1992">
        <v>48</v>
      </c>
      <c r="N1992" t="b">
        <v>1</v>
      </c>
      <c r="O1992">
        <v>1299</v>
      </c>
      <c r="P1992" t="s">
        <v>1819</v>
      </c>
      <c r="Q1992" t="s">
        <v>1753</v>
      </c>
      <c r="R1992" t="s">
        <v>1759</v>
      </c>
    </row>
    <row r="1993" spans="1:18" x14ac:dyDescent="0.25">
      <c r="A1993" t="s">
        <v>4790</v>
      </c>
      <c r="B1993" t="s">
        <v>1876</v>
      </c>
      <c r="C1993" t="s">
        <v>4</v>
      </c>
      <c r="D1993" t="s">
        <v>234</v>
      </c>
      <c r="E1993" s="2">
        <v>44739</v>
      </c>
      <c r="F1993">
        <v>872</v>
      </c>
      <c r="G1993" t="s">
        <v>1746</v>
      </c>
      <c r="H1993" t="s">
        <v>1747</v>
      </c>
      <c r="I1993" t="b">
        <v>0</v>
      </c>
      <c r="J1993" t="s">
        <v>1748</v>
      </c>
      <c r="K1993" t="s">
        <v>1880</v>
      </c>
      <c r="L1993" t="s">
        <v>1750</v>
      </c>
      <c r="M1993">
        <v>48</v>
      </c>
      <c r="N1993" t="b">
        <v>1</v>
      </c>
      <c r="O1993">
        <v>55</v>
      </c>
      <c r="P1993" t="s">
        <v>1819</v>
      </c>
      <c r="Q1993" t="s">
        <v>1753</v>
      </c>
      <c r="R1993" t="s">
        <v>1772</v>
      </c>
    </row>
    <row r="1994" spans="1:18" x14ac:dyDescent="0.25">
      <c r="A1994" t="s">
        <v>4792</v>
      </c>
      <c r="B1994" t="s">
        <v>1876</v>
      </c>
      <c r="C1994" t="s">
        <v>4</v>
      </c>
      <c r="D1994" t="s">
        <v>4791</v>
      </c>
      <c r="E1994" s="2">
        <v>45303</v>
      </c>
      <c r="F1994">
        <v>308</v>
      </c>
      <c r="G1994" t="s">
        <v>1746</v>
      </c>
      <c r="H1994" t="s">
        <v>1747</v>
      </c>
      <c r="I1994" t="b">
        <v>0</v>
      </c>
      <c r="J1994" t="s">
        <v>1748</v>
      </c>
      <c r="K1994" t="s">
        <v>1912</v>
      </c>
      <c r="L1994" t="s">
        <v>1750</v>
      </c>
      <c r="M1994">
        <v>48</v>
      </c>
      <c r="N1994" t="b">
        <v>0</v>
      </c>
      <c r="O1994">
        <v>54</v>
      </c>
      <c r="P1994" t="s">
        <v>1752</v>
      </c>
      <c r="Q1994" t="s">
        <v>1753</v>
      </c>
    </row>
    <row r="1995" spans="1:18" x14ac:dyDescent="0.25">
      <c r="A1995" t="s">
        <v>4793</v>
      </c>
      <c r="B1995" t="s">
        <v>1754</v>
      </c>
      <c r="C1995" t="s">
        <v>6</v>
      </c>
      <c r="D1995" t="s">
        <v>1120</v>
      </c>
      <c r="E1995" s="2">
        <v>42234</v>
      </c>
      <c r="F1995">
        <v>3377</v>
      </c>
      <c r="G1995" t="s">
        <v>1746</v>
      </c>
      <c r="H1995" t="s">
        <v>1798</v>
      </c>
      <c r="I1995" t="b">
        <v>1</v>
      </c>
      <c r="J1995" t="s">
        <v>1761</v>
      </c>
      <c r="K1995" t="s">
        <v>1776</v>
      </c>
      <c r="L1995" t="s">
        <v>1750</v>
      </c>
      <c r="M1995">
        <v>48</v>
      </c>
      <c r="N1995" t="b">
        <v>0</v>
      </c>
      <c r="O1995">
        <v>68</v>
      </c>
      <c r="P1995" t="s">
        <v>1752</v>
      </c>
      <c r="Q1995" t="s">
        <v>1753</v>
      </c>
      <c r="R1995" t="s">
        <v>1828</v>
      </c>
    </row>
    <row r="1996" spans="1:18" x14ac:dyDescent="0.25">
      <c r="A1996" t="s">
        <v>4795</v>
      </c>
      <c r="B1996" t="s">
        <v>2157</v>
      </c>
      <c r="C1996" t="s">
        <v>4</v>
      </c>
      <c r="D1996" t="s">
        <v>4794</v>
      </c>
      <c r="E1996" s="2">
        <v>45265</v>
      </c>
      <c r="F1996">
        <v>346</v>
      </c>
      <c r="G1996" t="s">
        <v>1833</v>
      </c>
      <c r="H1996" t="s">
        <v>1747</v>
      </c>
      <c r="I1996" t="b">
        <v>0</v>
      </c>
      <c r="J1996" t="s">
        <v>1748</v>
      </c>
      <c r="K1996" t="s">
        <v>1880</v>
      </c>
      <c r="L1996" t="s">
        <v>1750</v>
      </c>
      <c r="M1996">
        <v>47</v>
      </c>
      <c r="N1996" t="b">
        <v>1</v>
      </c>
      <c r="P1996" t="s">
        <v>1819</v>
      </c>
      <c r="Q1996" t="s">
        <v>1753</v>
      </c>
    </row>
    <row r="1997" spans="1:18" x14ac:dyDescent="0.25">
      <c r="A1997" t="s">
        <v>4796</v>
      </c>
      <c r="B1997" t="s">
        <v>4797</v>
      </c>
      <c r="C1997" t="s">
        <v>1249</v>
      </c>
      <c r="D1997" t="s">
        <v>1254</v>
      </c>
      <c r="E1997" s="2">
        <v>41239</v>
      </c>
      <c r="F1997">
        <v>4372</v>
      </c>
      <c r="G1997" t="s">
        <v>1746</v>
      </c>
      <c r="H1997" t="s">
        <v>1798</v>
      </c>
      <c r="I1997" t="b">
        <v>0</v>
      </c>
      <c r="J1997" t="s">
        <v>1761</v>
      </c>
      <c r="K1997" t="s">
        <v>1824</v>
      </c>
      <c r="L1997" t="s">
        <v>1750</v>
      </c>
      <c r="M1997">
        <v>47</v>
      </c>
      <c r="N1997" t="b">
        <v>0</v>
      </c>
      <c r="O1997">
        <v>15</v>
      </c>
      <c r="P1997" t="s">
        <v>1819</v>
      </c>
      <c r="Q1997" t="s">
        <v>1753</v>
      </c>
      <c r="R1997" t="s">
        <v>1828</v>
      </c>
    </row>
    <row r="1998" spans="1:18" x14ac:dyDescent="0.25">
      <c r="A1998" t="s">
        <v>1593</v>
      </c>
      <c r="B1998" t="s">
        <v>2060</v>
      </c>
      <c r="C1998" t="s">
        <v>6</v>
      </c>
      <c r="D1998" t="s">
        <v>1594</v>
      </c>
      <c r="E1998" s="2">
        <v>40239</v>
      </c>
      <c r="F1998">
        <v>5372</v>
      </c>
      <c r="G1998" t="s">
        <v>1746</v>
      </c>
      <c r="H1998" t="s">
        <v>1747</v>
      </c>
      <c r="I1998" t="b">
        <v>0</v>
      </c>
      <c r="J1998" t="s">
        <v>1748</v>
      </c>
      <c r="K1998" t="s">
        <v>1757</v>
      </c>
      <c r="L1998" t="s">
        <v>1766</v>
      </c>
      <c r="M1998">
        <v>47</v>
      </c>
      <c r="N1998" t="b">
        <v>0</v>
      </c>
      <c r="P1998" t="s">
        <v>1752</v>
      </c>
      <c r="Q1998" t="s">
        <v>1753</v>
      </c>
    </row>
    <row r="1999" spans="1:18" x14ac:dyDescent="0.25">
      <c r="A1999" t="s">
        <v>4798</v>
      </c>
      <c r="B1999" t="s">
        <v>2353</v>
      </c>
      <c r="C1999" t="s">
        <v>6</v>
      </c>
      <c r="D1999" t="s">
        <v>5</v>
      </c>
      <c r="E1999" s="2">
        <v>43445</v>
      </c>
      <c r="F1999">
        <v>2166</v>
      </c>
      <c r="G1999" t="s">
        <v>1746</v>
      </c>
      <c r="H1999" t="s">
        <v>1798</v>
      </c>
      <c r="I1999" t="b">
        <v>0</v>
      </c>
      <c r="J1999" t="s">
        <v>1748</v>
      </c>
      <c r="K1999" t="s">
        <v>1880</v>
      </c>
      <c r="L1999" t="s">
        <v>1766</v>
      </c>
      <c r="M1999">
        <v>47</v>
      </c>
      <c r="N1999" t="b">
        <v>0</v>
      </c>
      <c r="P1999" t="s">
        <v>2070</v>
      </c>
      <c r="Q1999" t="s">
        <v>1753</v>
      </c>
    </row>
    <row r="2000" spans="1:18" x14ac:dyDescent="0.25">
      <c r="A2000" t="s">
        <v>4800</v>
      </c>
      <c r="B2000" t="s">
        <v>3167</v>
      </c>
      <c r="C2000" t="s">
        <v>4</v>
      </c>
      <c r="D2000" t="s">
        <v>4799</v>
      </c>
      <c r="E2000" s="2">
        <v>45373</v>
      </c>
      <c r="F2000">
        <v>238</v>
      </c>
      <c r="G2000" t="s">
        <v>1833</v>
      </c>
      <c r="H2000" t="s">
        <v>1747</v>
      </c>
      <c r="I2000" t="b">
        <v>0</v>
      </c>
      <c r="J2000" t="s">
        <v>1761</v>
      </c>
      <c r="K2000" t="s">
        <v>1880</v>
      </c>
      <c r="L2000" t="s">
        <v>1750</v>
      </c>
      <c r="M2000">
        <v>47</v>
      </c>
      <c r="N2000" t="b">
        <v>1</v>
      </c>
      <c r="O2000">
        <v>252</v>
      </c>
      <c r="P2000" t="s">
        <v>1752</v>
      </c>
      <c r="Q2000" t="s">
        <v>1753</v>
      </c>
      <c r="R2000" t="s">
        <v>1759</v>
      </c>
    </row>
    <row r="2001" spans="1:18" x14ac:dyDescent="0.25">
      <c r="A2001" t="s">
        <v>4801</v>
      </c>
      <c r="B2001" t="s">
        <v>1876</v>
      </c>
      <c r="C2001" t="s">
        <v>4</v>
      </c>
      <c r="D2001" t="s">
        <v>739</v>
      </c>
      <c r="E2001" s="2">
        <v>44782</v>
      </c>
      <c r="F2001">
        <v>829</v>
      </c>
      <c r="G2001" t="s">
        <v>1746</v>
      </c>
      <c r="H2001" t="s">
        <v>1747</v>
      </c>
      <c r="I2001" t="b">
        <v>0</v>
      </c>
      <c r="J2001" t="s">
        <v>1748</v>
      </c>
      <c r="K2001" t="s">
        <v>1934</v>
      </c>
      <c r="L2001" t="s">
        <v>1750</v>
      </c>
      <c r="M2001">
        <v>47</v>
      </c>
      <c r="N2001" t="b">
        <v>0</v>
      </c>
      <c r="O2001">
        <v>1381</v>
      </c>
      <c r="P2001" t="s">
        <v>1752</v>
      </c>
      <c r="Q2001" t="s">
        <v>1753</v>
      </c>
    </row>
    <row r="2002" spans="1:18" x14ac:dyDescent="0.25">
      <c r="A2002" t="s">
        <v>4803</v>
      </c>
      <c r="B2002" t="s">
        <v>1902</v>
      </c>
      <c r="C2002" t="s">
        <v>4</v>
      </c>
      <c r="D2002" t="s">
        <v>4802</v>
      </c>
      <c r="E2002" s="2">
        <v>43350</v>
      </c>
      <c r="F2002">
        <v>2261</v>
      </c>
      <c r="G2002" t="s">
        <v>1746</v>
      </c>
      <c r="H2002" t="s">
        <v>1747</v>
      </c>
      <c r="I2002" t="b">
        <v>1</v>
      </c>
      <c r="J2002" t="s">
        <v>1748</v>
      </c>
      <c r="K2002" t="s">
        <v>1776</v>
      </c>
      <c r="L2002" t="s">
        <v>1756</v>
      </c>
      <c r="M2002">
        <v>47</v>
      </c>
      <c r="N2002" t="b">
        <v>1</v>
      </c>
      <c r="O2002">
        <v>100</v>
      </c>
      <c r="P2002" t="s">
        <v>1752</v>
      </c>
      <c r="Q2002" t="s">
        <v>1753</v>
      </c>
      <c r="R2002" t="s">
        <v>1759</v>
      </c>
    </row>
    <row r="2003" spans="1:18" x14ac:dyDescent="0.25">
      <c r="A2003" t="s">
        <v>4805</v>
      </c>
      <c r="B2003" t="s">
        <v>2011</v>
      </c>
      <c r="C2003" t="s">
        <v>4</v>
      </c>
      <c r="D2003" t="s">
        <v>4804</v>
      </c>
      <c r="E2003" s="2">
        <v>45182</v>
      </c>
      <c r="F2003">
        <v>429</v>
      </c>
      <c r="G2003" t="s">
        <v>1746</v>
      </c>
      <c r="H2003" t="s">
        <v>1798</v>
      </c>
      <c r="I2003" t="b">
        <v>0</v>
      </c>
      <c r="J2003" t="s">
        <v>1761</v>
      </c>
      <c r="K2003" t="s">
        <v>1776</v>
      </c>
      <c r="L2003" t="s">
        <v>1750</v>
      </c>
      <c r="M2003">
        <v>47</v>
      </c>
      <c r="N2003" t="b">
        <v>1</v>
      </c>
      <c r="O2003">
        <v>59</v>
      </c>
      <c r="P2003" t="s">
        <v>1752</v>
      </c>
      <c r="Q2003" t="s">
        <v>1753</v>
      </c>
      <c r="R2003" t="s">
        <v>1828</v>
      </c>
    </row>
    <row r="2004" spans="1:18" x14ac:dyDescent="0.25">
      <c r="A2004" t="s">
        <v>4807</v>
      </c>
      <c r="B2004" t="s">
        <v>1820</v>
      </c>
      <c r="C2004" t="s">
        <v>6</v>
      </c>
      <c r="D2004" t="s">
        <v>4806</v>
      </c>
      <c r="E2004" s="2">
        <v>41311</v>
      </c>
      <c r="F2004">
        <v>4300</v>
      </c>
      <c r="G2004" t="s">
        <v>1746</v>
      </c>
      <c r="H2004" t="s">
        <v>1747</v>
      </c>
      <c r="I2004" t="b">
        <v>1</v>
      </c>
      <c r="J2004" t="s">
        <v>1748</v>
      </c>
      <c r="K2004" t="s">
        <v>1776</v>
      </c>
      <c r="L2004" t="s">
        <v>1817</v>
      </c>
      <c r="M2004">
        <v>47</v>
      </c>
      <c r="N2004" t="b">
        <v>0</v>
      </c>
      <c r="O2004">
        <v>154</v>
      </c>
      <c r="P2004" t="s">
        <v>1819</v>
      </c>
      <c r="Q2004" t="s">
        <v>1753</v>
      </c>
      <c r="R2004" t="s">
        <v>1759</v>
      </c>
    </row>
    <row r="2005" spans="1:18" x14ac:dyDescent="0.25">
      <c r="A2005" t="s">
        <v>4808</v>
      </c>
      <c r="B2005" t="s">
        <v>2353</v>
      </c>
      <c r="C2005" t="s">
        <v>6</v>
      </c>
      <c r="D2005" t="s">
        <v>1156</v>
      </c>
      <c r="E2005" s="2">
        <v>44074</v>
      </c>
      <c r="F2005">
        <v>1537</v>
      </c>
      <c r="G2005" t="s">
        <v>1746</v>
      </c>
      <c r="H2005" t="s">
        <v>1798</v>
      </c>
      <c r="I2005" t="b">
        <v>0</v>
      </c>
      <c r="J2005" t="s">
        <v>1748</v>
      </c>
      <c r="K2005" t="s">
        <v>1826</v>
      </c>
      <c r="L2005" t="s">
        <v>1817</v>
      </c>
      <c r="M2005">
        <v>47</v>
      </c>
      <c r="N2005" t="b">
        <v>1</v>
      </c>
      <c r="O2005">
        <v>1037</v>
      </c>
      <c r="P2005" t="s">
        <v>1819</v>
      </c>
      <c r="Q2005" t="s">
        <v>1753</v>
      </c>
      <c r="R2005" t="s">
        <v>1759</v>
      </c>
    </row>
    <row r="2006" spans="1:18" x14ac:dyDescent="0.25">
      <c r="A2006" t="s">
        <v>4810</v>
      </c>
      <c r="B2006" t="s">
        <v>1907</v>
      </c>
      <c r="C2006" t="s">
        <v>6</v>
      </c>
      <c r="D2006" t="s">
        <v>4809</v>
      </c>
      <c r="E2006" s="2">
        <v>44791</v>
      </c>
      <c r="F2006">
        <v>820</v>
      </c>
      <c r="G2006" t="s">
        <v>1746</v>
      </c>
      <c r="H2006" t="s">
        <v>1798</v>
      </c>
      <c r="I2006" t="b">
        <v>1</v>
      </c>
      <c r="J2006" t="s">
        <v>1748</v>
      </c>
      <c r="K2006" t="s">
        <v>1776</v>
      </c>
      <c r="L2006" t="s">
        <v>1750</v>
      </c>
      <c r="M2006">
        <v>46</v>
      </c>
      <c r="N2006" t="b">
        <v>0</v>
      </c>
      <c r="O2006">
        <v>144</v>
      </c>
      <c r="P2006" t="s">
        <v>1752</v>
      </c>
      <c r="Q2006" t="s">
        <v>1753</v>
      </c>
      <c r="R2006" t="s">
        <v>1828</v>
      </c>
    </row>
    <row r="2007" spans="1:18" x14ac:dyDescent="0.25">
      <c r="A2007" t="s">
        <v>4812</v>
      </c>
      <c r="B2007" t="s">
        <v>2177</v>
      </c>
      <c r="C2007" t="s">
        <v>4</v>
      </c>
      <c r="D2007" t="s">
        <v>4811</v>
      </c>
      <c r="E2007" s="2">
        <v>43263</v>
      </c>
      <c r="F2007">
        <v>2348</v>
      </c>
      <c r="G2007" t="s">
        <v>1746</v>
      </c>
      <c r="H2007" t="s">
        <v>1747</v>
      </c>
      <c r="I2007" t="b">
        <v>0</v>
      </c>
      <c r="J2007" t="s">
        <v>1748</v>
      </c>
      <c r="K2007" t="s">
        <v>1868</v>
      </c>
      <c r="L2007" t="s">
        <v>1766</v>
      </c>
      <c r="M2007">
        <v>46</v>
      </c>
      <c r="N2007" t="b">
        <v>0</v>
      </c>
      <c r="P2007" t="s">
        <v>1752</v>
      </c>
      <c r="Q2007" t="s">
        <v>1753</v>
      </c>
    </row>
    <row r="2008" spans="1:18" x14ac:dyDescent="0.25">
      <c r="A2008" t="s">
        <v>4814</v>
      </c>
      <c r="B2008" t="s">
        <v>2857</v>
      </c>
      <c r="C2008" t="s">
        <v>6</v>
      </c>
      <c r="D2008" t="s">
        <v>4813</v>
      </c>
      <c r="E2008" s="2">
        <v>42185</v>
      </c>
      <c r="F2008">
        <v>3426</v>
      </c>
      <c r="G2008" t="s">
        <v>1746</v>
      </c>
      <c r="H2008" t="s">
        <v>2231</v>
      </c>
      <c r="I2008" t="b">
        <v>1</v>
      </c>
      <c r="J2008" t="s">
        <v>1748</v>
      </c>
      <c r="K2008" t="s">
        <v>1825</v>
      </c>
      <c r="L2008" t="s">
        <v>1750</v>
      </c>
      <c r="M2008">
        <v>46</v>
      </c>
      <c r="N2008" t="b">
        <v>0</v>
      </c>
      <c r="O2008">
        <v>220</v>
      </c>
      <c r="P2008" t="s">
        <v>1752</v>
      </c>
      <c r="Q2008" t="s">
        <v>1753</v>
      </c>
      <c r="R2008" t="s">
        <v>1828</v>
      </c>
    </row>
    <row r="2009" spans="1:18" x14ac:dyDescent="0.25">
      <c r="A2009" t="s">
        <v>4815</v>
      </c>
      <c r="B2009" t="s">
        <v>2353</v>
      </c>
      <c r="C2009" t="s">
        <v>4</v>
      </c>
      <c r="D2009" t="s">
        <v>1007</v>
      </c>
      <c r="E2009" s="2">
        <v>44644</v>
      </c>
      <c r="F2009">
        <v>967</v>
      </c>
      <c r="G2009" t="s">
        <v>1746</v>
      </c>
      <c r="H2009" t="s">
        <v>1798</v>
      </c>
      <c r="I2009" t="b">
        <v>0</v>
      </c>
      <c r="J2009" t="s">
        <v>1748</v>
      </c>
      <c r="K2009" t="s">
        <v>1880</v>
      </c>
      <c r="L2009" t="s">
        <v>1817</v>
      </c>
      <c r="M2009">
        <v>46</v>
      </c>
      <c r="N2009" t="b">
        <v>1</v>
      </c>
      <c r="O2009">
        <v>658</v>
      </c>
      <c r="P2009" t="s">
        <v>1819</v>
      </c>
      <c r="Q2009" t="s">
        <v>1753</v>
      </c>
      <c r="R2009" t="s">
        <v>1759</v>
      </c>
    </row>
    <row r="2010" spans="1:18" x14ac:dyDescent="0.25">
      <c r="A2010" t="s">
        <v>4816</v>
      </c>
      <c r="B2010" t="s">
        <v>2060</v>
      </c>
      <c r="C2010" t="s">
        <v>6</v>
      </c>
      <c r="D2010" t="s">
        <v>93</v>
      </c>
      <c r="E2010" s="2">
        <v>43495</v>
      </c>
      <c r="F2010">
        <v>2116</v>
      </c>
      <c r="G2010" t="s">
        <v>1746</v>
      </c>
      <c r="H2010" t="s">
        <v>1798</v>
      </c>
      <c r="I2010" t="b">
        <v>1</v>
      </c>
      <c r="J2010" t="s">
        <v>1761</v>
      </c>
      <c r="K2010" t="s">
        <v>1765</v>
      </c>
      <c r="L2010" t="s">
        <v>1750</v>
      </c>
      <c r="M2010">
        <v>46</v>
      </c>
      <c r="N2010" t="b">
        <v>0</v>
      </c>
      <c r="O2010">
        <v>190</v>
      </c>
      <c r="P2010" t="s">
        <v>1752</v>
      </c>
      <c r="Q2010" t="s">
        <v>1753</v>
      </c>
      <c r="R2010" t="s">
        <v>1828</v>
      </c>
    </row>
    <row r="2011" spans="1:18" x14ac:dyDescent="0.25">
      <c r="A2011" t="s">
        <v>4818</v>
      </c>
      <c r="B2011" t="s">
        <v>2857</v>
      </c>
      <c r="C2011" t="s">
        <v>6</v>
      </c>
      <c r="D2011" t="s">
        <v>4817</v>
      </c>
      <c r="E2011" s="2">
        <v>44014</v>
      </c>
      <c r="F2011">
        <v>1597</v>
      </c>
      <c r="G2011" t="s">
        <v>1746</v>
      </c>
      <c r="H2011" t="s">
        <v>1798</v>
      </c>
      <c r="I2011" t="b">
        <v>1</v>
      </c>
      <c r="J2011" t="s">
        <v>1761</v>
      </c>
      <c r="K2011" t="s">
        <v>1880</v>
      </c>
      <c r="L2011" t="s">
        <v>1750</v>
      </c>
      <c r="M2011">
        <v>46</v>
      </c>
      <c r="N2011" t="b">
        <v>1</v>
      </c>
      <c r="O2011">
        <v>66</v>
      </c>
      <c r="P2011" t="s">
        <v>1752</v>
      </c>
      <c r="Q2011" t="s">
        <v>1753</v>
      </c>
      <c r="R2011" t="s">
        <v>1759</v>
      </c>
    </row>
    <row r="2012" spans="1:18" x14ac:dyDescent="0.25">
      <c r="A2012" t="s">
        <v>4819</v>
      </c>
      <c r="B2012" t="s">
        <v>2180</v>
      </c>
      <c r="C2012" t="s">
        <v>6</v>
      </c>
      <c r="D2012" t="s">
        <v>156</v>
      </c>
      <c r="E2012" s="2">
        <v>44804</v>
      </c>
      <c r="F2012">
        <v>807</v>
      </c>
      <c r="G2012" t="s">
        <v>1746</v>
      </c>
      <c r="H2012" t="s">
        <v>1798</v>
      </c>
      <c r="I2012" t="b">
        <v>0</v>
      </c>
      <c r="J2012" t="s">
        <v>1748</v>
      </c>
      <c r="K2012" t="s">
        <v>1925</v>
      </c>
      <c r="L2012" t="s">
        <v>1750</v>
      </c>
      <c r="M2012">
        <v>46</v>
      </c>
      <c r="N2012" t="b">
        <v>1</v>
      </c>
      <c r="O2012">
        <v>66</v>
      </c>
      <c r="P2012" t="s">
        <v>1752</v>
      </c>
      <c r="Q2012" t="s">
        <v>1753</v>
      </c>
      <c r="R2012" t="s">
        <v>1828</v>
      </c>
    </row>
    <row r="2013" spans="1:18" x14ac:dyDescent="0.25">
      <c r="A2013" t="s">
        <v>4821</v>
      </c>
      <c r="B2013" t="s">
        <v>2040</v>
      </c>
      <c r="C2013" t="s">
        <v>6</v>
      </c>
      <c r="D2013" t="s">
        <v>4820</v>
      </c>
      <c r="E2013" s="2">
        <v>42572</v>
      </c>
      <c r="F2013">
        <v>3039</v>
      </c>
      <c r="G2013" t="s">
        <v>1746</v>
      </c>
      <c r="H2013" t="s">
        <v>1747</v>
      </c>
      <c r="I2013" t="b">
        <v>0</v>
      </c>
      <c r="J2013" t="s">
        <v>1748</v>
      </c>
      <c r="K2013" t="s">
        <v>1922</v>
      </c>
      <c r="L2013" t="s">
        <v>1750</v>
      </c>
      <c r="M2013">
        <v>46</v>
      </c>
      <c r="N2013" t="b">
        <v>1</v>
      </c>
      <c r="P2013" t="s">
        <v>1752</v>
      </c>
      <c r="Q2013" t="s">
        <v>1753</v>
      </c>
      <c r="R2013" t="s">
        <v>1772</v>
      </c>
    </row>
    <row r="2014" spans="1:18" x14ac:dyDescent="0.25">
      <c r="A2014" t="s">
        <v>4822</v>
      </c>
      <c r="B2014" t="s">
        <v>1876</v>
      </c>
      <c r="C2014" t="s">
        <v>4</v>
      </c>
      <c r="D2014" t="s">
        <v>442</v>
      </c>
      <c r="E2014" s="2">
        <v>44536</v>
      </c>
      <c r="F2014">
        <v>1075</v>
      </c>
      <c r="G2014" t="s">
        <v>1746</v>
      </c>
      <c r="H2014" t="s">
        <v>1798</v>
      </c>
      <c r="I2014" t="b">
        <v>0</v>
      </c>
      <c r="J2014" t="s">
        <v>1748</v>
      </c>
      <c r="K2014" t="s">
        <v>1826</v>
      </c>
      <c r="L2014" t="s">
        <v>1750</v>
      </c>
      <c r="M2014">
        <v>46</v>
      </c>
      <c r="N2014" t="b">
        <v>1</v>
      </c>
      <c r="O2014">
        <v>224</v>
      </c>
      <c r="P2014" t="s">
        <v>1752</v>
      </c>
      <c r="Q2014" t="s">
        <v>1753</v>
      </c>
      <c r="R2014" t="s">
        <v>1828</v>
      </c>
    </row>
    <row r="2015" spans="1:18" x14ac:dyDescent="0.25">
      <c r="A2015" t="s">
        <v>4823</v>
      </c>
      <c r="B2015" t="s">
        <v>2532</v>
      </c>
      <c r="C2015" t="s">
        <v>4</v>
      </c>
      <c r="D2015" t="s">
        <v>226</v>
      </c>
      <c r="E2015" s="2">
        <v>43199</v>
      </c>
      <c r="F2015">
        <v>2412</v>
      </c>
      <c r="G2015" t="s">
        <v>1746</v>
      </c>
      <c r="H2015" t="s">
        <v>1747</v>
      </c>
      <c r="I2015" t="b">
        <v>0</v>
      </c>
      <c r="J2015" t="s">
        <v>1748</v>
      </c>
      <c r="K2015" t="s">
        <v>1757</v>
      </c>
      <c r="L2015" t="s">
        <v>1750</v>
      </c>
      <c r="M2015">
        <v>46</v>
      </c>
      <c r="N2015" t="b">
        <v>0</v>
      </c>
      <c r="O2015">
        <v>100</v>
      </c>
      <c r="P2015" t="s">
        <v>1752</v>
      </c>
      <c r="Q2015" t="s">
        <v>1753</v>
      </c>
      <c r="R2015" t="s">
        <v>1759</v>
      </c>
    </row>
    <row r="2016" spans="1:18" x14ac:dyDescent="0.25">
      <c r="A2016" t="s">
        <v>4825</v>
      </c>
      <c r="B2016" t="s">
        <v>2150</v>
      </c>
      <c r="C2016" t="s">
        <v>11</v>
      </c>
      <c r="D2016" t="s">
        <v>4824</v>
      </c>
      <c r="E2016" s="2">
        <v>41654</v>
      </c>
      <c r="F2016">
        <v>3957</v>
      </c>
      <c r="G2016" t="s">
        <v>1746</v>
      </c>
      <c r="H2016" t="s">
        <v>1747</v>
      </c>
      <c r="I2016" t="b">
        <v>0</v>
      </c>
      <c r="J2016" t="s">
        <v>1761</v>
      </c>
      <c r="K2016" t="s">
        <v>1853</v>
      </c>
      <c r="L2016" t="s">
        <v>1766</v>
      </c>
      <c r="M2016">
        <v>46</v>
      </c>
      <c r="N2016" t="b">
        <v>0</v>
      </c>
      <c r="P2016" t="s">
        <v>1752</v>
      </c>
      <c r="Q2016" t="s">
        <v>1753</v>
      </c>
      <c r="R2016" t="s">
        <v>1759</v>
      </c>
    </row>
    <row r="2017" spans="1:18" x14ac:dyDescent="0.25">
      <c r="A2017" t="s">
        <v>4827</v>
      </c>
      <c r="B2017" t="s">
        <v>2173</v>
      </c>
      <c r="C2017" t="s">
        <v>6</v>
      </c>
      <c r="D2017" t="s">
        <v>4826</v>
      </c>
      <c r="E2017" s="2">
        <v>42062</v>
      </c>
      <c r="F2017">
        <v>3549</v>
      </c>
      <c r="G2017" t="s">
        <v>1746</v>
      </c>
      <c r="H2017" t="s">
        <v>1747</v>
      </c>
      <c r="I2017" t="b">
        <v>1</v>
      </c>
      <c r="J2017" t="s">
        <v>1748</v>
      </c>
      <c r="K2017" t="s">
        <v>1925</v>
      </c>
      <c r="L2017" t="s">
        <v>1750</v>
      </c>
      <c r="M2017">
        <v>45</v>
      </c>
      <c r="N2017" t="b">
        <v>0</v>
      </c>
      <c r="O2017">
        <v>86</v>
      </c>
      <c r="P2017" t="s">
        <v>1752</v>
      </c>
      <c r="Q2017" t="s">
        <v>1753</v>
      </c>
    </row>
    <row r="2018" spans="1:18" x14ac:dyDescent="0.25">
      <c r="A2018" t="s">
        <v>3742</v>
      </c>
      <c r="B2018" t="s">
        <v>2342</v>
      </c>
      <c r="C2018" t="s">
        <v>6</v>
      </c>
      <c r="D2018" t="s">
        <v>4828</v>
      </c>
      <c r="E2018" s="2">
        <v>43000</v>
      </c>
      <c r="F2018">
        <v>2611</v>
      </c>
      <c r="G2018" t="s">
        <v>1746</v>
      </c>
      <c r="H2018" t="s">
        <v>1798</v>
      </c>
      <c r="I2018" t="b">
        <v>0</v>
      </c>
      <c r="J2018" t="s">
        <v>1748</v>
      </c>
      <c r="K2018" t="s">
        <v>2021</v>
      </c>
      <c r="L2018" t="s">
        <v>1766</v>
      </c>
      <c r="M2018">
        <v>45</v>
      </c>
      <c r="N2018" t="b">
        <v>0</v>
      </c>
      <c r="P2018" t="s">
        <v>2070</v>
      </c>
      <c r="Q2018" t="s">
        <v>1753</v>
      </c>
    </row>
    <row r="2019" spans="1:18" x14ac:dyDescent="0.25">
      <c r="A2019" t="s">
        <v>4829</v>
      </c>
      <c r="B2019" t="s">
        <v>2353</v>
      </c>
      <c r="C2019" t="s">
        <v>4</v>
      </c>
      <c r="D2019" t="s">
        <v>1093</v>
      </c>
      <c r="E2019" s="2">
        <v>44517</v>
      </c>
      <c r="F2019">
        <v>1094</v>
      </c>
      <c r="G2019" t="s">
        <v>1746</v>
      </c>
      <c r="H2019" t="s">
        <v>1798</v>
      </c>
      <c r="I2019" t="b">
        <v>0</v>
      </c>
      <c r="J2019" t="s">
        <v>1761</v>
      </c>
      <c r="K2019" t="s">
        <v>1757</v>
      </c>
      <c r="L2019" t="s">
        <v>1817</v>
      </c>
      <c r="M2019">
        <v>45</v>
      </c>
      <c r="N2019" t="b">
        <v>1</v>
      </c>
      <c r="P2019" t="s">
        <v>1819</v>
      </c>
      <c r="Q2019" t="s">
        <v>1753</v>
      </c>
      <c r="R2019" t="s">
        <v>2028</v>
      </c>
    </row>
    <row r="2020" spans="1:18" x14ac:dyDescent="0.25">
      <c r="A2020" t="s">
        <v>4831</v>
      </c>
      <c r="B2020" t="s">
        <v>4832</v>
      </c>
      <c r="C2020" t="s">
        <v>4</v>
      </c>
      <c r="D2020" t="s">
        <v>4830</v>
      </c>
      <c r="E2020" s="2">
        <v>45300</v>
      </c>
      <c r="F2020">
        <v>311</v>
      </c>
      <c r="G2020" t="s">
        <v>1746</v>
      </c>
      <c r="H2020" t="s">
        <v>1798</v>
      </c>
      <c r="I2020" t="b">
        <v>0</v>
      </c>
      <c r="J2020" t="s">
        <v>1748</v>
      </c>
      <c r="K2020" t="s">
        <v>1774</v>
      </c>
      <c r="L2020" t="s">
        <v>1750</v>
      </c>
      <c r="M2020">
        <v>45</v>
      </c>
      <c r="N2020" t="b">
        <v>1</v>
      </c>
      <c r="O2020">
        <v>316</v>
      </c>
      <c r="P2020" t="s">
        <v>1752</v>
      </c>
      <c r="Q2020" t="s">
        <v>1753</v>
      </c>
    </row>
    <row r="2021" spans="1:18" x14ac:dyDescent="0.25">
      <c r="A2021" t="s">
        <v>4834</v>
      </c>
      <c r="B2021" t="s">
        <v>1907</v>
      </c>
      <c r="C2021" t="s">
        <v>4</v>
      </c>
      <c r="D2021" t="s">
        <v>4833</v>
      </c>
      <c r="E2021" s="2">
        <v>45133</v>
      </c>
      <c r="F2021">
        <v>478</v>
      </c>
      <c r="G2021" t="s">
        <v>1833</v>
      </c>
      <c r="H2021" t="s">
        <v>2001</v>
      </c>
      <c r="I2021" t="b">
        <v>0</v>
      </c>
      <c r="J2021" t="s">
        <v>1761</v>
      </c>
      <c r="K2021" t="s">
        <v>1776</v>
      </c>
      <c r="L2021" t="s">
        <v>1750</v>
      </c>
      <c r="M2021">
        <v>45</v>
      </c>
      <c r="N2021" t="b">
        <v>1</v>
      </c>
      <c r="O2021">
        <v>140</v>
      </c>
      <c r="P2021" t="s">
        <v>1752</v>
      </c>
      <c r="Q2021" t="s">
        <v>1753</v>
      </c>
    </row>
    <row r="2022" spans="1:18" x14ac:dyDescent="0.25">
      <c r="A2022" t="s">
        <v>4835</v>
      </c>
      <c r="B2022" t="s">
        <v>2180</v>
      </c>
      <c r="C2022" t="s">
        <v>6</v>
      </c>
      <c r="D2022" t="s">
        <v>165</v>
      </c>
      <c r="E2022" s="2">
        <v>44358</v>
      </c>
      <c r="F2022">
        <v>1253</v>
      </c>
      <c r="G2022" t="s">
        <v>1746</v>
      </c>
      <c r="H2022" t="s">
        <v>1798</v>
      </c>
      <c r="I2022" t="b">
        <v>0</v>
      </c>
      <c r="J2022" t="s">
        <v>1748</v>
      </c>
      <c r="K2022" t="s">
        <v>1922</v>
      </c>
      <c r="L2022" t="s">
        <v>1750</v>
      </c>
      <c r="M2022">
        <v>45</v>
      </c>
      <c r="N2022" t="b">
        <v>1</v>
      </c>
      <c r="O2022">
        <v>298</v>
      </c>
      <c r="P2022" t="s">
        <v>1752</v>
      </c>
      <c r="Q2022" t="s">
        <v>1753</v>
      </c>
      <c r="R2022" t="s">
        <v>1759</v>
      </c>
    </row>
    <row r="2023" spans="1:18" x14ac:dyDescent="0.25">
      <c r="A2023" t="s">
        <v>4836</v>
      </c>
      <c r="B2023" t="s">
        <v>2810</v>
      </c>
      <c r="C2023" t="s">
        <v>4</v>
      </c>
      <c r="D2023" t="s">
        <v>1321</v>
      </c>
      <c r="E2023" s="2">
        <v>44173</v>
      </c>
      <c r="F2023">
        <v>1438</v>
      </c>
      <c r="G2023" t="s">
        <v>1833</v>
      </c>
      <c r="H2023" t="s">
        <v>1798</v>
      </c>
      <c r="I2023" t="b">
        <v>0</v>
      </c>
      <c r="J2023" t="s">
        <v>1761</v>
      </c>
      <c r="K2023" t="s">
        <v>1776</v>
      </c>
      <c r="L2023" t="s">
        <v>1750</v>
      </c>
      <c r="M2023">
        <v>45</v>
      </c>
      <c r="N2023" t="b">
        <v>0</v>
      </c>
      <c r="O2023">
        <v>14571</v>
      </c>
      <c r="P2023" t="s">
        <v>1752</v>
      </c>
      <c r="Q2023" t="s">
        <v>1753</v>
      </c>
      <c r="R2023" t="s">
        <v>1759</v>
      </c>
    </row>
    <row r="2024" spans="1:18" x14ac:dyDescent="0.25">
      <c r="A2024" t="s">
        <v>4838</v>
      </c>
      <c r="B2024" t="s">
        <v>2173</v>
      </c>
      <c r="C2024" t="s">
        <v>6</v>
      </c>
      <c r="D2024" t="s">
        <v>4837</v>
      </c>
      <c r="E2024" s="2">
        <v>42332</v>
      </c>
      <c r="F2024">
        <v>3279</v>
      </c>
      <c r="G2024" t="s">
        <v>1746</v>
      </c>
      <c r="H2024" t="s">
        <v>2231</v>
      </c>
      <c r="I2024" t="b">
        <v>0</v>
      </c>
      <c r="J2024" t="s">
        <v>1748</v>
      </c>
      <c r="K2024" t="s">
        <v>1891</v>
      </c>
      <c r="L2024" t="s">
        <v>1750</v>
      </c>
      <c r="M2024">
        <v>45</v>
      </c>
      <c r="N2024" t="b">
        <v>1</v>
      </c>
      <c r="O2024">
        <v>74</v>
      </c>
      <c r="P2024" t="s">
        <v>1752</v>
      </c>
      <c r="Q2024" t="s">
        <v>1753</v>
      </c>
      <c r="R2024" t="s">
        <v>1828</v>
      </c>
    </row>
    <row r="2025" spans="1:18" x14ac:dyDescent="0.25">
      <c r="A2025" t="s">
        <v>4839</v>
      </c>
      <c r="B2025" t="s">
        <v>2269</v>
      </c>
      <c r="C2025" t="s">
        <v>4</v>
      </c>
      <c r="D2025" t="s">
        <v>220</v>
      </c>
      <c r="E2025" s="2">
        <v>43059</v>
      </c>
      <c r="F2025">
        <v>2552</v>
      </c>
      <c r="G2025" t="s">
        <v>1746</v>
      </c>
      <c r="H2025" t="s">
        <v>1798</v>
      </c>
      <c r="I2025" t="b">
        <v>0</v>
      </c>
      <c r="J2025" t="s">
        <v>1748</v>
      </c>
      <c r="K2025" t="s">
        <v>1853</v>
      </c>
      <c r="L2025" t="s">
        <v>1750</v>
      </c>
      <c r="M2025">
        <v>45</v>
      </c>
      <c r="N2025" t="b">
        <v>0</v>
      </c>
      <c r="O2025">
        <v>99</v>
      </c>
      <c r="P2025" t="s">
        <v>1752</v>
      </c>
      <c r="Q2025" t="s">
        <v>1753</v>
      </c>
    </row>
    <row r="2026" spans="1:18" x14ac:dyDescent="0.25">
      <c r="A2026" t="s">
        <v>4840</v>
      </c>
      <c r="B2026" t="s">
        <v>2353</v>
      </c>
      <c r="C2026" t="s">
        <v>4</v>
      </c>
      <c r="D2026" t="s">
        <v>1548</v>
      </c>
      <c r="E2026" s="2">
        <v>44720</v>
      </c>
      <c r="F2026">
        <v>891</v>
      </c>
      <c r="G2026" t="s">
        <v>1746</v>
      </c>
      <c r="H2026" t="s">
        <v>1798</v>
      </c>
      <c r="I2026" t="b">
        <v>1</v>
      </c>
      <c r="J2026" t="s">
        <v>1748</v>
      </c>
      <c r="K2026" t="s">
        <v>1864</v>
      </c>
      <c r="L2026" t="s">
        <v>1756</v>
      </c>
      <c r="M2026">
        <v>44</v>
      </c>
      <c r="N2026" t="b">
        <v>1</v>
      </c>
      <c r="O2026">
        <v>2023</v>
      </c>
      <c r="P2026" t="s">
        <v>1752</v>
      </c>
      <c r="Q2026" t="s">
        <v>1753</v>
      </c>
      <c r="R2026" t="s">
        <v>1759</v>
      </c>
    </row>
    <row r="2027" spans="1:18" x14ac:dyDescent="0.25">
      <c r="A2027" t="s">
        <v>4842</v>
      </c>
      <c r="B2027" t="s">
        <v>1803</v>
      </c>
      <c r="C2027" t="s">
        <v>572</v>
      </c>
      <c r="D2027" t="s">
        <v>4841</v>
      </c>
      <c r="E2027" s="2">
        <v>39972</v>
      </c>
      <c r="F2027">
        <v>5639</v>
      </c>
      <c r="G2027" t="s">
        <v>1746</v>
      </c>
      <c r="H2027" t="s">
        <v>1747</v>
      </c>
      <c r="I2027" t="b">
        <v>0</v>
      </c>
      <c r="J2027" t="s">
        <v>1761</v>
      </c>
      <c r="K2027" t="s">
        <v>1853</v>
      </c>
      <c r="L2027" t="s">
        <v>1750</v>
      </c>
      <c r="M2027">
        <v>44</v>
      </c>
      <c r="N2027" t="b">
        <v>0</v>
      </c>
      <c r="O2027">
        <v>333</v>
      </c>
      <c r="P2027" t="s">
        <v>1752</v>
      </c>
      <c r="Q2027" t="s">
        <v>1753</v>
      </c>
    </row>
    <row r="2028" spans="1:18" x14ac:dyDescent="0.25">
      <c r="A2028" t="s">
        <v>235</v>
      </c>
      <c r="B2028" t="s">
        <v>1810</v>
      </c>
      <c r="C2028" t="s">
        <v>4</v>
      </c>
      <c r="D2028" t="s">
        <v>236</v>
      </c>
      <c r="E2028" s="2">
        <v>43025</v>
      </c>
      <c r="F2028">
        <v>2586</v>
      </c>
      <c r="G2028" t="s">
        <v>1746</v>
      </c>
      <c r="H2028" t="s">
        <v>1747</v>
      </c>
      <c r="I2028" t="b">
        <v>0</v>
      </c>
      <c r="J2028" t="s">
        <v>1748</v>
      </c>
      <c r="K2028" t="s">
        <v>1856</v>
      </c>
      <c r="L2028" t="s">
        <v>1750</v>
      </c>
      <c r="M2028">
        <v>44</v>
      </c>
      <c r="N2028" t="b">
        <v>0</v>
      </c>
      <c r="O2028">
        <v>314</v>
      </c>
      <c r="P2028" t="s">
        <v>1752</v>
      </c>
      <c r="Q2028" t="s">
        <v>1753</v>
      </c>
      <c r="R2028" t="s">
        <v>1772</v>
      </c>
    </row>
    <row r="2029" spans="1:18" x14ac:dyDescent="0.25">
      <c r="A2029" t="s">
        <v>4844</v>
      </c>
      <c r="B2029" t="s">
        <v>2662</v>
      </c>
      <c r="C2029" t="s">
        <v>4</v>
      </c>
      <c r="D2029" t="s">
        <v>4843</v>
      </c>
      <c r="E2029" s="2">
        <v>44448</v>
      </c>
      <c r="F2029">
        <v>1163</v>
      </c>
      <c r="G2029" t="s">
        <v>1746</v>
      </c>
      <c r="H2029" t="s">
        <v>1747</v>
      </c>
      <c r="I2029" t="b">
        <v>1</v>
      </c>
      <c r="J2029" t="s">
        <v>1748</v>
      </c>
      <c r="K2029" t="s">
        <v>1757</v>
      </c>
      <c r="L2029" t="s">
        <v>1750</v>
      </c>
      <c r="M2029">
        <v>44</v>
      </c>
      <c r="N2029" t="b">
        <v>0</v>
      </c>
      <c r="O2029">
        <v>64</v>
      </c>
      <c r="P2029" t="s">
        <v>1752</v>
      </c>
      <c r="Q2029" t="s">
        <v>1753</v>
      </c>
      <c r="R2029" t="s">
        <v>1759</v>
      </c>
    </row>
    <row r="2030" spans="1:18" x14ac:dyDescent="0.25">
      <c r="A2030" t="s">
        <v>4845</v>
      </c>
      <c r="B2030" t="s">
        <v>1876</v>
      </c>
      <c r="C2030" t="s">
        <v>4</v>
      </c>
      <c r="D2030" t="s">
        <v>438</v>
      </c>
      <c r="E2030" s="2">
        <v>44358</v>
      </c>
      <c r="F2030">
        <v>1253</v>
      </c>
      <c r="G2030" t="s">
        <v>1746</v>
      </c>
      <c r="H2030" t="s">
        <v>1747</v>
      </c>
      <c r="I2030" t="b">
        <v>1</v>
      </c>
      <c r="J2030" t="s">
        <v>1748</v>
      </c>
      <c r="K2030" t="s">
        <v>1830</v>
      </c>
      <c r="L2030" t="s">
        <v>1750</v>
      </c>
      <c r="M2030">
        <v>44</v>
      </c>
      <c r="N2030" t="b">
        <v>0</v>
      </c>
      <c r="O2030">
        <v>100</v>
      </c>
      <c r="P2030" t="s">
        <v>1752</v>
      </c>
      <c r="Q2030" t="s">
        <v>1753</v>
      </c>
    </row>
    <row r="2031" spans="1:18" x14ac:dyDescent="0.25">
      <c r="A2031" t="s">
        <v>4847</v>
      </c>
      <c r="B2031" t="s">
        <v>2173</v>
      </c>
      <c r="C2031" t="s">
        <v>6</v>
      </c>
      <c r="D2031" t="s">
        <v>4846</v>
      </c>
      <c r="E2031" s="2">
        <v>42907</v>
      </c>
      <c r="F2031">
        <v>2704</v>
      </c>
      <c r="G2031" t="s">
        <v>1746</v>
      </c>
      <c r="H2031" t="s">
        <v>2231</v>
      </c>
      <c r="I2031" t="b">
        <v>1</v>
      </c>
      <c r="J2031" t="s">
        <v>1748</v>
      </c>
      <c r="K2031" t="s">
        <v>1986</v>
      </c>
      <c r="L2031" t="s">
        <v>1750</v>
      </c>
      <c r="M2031">
        <v>44</v>
      </c>
      <c r="N2031" t="b">
        <v>0</v>
      </c>
      <c r="O2031">
        <v>415</v>
      </c>
      <c r="P2031" t="s">
        <v>1752</v>
      </c>
      <c r="Q2031" t="s">
        <v>1753</v>
      </c>
      <c r="R2031" t="s">
        <v>1828</v>
      </c>
    </row>
    <row r="2032" spans="1:18" x14ac:dyDescent="0.25">
      <c r="A2032" t="s">
        <v>4848</v>
      </c>
      <c r="B2032" t="s">
        <v>2353</v>
      </c>
      <c r="C2032" t="s">
        <v>6</v>
      </c>
      <c r="D2032" t="s">
        <v>1680</v>
      </c>
      <c r="E2032" s="2">
        <v>44461</v>
      </c>
      <c r="F2032">
        <v>1150</v>
      </c>
      <c r="G2032" t="s">
        <v>1746</v>
      </c>
      <c r="H2032" t="s">
        <v>1798</v>
      </c>
      <c r="I2032" t="b">
        <v>0</v>
      </c>
      <c r="J2032" t="s">
        <v>1748</v>
      </c>
      <c r="K2032" t="s">
        <v>1755</v>
      </c>
      <c r="L2032" t="s">
        <v>1766</v>
      </c>
      <c r="M2032">
        <v>44</v>
      </c>
      <c r="N2032" t="b">
        <v>0</v>
      </c>
      <c r="P2032" t="s">
        <v>1752</v>
      </c>
      <c r="Q2032" t="s">
        <v>1753</v>
      </c>
    </row>
    <row r="2033" spans="1:18" x14ac:dyDescent="0.25">
      <c r="A2033" t="s">
        <v>1604</v>
      </c>
      <c r="B2033" t="s">
        <v>1810</v>
      </c>
      <c r="C2033" t="s">
        <v>6</v>
      </c>
      <c r="D2033" t="s">
        <v>1605</v>
      </c>
      <c r="E2033" s="2">
        <v>39268</v>
      </c>
      <c r="F2033">
        <v>6343</v>
      </c>
      <c r="G2033" t="s">
        <v>1746</v>
      </c>
      <c r="H2033" t="s">
        <v>1747</v>
      </c>
      <c r="I2033" t="b">
        <v>1</v>
      </c>
      <c r="J2033" t="s">
        <v>1748</v>
      </c>
      <c r="K2033" t="s">
        <v>1856</v>
      </c>
      <c r="L2033" t="s">
        <v>1750</v>
      </c>
      <c r="M2033">
        <v>44</v>
      </c>
      <c r="N2033" t="b">
        <v>0</v>
      </c>
      <c r="O2033">
        <v>98</v>
      </c>
      <c r="P2033" t="s">
        <v>1752</v>
      </c>
      <c r="Q2033" t="s">
        <v>1753</v>
      </c>
    </row>
    <row r="2034" spans="1:18" x14ac:dyDescent="0.25">
      <c r="A2034" t="s">
        <v>4849</v>
      </c>
      <c r="B2034" t="s">
        <v>1876</v>
      </c>
      <c r="C2034" t="s">
        <v>4</v>
      </c>
      <c r="D2034" t="s">
        <v>458</v>
      </c>
      <c r="E2034" s="2">
        <v>44277</v>
      </c>
      <c r="F2034">
        <v>1334</v>
      </c>
      <c r="G2034" t="s">
        <v>1746</v>
      </c>
      <c r="H2034" t="s">
        <v>1747</v>
      </c>
      <c r="I2034" t="b">
        <v>1</v>
      </c>
      <c r="J2034" t="s">
        <v>1748</v>
      </c>
      <c r="K2034" t="s">
        <v>1776</v>
      </c>
      <c r="L2034" t="s">
        <v>1750</v>
      </c>
      <c r="M2034">
        <v>44</v>
      </c>
      <c r="N2034" t="b">
        <v>0</v>
      </c>
      <c r="O2034">
        <v>102</v>
      </c>
      <c r="P2034" t="s">
        <v>1752</v>
      </c>
      <c r="Q2034" t="s">
        <v>1753</v>
      </c>
    </row>
    <row r="2035" spans="1:18" x14ac:dyDescent="0.25">
      <c r="A2035" t="s">
        <v>4851</v>
      </c>
      <c r="B2035" t="s">
        <v>1803</v>
      </c>
      <c r="C2035" t="s">
        <v>6</v>
      </c>
      <c r="D2035" t="s">
        <v>4850</v>
      </c>
      <c r="E2035" s="2">
        <v>40858</v>
      </c>
      <c r="F2035">
        <v>4753</v>
      </c>
      <c r="G2035" t="s">
        <v>1746</v>
      </c>
      <c r="H2035" t="s">
        <v>1798</v>
      </c>
      <c r="I2035" t="b">
        <v>1</v>
      </c>
      <c r="J2035" t="s">
        <v>1748</v>
      </c>
      <c r="K2035" t="s">
        <v>1776</v>
      </c>
      <c r="L2035" t="s">
        <v>1750</v>
      </c>
      <c r="M2035">
        <v>43</v>
      </c>
      <c r="N2035" t="b">
        <v>0</v>
      </c>
      <c r="O2035">
        <v>20</v>
      </c>
      <c r="P2035" t="s">
        <v>1752</v>
      </c>
      <c r="Q2035" t="s">
        <v>1753</v>
      </c>
    </row>
    <row r="2036" spans="1:18" x14ac:dyDescent="0.25">
      <c r="A2036" t="s">
        <v>4853</v>
      </c>
      <c r="B2036" t="s">
        <v>2173</v>
      </c>
      <c r="C2036" t="s">
        <v>4</v>
      </c>
      <c r="D2036" t="s">
        <v>4852</v>
      </c>
      <c r="E2036" s="2">
        <v>42494</v>
      </c>
      <c r="F2036">
        <v>3117</v>
      </c>
      <c r="G2036" t="s">
        <v>1746</v>
      </c>
      <c r="H2036" t="s">
        <v>2231</v>
      </c>
      <c r="I2036" t="b">
        <v>0</v>
      </c>
      <c r="J2036" t="s">
        <v>1748</v>
      </c>
      <c r="K2036" t="s">
        <v>1808</v>
      </c>
      <c r="L2036" t="s">
        <v>2102</v>
      </c>
      <c r="M2036">
        <v>43</v>
      </c>
      <c r="N2036" t="b">
        <v>0</v>
      </c>
      <c r="P2036" t="s">
        <v>2070</v>
      </c>
      <c r="Q2036" t="s">
        <v>1753</v>
      </c>
    </row>
    <row r="2037" spans="1:18" x14ac:dyDescent="0.25">
      <c r="A2037" t="s">
        <v>4854</v>
      </c>
      <c r="B2037" t="s">
        <v>2060</v>
      </c>
      <c r="C2037" t="s">
        <v>4</v>
      </c>
      <c r="D2037" t="s">
        <v>992</v>
      </c>
      <c r="E2037" s="2">
        <v>42417</v>
      </c>
      <c r="F2037">
        <v>3194</v>
      </c>
      <c r="G2037" t="s">
        <v>1746</v>
      </c>
      <c r="H2037" t="s">
        <v>1747</v>
      </c>
      <c r="I2037" t="b">
        <v>1</v>
      </c>
      <c r="J2037" t="s">
        <v>1761</v>
      </c>
      <c r="K2037" t="s">
        <v>1824</v>
      </c>
      <c r="L2037" t="s">
        <v>1817</v>
      </c>
      <c r="M2037">
        <v>43</v>
      </c>
      <c r="N2037" t="b">
        <v>0</v>
      </c>
      <c r="O2037">
        <v>95</v>
      </c>
      <c r="P2037" t="s">
        <v>1819</v>
      </c>
      <c r="Q2037" t="s">
        <v>1753</v>
      </c>
    </row>
    <row r="2038" spans="1:18" x14ac:dyDescent="0.25">
      <c r="A2038" t="s">
        <v>387</v>
      </c>
      <c r="B2038" t="s">
        <v>1876</v>
      </c>
      <c r="C2038" t="s">
        <v>4</v>
      </c>
      <c r="D2038" t="s">
        <v>388</v>
      </c>
      <c r="E2038" s="2">
        <v>43055</v>
      </c>
      <c r="F2038">
        <v>2556</v>
      </c>
      <c r="G2038" t="s">
        <v>1746</v>
      </c>
      <c r="H2038" t="s">
        <v>1747</v>
      </c>
      <c r="I2038" t="b">
        <v>1</v>
      </c>
      <c r="J2038" t="s">
        <v>1761</v>
      </c>
      <c r="K2038" t="s">
        <v>1776</v>
      </c>
      <c r="L2038" t="s">
        <v>1817</v>
      </c>
      <c r="M2038">
        <v>43</v>
      </c>
      <c r="N2038" t="b">
        <v>0</v>
      </c>
      <c r="O2038">
        <v>296</v>
      </c>
      <c r="P2038" t="s">
        <v>1819</v>
      </c>
      <c r="Q2038" t="s">
        <v>1753</v>
      </c>
      <c r="R2038" t="s">
        <v>1772</v>
      </c>
    </row>
    <row r="2039" spans="1:18" x14ac:dyDescent="0.25">
      <c r="A2039" t="s">
        <v>4856</v>
      </c>
      <c r="B2039" t="s">
        <v>4857</v>
      </c>
      <c r="C2039" t="s">
        <v>2338</v>
      </c>
      <c r="D2039" t="s">
        <v>4855</v>
      </c>
      <c r="E2039" s="2">
        <v>43742</v>
      </c>
      <c r="F2039">
        <v>1869</v>
      </c>
      <c r="G2039" t="s">
        <v>1746</v>
      </c>
      <c r="H2039" t="s">
        <v>1747</v>
      </c>
      <c r="I2039" t="b">
        <v>0</v>
      </c>
      <c r="J2039" t="s">
        <v>1748</v>
      </c>
      <c r="K2039" t="s">
        <v>1935</v>
      </c>
      <c r="L2039" t="s">
        <v>1775</v>
      </c>
      <c r="M2039">
        <v>43</v>
      </c>
      <c r="N2039" t="b">
        <v>0</v>
      </c>
      <c r="P2039" t="s">
        <v>2283</v>
      </c>
      <c r="Q2039" t="s">
        <v>1705</v>
      </c>
    </row>
    <row r="2040" spans="1:18" x14ac:dyDescent="0.25">
      <c r="A2040" t="s">
        <v>4858</v>
      </c>
      <c r="B2040" t="s">
        <v>1754</v>
      </c>
      <c r="C2040" t="s">
        <v>4</v>
      </c>
      <c r="D2040" t="s">
        <v>1085</v>
      </c>
      <c r="E2040" s="2">
        <v>42192</v>
      </c>
      <c r="F2040">
        <v>3419</v>
      </c>
      <c r="G2040" t="s">
        <v>1746</v>
      </c>
      <c r="H2040" t="s">
        <v>1747</v>
      </c>
      <c r="I2040" t="b">
        <v>1</v>
      </c>
      <c r="J2040" t="s">
        <v>1748</v>
      </c>
      <c r="K2040" t="s">
        <v>1824</v>
      </c>
      <c r="L2040" t="s">
        <v>1750</v>
      </c>
      <c r="M2040">
        <v>43</v>
      </c>
      <c r="N2040" t="b">
        <v>0</v>
      </c>
      <c r="O2040">
        <v>28</v>
      </c>
      <c r="P2040" t="s">
        <v>1752</v>
      </c>
      <c r="Q2040" t="s">
        <v>1753</v>
      </c>
    </row>
    <row r="2041" spans="1:18" x14ac:dyDescent="0.25">
      <c r="A2041" t="s">
        <v>4860</v>
      </c>
      <c r="B2041" t="s">
        <v>2857</v>
      </c>
      <c r="C2041" t="s">
        <v>4</v>
      </c>
      <c r="D2041" t="s">
        <v>4859</v>
      </c>
      <c r="E2041" s="2">
        <v>43599</v>
      </c>
      <c r="F2041">
        <v>2012</v>
      </c>
      <c r="G2041" t="s">
        <v>1746</v>
      </c>
      <c r="H2041" t="s">
        <v>2231</v>
      </c>
      <c r="I2041" t="b">
        <v>1</v>
      </c>
      <c r="J2041" t="s">
        <v>1748</v>
      </c>
      <c r="K2041" t="s">
        <v>1868</v>
      </c>
      <c r="L2041" t="s">
        <v>1817</v>
      </c>
      <c r="M2041">
        <v>42</v>
      </c>
      <c r="N2041" t="b">
        <v>0</v>
      </c>
      <c r="O2041">
        <v>638</v>
      </c>
      <c r="P2041" t="s">
        <v>1819</v>
      </c>
      <c r="Q2041" t="s">
        <v>1753</v>
      </c>
      <c r="R2041" t="s">
        <v>1772</v>
      </c>
    </row>
    <row r="2042" spans="1:18" x14ac:dyDescent="0.25">
      <c r="A2042" t="s">
        <v>4862</v>
      </c>
      <c r="B2042" t="s">
        <v>2173</v>
      </c>
      <c r="C2042" t="s">
        <v>6</v>
      </c>
      <c r="D2042" t="s">
        <v>4861</v>
      </c>
      <c r="E2042" s="2">
        <v>44007</v>
      </c>
      <c r="F2042">
        <v>1604</v>
      </c>
      <c r="G2042" t="s">
        <v>1746</v>
      </c>
      <c r="H2042" t="s">
        <v>1798</v>
      </c>
      <c r="I2042" t="b">
        <v>1</v>
      </c>
      <c r="J2042" t="s">
        <v>1761</v>
      </c>
      <c r="K2042" t="s">
        <v>1824</v>
      </c>
      <c r="L2042" t="s">
        <v>1750</v>
      </c>
      <c r="M2042">
        <v>42</v>
      </c>
      <c r="N2042" t="b">
        <v>0</v>
      </c>
      <c r="O2042">
        <v>198</v>
      </c>
      <c r="P2042" t="s">
        <v>1752</v>
      </c>
      <c r="Q2042" t="s">
        <v>1753</v>
      </c>
    </row>
    <row r="2043" spans="1:18" x14ac:dyDescent="0.25">
      <c r="A2043" t="s">
        <v>4864</v>
      </c>
      <c r="B2043" t="s">
        <v>2589</v>
      </c>
      <c r="C2043" t="s">
        <v>4</v>
      </c>
      <c r="D2043" t="s">
        <v>4863</v>
      </c>
      <c r="E2043" s="2">
        <v>42489</v>
      </c>
      <c r="F2043">
        <v>3122</v>
      </c>
      <c r="G2043" t="s">
        <v>1746</v>
      </c>
      <c r="H2043" t="s">
        <v>1747</v>
      </c>
      <c r="I2043" t="b">
        <v>1</v>
      </c>
      <c r="J2043" t="s">
        <v>1748</v>
      </c>
      <c r="K2043" t="s">
        <v>1853</v>
      </c>
      <c r="L2043" t="s">
        <v>1750</v>
      </c>
      <c r="M2043">
        <v>42</v>
      </c>
      <c r="N2043" t="b">
        <v>0</v>
      </c>
      <c r="O2043">
        <v>74</v>
      </c>
      <c r="P2043" t="s">
        <v>1752</v>
      </c>
      <c r="Q2043" t="s">
        <v>1753</v>
      </c>
      <c r="R2043" t="s">
        <v>1759</v>
      </c>
    </row>
    <row r="2044" spans="1:18" x14ac:dyDescent="0.25">
      <c r="A2044" t="s">
        <v>4866</v>
      </c>
      <c r="B2044" t="s">
        <v>1840</v>
      </c>
      <c r="C2044" t="s">
        <v>6</v>
      </c>
      <c r="D2044" t="s">
        <v>4865</v>
      </c>
      <c r="E2044" s="2">
        <v>43412</v>
      </c>
      <c r="F2044">
        <v>2199</v>
      </c>
      <c r="G2044" t="s">
        <v>1746</v>
      </c>
      <c r="H2044" t="s">
        <v>1747</v>
      </c>
      <c r="I2044" t="b">
        <v>0</v>
      </c>
      <c r="J2044" t="s">
        <v>1761</v>
      </c>
      <c r="K2044" t="s">
        <v>1824</v>
      </c>
      <c r="L2044" t="s">
        <v>1817</v>
      </c>
      <c r="M2044">
        <v>42</v>
      </c>
      <c r="N2044" t="b">
        <v>1</v>
      </c>
      <c r="O2044">
        <v>105</v>
      </c>
      <c r="P2044" t="s">
        <v>1819</v>
      </c>
      <c r="Q2044" t="s">
        <v>1753</v>
      </c>
      <c r="R2044" t="s">
        <v>1759</v>
      </c>
    </row>
    <row r="2045" spans="1:18" x14ac:dyDescent="0.25">
      <c r="A2045" t="s">
        <v>4867</v>
      </c>
      <c r="B2045" t="s">
        <v>2046</v>
      </c>
      <c r="C2045" t="s">
        <v>6</v>
      </c>
      <c r="D2045" t="s">
        <v>1201</v>
      </c>
      <c r="E2045" s="2">
        <v>43707</v>
      </c>
      <c r="F2045">
        <v>1904</v>
      </c>
      <c r="G2045" t="s">
        <v>1746</v>
      </c>
      <c r="H2045" t="s">
        <v>1747</v>
      </c>
      <c r="I2045" t="b">
        <v>0</v>
      </c>
      <c r="J2045" t="s">
        <v>1748</v>
      </c>
      <c r="K2045" t="s">
        <v>1986</v>
      </c>
      <c r="L2045" t="s">
        <v>1817</v>
      </c>
      <c r="M2045">
        <v>42</v>
      </c>
      <c r="N2045" t="b">
        <v>1</v>
      </c>
      <c r="O2045">
        <v>448</v>
      </c>
      <c r="P2045" t="s">
        <v>1819</v>
      </c>
      <c r="Q2045" t="s">
        <v>1753</v>
      </c>
    </row>
    <row r="2046" spans="1:18" x14ac:dyDescent="0.25">
      <c r="A2046" t="s">
        <v>4869</v>
      </c>
      <c r="B2046" t="s">
        <v>1907</v>
      </c>
      <c r="C2046" t="s">
        <v>4</v>
      </c>
      <c r="D2046" t="s">
        <v>4868</v>
      </c>
      <c r="E2046" s="2">
        <v>44727</v>
      </c>
      <c r="F2046">
        <v>884</v>
      </c>
      <c r="G2046" t="s">
        <v>1746</v>
      </c>
      <c r="H2046" t="s">
        <v>1798</v>
      </c>
      <c r="I2046" t="b">
        <v>1</v>
      </c>
      <c r="J2046" t="s">
        <v>1748</v>
      </c>
      <c r="K2046" t="s">
        <v>1776</v>
      </c>
      <c r="L2046" t="s">
        <v>1756</v>
      </c>
      <c r="M2046">
        <v>42</v>
      </c>
      <c r="N2046" t="b">
        <v>0</v>
      </c>
      <c r="O2046">
        <v>1700</v>
      </c>
      <c r="P2046" t="s">
        <v>1819</v>
      </c>
      <c r="Q2046" t="s">
        <v>1753</v>
      </c>
      <c r="R2046" t="s">
        <v>1759</v>
      </c>
    </row>
    <row r="2047" spans="1:18" x14ac:dyDescent="0.25">
      <c r="A2047" t="s">
        <v>4871</v>
      </c>
      <c r="B2047" t="s">
        <v>1907</v>
      </c>
      <c r="C2047" t="s">
        <v>4</v>
      </c>
      <c r="D2047" t="s">
        <v>4870</v>
      </c>
      <c r="E2047" s="2">
        <v>44935</v>
      </c>
      <c r="F2047">
        <v>676</v>
      </c>
      <c r="G2047" t="s">
        <v>1746</v>
      </c>
      <c r="H2047" t="s">
        <v>1798</v>
      </c>
      <c r="I2047" t="b">
        <v>1</v>
      </c>
      <c r="J2047" t="s">
        <v>1748</v>
      </c>
      <c r="K2047" t="s">
        <v>1822</v>
      </c>
      <c r="L2047" t="s">
        <v>1817</v>
      </c>
      <c r="M2047">
        <v>42</v>
      </c>
      <c r="N2047" t="b">
        <v>0</v>
      </c>
      <c r="O2047">
        <v>10057</v>
      </c>
      <c r="P2047" t="s">
        <v>1819</v>
      </c>
      <c r="Q2047" t="s">
        <v>1753</v>
      </c>
      <c r="R2047" t="s">
        <v>1759</v>
      </c>
    </row>
    <row r="2048" spans="1:18" x14ac:dyDescent="0.25">
      <c r="A2048" t="s">
        <v>4872</v>
      </c>
      <c r="B2048" t="s">
        <v>1829</v>
      </c>
      <c r="C2048" t="s">
        <v>6</v>
      </c>
      <c r="D2048" t="s">
        <v>1155</v>
      </c>
      <c r="E2048" s="2">
        <v>43251</v>
      </c>
      <c r="F2048">
        <v>2360</v>
      </c>
      <c r="G2048" t="s">
        <v>1746</v>
      </c>
      <c r="H2048" t="s">
        <v>1798</v>
      </c>
      <c r="I2048" t="b">
        <v>0</v>
      </c>
      <c r="J2048" t="s">
        <v>1761</v>
      </c>
      <c r="K2048" t="s">
        <v>1774</v>
      </c>
      <c r="L2048" t="s">
        <v>1817</v>
      </c>
      <c r="M2048">
        <v>42</v>
      </c>
      <c r="N2048" t="b">
        <v>1</v>
      </c>
      <c r="O2048">
        <v>391</v>
      </c>
      <c r="P2048" t="s">
        <v>1819</v>
      </c>
      <c r="Q2048" t="s">
        <v>1753</v>
      </c>
      <c r="R2048" t="s">
        <v>1828</v>
      </c>
    </row>
    <row r="2049" spans="1:18" x14ac:dyDescent="0.25">
      <c r="A2049" t="s">
        <v>4874</v>
      </c>
      <c r="B2049" t="s">
        <v>2173</v>
      </c>
      <c r="C2049" t="s">
        <v>6</v>
      </c>
      <c r="D2049" t="s">
        <v>4873</v>
      </c>
      <c r="E2049" s="2">
        <v>42277</v>
      </c>
      <c r="F2049">
        <v>3334</v>
      </c>
      <c r="G2049" t="s">
        <v>1746</v>
      </c>
      <c r="H2049" t="s">
        <v>2231</v>
      </c>
      <c r="I2049" t="b">
        <v>0</v>
      </c>
      <c r="J2049" t="s">
        <v>1761</v>
      </c>
      <c r="K2049" t="s">
        <v>1826</v>
      </c>
      <c r="L2049" t="s">
        <v>1817</v>
      </c>
      <c r="M2049">
        <v>42</v>
      </c>
      <c r="N2049" t="b">
        <v>1</v>
      </c>
      <c r="O2049">
        <v>448</v>
      </c>
      <c r="P2049" t="s">
        <v>1819</v>
      </c>
      <c r="Q2049" t="s">
        <v>1753</v>
      </c>
    </row>
    <row r="2050" spans="1:18" x14ac:dyDescent="0.25">
      <c r="A2050" t="s">
        <v>4875</v>
      </c>
      <c r="B2050" t="s">
        <v>2269</v>
      </c>
      <c r="C2050" t="s">
        <v>4</v>
      </c>
      <c r="D2050" t="s">
        <v>1603</v>
      </c>
      <c r="E2050" s="2">
        <v>42094</v>
      </c>
      <c r="F2050">
        <v>3517</v>
      </c>
      <c r="G2050" t="s">
        <v>1746</v>
      </c>
      <c r="H2050" t="s">
        <v>1798</v>
      </c>
      <c r="I2050" t="b">
        <v>1</v>
      </c>
      <c r="J2050" t="s">
        <v>1748</v>
      </c>
      <c r="K2050" t="s">
        <v>1776</v>
      </c>
      <c r="L2050" t="s">
        <v>1750</v>
      </c>
      <c r="M2050">
        <v>41</v>
      </c>
      <c r="N2050" t="b">
        <v>1</v>
      </c>
      <c r="O2050">
        <v>182</v>
      </c>
      <c r="P2050" t="s">
        <v>1752</v>
      </c>
      <c r="Q2050" t="s">
        <v>1753</v>
      </c>
    </row>
    <row r="2051" spans="1:18" x14ac:dyDescent="0.25">
      <c r="A2051" t="s">
        <v>4877</v>
      </c>
      <c r="B2051" t="s">
        <v>2032</v>
      </c>
      <c r="C2051" t="s">
        <v>4</v>
      </c>
      <c r="D2051" t="s">
        <v>4876</v>
      </c>
      <c r="E2051" s="2">
        <v>44384</v>
      </c>
      <c r="F2051">
        <v>1227</v>
      </c>
      <c r="G2051" t="s">
        <v>1746</v>
      </c>
      <c r="H2051" t="s">
        <v>1747</v>
      </c>
      <c r="I2051" t="b">
        <v>0</v>
      </c>
      <c r="J2051" t="s">
        <v>1748</v>
      </c>
      <c r="K2051" t="s">
        <v>1809</v>
      </c>
      <c r="L2051" t="s">
        <v>1750</v>
      </c>
      <c r="M2051">
        <v>41</v>
      </c>
      <c r="N2051" t="b">
        <v>1</v>
      </c>
      <c r="O2051">
        <v>470</v>
      </c>
      <c r="P2051" t="s">
        <v>1752</v>
      </c>
      <c r="Q2051" t="s">
        <v>1753</v>
      </c>
      <c r="R2051" t="s">
        <v>1772</v>
      </c>
    </row>
    <row r="2052" spans="1:18" x14ac:dyDescent="0.25">
      <c r="A2052" t="s">
        <v>4879</v>
      </c>
      <c r="B2052" t="s">
        <v>2173</v>
      </c>
      <c r="C2052" t="s">
        <v>6</v>
      </c>
      <c r="D2052" t="s">
        <v>4878</v>
      </c>
      <c r="E2052" s="2">
        <v>42307</v>
      </c>
      <c r="F2052">
        <v>3304</v>
      </c>
      <c r="G2052" t="s">
        <v>1746</v>
      </c>
      <c r="H2052" t="s">
        <v>2231</v>
      </c>
      <c r="I2052" t="b">
        <v>0</v>
      </c>
      <c r="J2052" t="s">
        <v>1761</v>
      </c>
      <c r="K2052" t="s">
        <v>1793</v>
      </c>
      <c r="L2052" t="s">
        <v>1750</v>
      </c>
      <c r="M2052">
        <v>41</v>
      </c>
      <c r="N2052" t="b">
        <v>1</v>
      </c>
      <c r="O2052">
        <v>60</v>
      </c>
      <c r="P2052" t="s">
        <v>1752</v>
      </c>
      <c r="Q2052" t="s">
        <v>1753</v>
      </c>
    </row>
    <row r="2053" spans="1:18" x14ac:dyDescent="0.25">
      <c r="A2053" t="s">
        <v>4880</v>
      </c>
      <c r="B2053" t="s">
        <v>2269</v>
      </c>
      <c r="C2053" t="s">
        <v>4</v>
      </c>
      <c r="D2053" t="s">
        <v>523</v>
      </c>
      <c r="E2053" s="2">
        <v>42955</v>
      </c>
      <c r="F2053">
        <v>2656</v>
      </c>
      <c r="G2053" t="s">
        <v>1746</v>
      </c>
      <c r="H2053" t="s">
        <v>1798</v>
      </c>
      <c r="I2053" t="b">
        <v>1</v>
      </c>
      <c r="J2053" t="s">
        <v>1761</v>
      </c>
      <c r="K2053" t="s">
        <v>1774</v>
      </c>
      <c r="L2053" t="s">
        <v>1817</v>
      </c>
      <c r="M2053">
        <v>41</v>
      </c>
      <c r="N2053" t="b">
        <v>0</v>
      </c>
      <c r="O2053">
        <v>375</v>
      </c>
      <c r="P2053" t="s">
        <v>1819</v>
      </c>
      <c r="Q2053" t="s">
        <v>1753</v>
      </c>
    </row>
    <row r="2054" spans="1:18" x14ac:dyDescent="0.25">
      <c r="A2054" t="s">
        <v>4881</v>
      </c>
      <c r="B2054" t="s">
        <v>1814</v>
      </c>
      <c r="C2054" t="s">
        <v>4</v>
      </c>
      <c r="D2054" t="s">
        <v>420</v>
      </c>
      <c r="E2054" s="2">
        <v>39405</v>
      </c>
      <c r="F2054">
        <v>6206</v>
      </c>
      <c r="G2054" t="s">
        <v>1746</v>
      </c>
      <c r="H2054" t="s">
        <v>1747</v>
      </c>
      <c r="I2054" t="b">
        <v>0</v>
      </c>
      <c r="J2054" t="s">
        <v>1761</v>
      </c>
      <c r="K2054" t="s">
        <v>1830</v>
      </c>
      <c r="L2054" t="s">
        <v>1750</v>
      </c>
      <c r="M2054">
        <v>41</v>
      </c>
      <c r="N2054" t="b">
        <v>0</v>
      </c>
      <c r="O2054">
        <v>396</v>
      </c>
      <c r="P2054" t="s">
        <v>1752</v>
      </c>
      <c r="Q2054" t="s">
        <v>1753</v>
      </c>
      <c r="R2054" t="s">
        <v>1772</v>
      </c>
    </row>
    <row r="2055" spans="1:18" x14ac:dyDescent="0.25">
      <c r="A2055" t="s">
        <v>4883</v>
      </c>
      <c r="B2055" t="s">
        <v>2173</v>
      </c>
      <c r="C2055" t="s">
        <v>6</v>
      </c>
      <c r="D2055" t="s">
        <v>4882</v>
      </c>
      <c r="E2055" s="2">
        <v>43775</v>
      </c>
      <c r="F2055">
        <v>1836</v>
      </c>
      <c r="G2055" t="s">
        <v>1746</v>
      </c>
      <c r="H2055" t="s">
        <v>2001</v>
      </c>
      <c r="I2055" t="b">
        <v>0</v>
      </c>
      <c r="J2055" t="s">
        <v>1748</v>
      </c>
      <c r="K2055" t="s">
        <v>1809</v>
      </c>
      <c r="L2055" t="s">
        <v>1750</v>
      </c>
      <c r="M2055">
        <v>41</v>
      </c>
      <c r="N2055" t="b">
        <v>1</v>
      </c>
      <c r="O2055">
        <v>60</v>
      </c>
      <c r="P2055" t="s">
        <v>1752</v>
      </c>
      <c r="Q2055" t="s">
        <v>1753</v>
      </c>
    </row>
    <row r="2056" spans="1:18" x14ac:dyDescent="0.25">
      <c r="A2056" t="s">
        <v>4885</v>
      </c>
      <c r="B2056" t="s">
        <v>3117</v>
      </c>
      <c r="C2056" t="s">
        <v>4</v>
      </c>
      <c r="D2056" t="s">
        <v>4884</v>
      </c>
      <c r="E2056" s="2">
        <v>45308</v>
      </c>
      <c r="F2056">
        <v>303</v>
      </c>
      <c r="G2056" t="s">
        <v>1746</v>
      </c>
      <c r="H2056" t="s">
        <v>1747</v>
      </c>
      <c r="I2056" t="b">
        <v>0</v>
      </c>
      <c r="J2056" t="s">
        <v>1761</v>
      </c>
      <c r="K2056" t="s">
        <v>2021</v>
      </c>
      <c r="L2056" t="s">
        <v>1817</v>
      </c>
      <c r="M2056">
        <v>41</v>
      </c>
      <c r="N2056" t="b">
        <v>0</v>
      </c>
      <c r="O2056">
        <v>136</v>
      </c>
      <c r="P2056" t="s">
        <v>1819</v>
      </c>
      <c r="Q2056" t="s">
        <v>1753</v>
      </c>
      <c r="R2056" t="s">
        <v>1772</v>
      </c>
    </row>
    <row r="2057" spans="1:18" x14ac:dyDescent="0.25">
      <c r="A2057" t="s">
        <v>4887</v>
      </c>
      <c r="B2057" t="s">
        <v>2494</v>
      </c>
      <c r="C2057" t="s">
        <v>4</v>
      </c>
      <c r="D2057" t="s">
        <v>4886</v>
      </c>
      <c r="E2057" s="2">
        <v>40330</v>
      </c>
      <c r="F2057">
        <v>5281</v>
      </c>
      <c r="G2057" t="s">
        <v>1746</v>
      </c>
      <c r="H2057" t="s">
        <v>1747</v>
      </c>
      <c r="I2057" t="b">
        <v>1</v>
      </c>
      <c r="J2057" t="s">
        <v>1761</v>
      </c>
      <c r="K2057" t="s">
        <v>1853</v>
      </c>
      <c r="L2057" t="s">
        <v>1750</v>
      </c>
      <c r="M2057">
        <v>41</v>
      </c>
      <c r="N2057" t="b">
        <v>0</v>
      </c>
      <c r="O2057">
        <v>620</v>
      </c>
      <c r="P2057" t="s">
        <v>1752</v>
      </c>
      <c r="Q2057" t="s">
        <v>1753</v>
      </c>
    </row>
    <row r="2058" spans="1:18" x14ac:dyDescent="0.25">
      <c r="A2058" t="s">
        <v>4889</v>
      </c>
      <c r="B2058" t="s">
        <v>2150</v>
      </c>
      <c r="C2058" t="s">
        <v>4</v>
      </c>
      <c r="D2058" t="s">
        <v>4888</v>
      </c>
      <c r="E2058" s="2">
        <v>43257</v>
      </c>
      <c r="F2058">
        <v>2354</v>
      </c>
      <c r="G2058" t="s">
        <v>1746</v>
      </c>
      <c r="H2058" t="s">
        <v>1805</v>
      </c>
      <c r="I2058" t="b">
        <v>0</v>
      </c>
      <c r="J2058" t="s">
        <v>1761</v>
      </c>
      <c r="K2058" t="s">
        <v>1749</v>
      </c>
      <c r="L2058" t="s">
        <v>1817</v>
      </c>
      <c r="M2058">
        <v>41</v>
      </c>
      <c r="N2058" t="b">
        <v>0</v>
      </c>
      <c r="O2058">
        <v>14</v>
      </c>
      <c r="P2058" t="s">
        <v>1819</v>
      </c>
      <c r="Q2058" t="s">
        <v>1753</v>
      </c>
    </row>
    <row r="2059" spans="1:18" x14ac:dyDescent="0.25">
      <c r="A2059" t="s">
        <v>4891</v>
      </c>
      <c r="B2059" t="s">
        <v>4892</v>
      </c>
      <c r="C2059" t="s">
        <v>4</v>
      </c>
      <c r="D2059" t="s">
        <v>4890</v>
      </c>
      <c r="E2059" s="2">
        <v>45098</v>
      </c>
      <c r="F2059">
        <v>513</v>
      </c>
      <c r="G2059" t="s">
        <v>1746</v>
      </c>
      <c r="H2059" t="s">
        <v>1747</v>
      </c>
      <c r="I2059" t="b">
        <v>0</v>
      </c>
      <c r="J2059" t="s">
        <v>1748</v>
      </c>
      <c r="K2059" t="s">
        <v>1913</v>
      </c>
      <c r="L2059" t="s">
        <v>1750</v>
      </c>
      <c r="M2059">
        <v>41</v>
      </c>
      <c r="N2059" t="b">
        <v>0</v>
      </c>
      <c r="O2059">
        <v>41</v>
      </c>
      <c r="P2059" t="s">
        <v>1752</v>
      </c>
      <c r="Q2059" t="s">
        <v>1753</v>
      </c>
      <c r="R2059" t="s">
        <v>1759</v>
      </c>
    </row>
    <row r="2060" spans="1:18" x14ac:dyDescent="0.25">
      <c r="A2060" t="s">
        <v>4894</v>
      </c>
      <c r="B2060" t="s">
        <v>2173</v>
      </c>
      <c r="C2060" t="s">
        <v>6</v>
      </c>
      <c r="D2060" t="s">
        <v>4893</v>
      </c>
      <c r="E2060" s="2">
        <v>43069</v>
      </c>
      <c r="F2060">
        <v>2542</v>
      </c>
      <c r="G2060" t="s">
        <v>1746</v>
      </c>
      <c r="H2060" t="s">
        <v>2231</v>
      </c>
      <c r="I2060" t="b">
        <v>0</v>
      </c>
      <c r="J2060" t="s">
        <v>1748</v>
      </c>
      <c r="K2060" t="s">
        <v>1826</v>
      </c>
      <c r="L2060" t="s">
        <v>1817</v>
      </c>
      <c r="M2060">
        <v>41</v>
      </c>
      <c r="N2060" t="b">
        <v>1</v>
      </c>
      <c r="O2060">
        <v>707</v>
      </c>
      <c r="P2060" t="s">
        <v>1819</v>
      </c>
      <c r="Q2060" t="s">
        <v>1753</v>
      </c>
      <c r="R2060" t="s">
        <v>1828</v>
      </c>
    </row>
    <row r="2061" spans="1:18" x14ac:dyDescent="0.25">
      <c r="A2061" t="s">
        <v>4896</v>
      </c>
      <c r="B2061" t="s">
        <v>2871</v>
      </c>
      <c r="C2061" t="s">
        <v>4</v>
      </c>
      <c r="D2061" t="s">
        <v>4895</v>
      </c>
      <c r="E2061" s="2">
        <v>44868</v>
      </c>
      <c r="F2061">
        <v>743</v>
      </c>
      <c r="G2061" t="s">
        <v>1746</v>
      </c>
      <c r="H2061" t="s">
        <v>1747</v>
      </c>
      <c r="I2061" t="b">
        <v>0</v>
      </c>
      <c r="J2061" t="s">
        <v>1748</v>
      </c>
      <c r="K2061" t="s">
        <v>1880</v>
      </c>
      <c r="L2061" t="s">
        <v>1750</v>
      </c>
      <c r="M2061">
        <v>41</v>
      </c>
      <c r="N2061" t="b">
        <v>1</v>
      </c>
      <c r="O2061">
        <v>872</v>
      </c>
      <c r="P2061" t="s">
        <v>1752</v>
      </c>
      <c r="Q2061" t="s">
        <v>1753</v>
      </c>
      <c r="R2061" t="s">
        <v>1772</v>
      </c>
    </row>
    <row r="2062" spans="1:18" x14ac:dyDescent="0.25">
      <c r="A2062" t="s">
        <v>4898</v>
      </c>
      <c r="B2062" t="s">
        <v>2150</v>
      </c>
      <c r="C2062" t="s">
        <v>4</v>
      </c>
      <c r="D2062" t="s">
        <v>4897</v>
      </c>
      <c r="E2062" s="2">
        <v>42152</v>
      </c>
      <c r="F2062">
        <v>3459</v>
      </c>
      <c r="G2062" t="s">
        <v>1746</v>
      </c>
      <c r="H2062" t="s">
        <v>1747</v>
      </c>
      <c r="I2062" t="b">
        <v>0</v>
      </c>
      <c r="J2062" t="s">
        <v>1761</v>
      </c>
      <c r="K2062" t="s">
        <v>1757</v>
      </c>
      <c r="L2062" t="s">
        <v>1750</v>
      </c>
      <c r="M2062">
        <v>41</v>
      </c>
      <c r="N2062" t="b">
        <v>0</v>
      </c>
      <c r="O2062">
        <v>376</v>
      </c>
      <c r="P2062" t="s">
        <v>1752</v>
      </c>
      <c r="Q2062" t="s">
        <v>1753</v>
      </c>
    </row>
    <row r="2063" spans="1:18" x14ac:dyDescent="0.25">
      <c r="A2063" t="s">
        <v>4900</v>
      </c>
      <c r="B2063" t="s">
        <v>2662</v>
      </c>
      <c r="C2063" t="s">
        <v>4</v>
      </c>
      <c r="D2063" t="s">
        <v>4899</v>
      </c>
      <c r="E2063" s="2">
        <v>43734</v>
      </c>
      <c r="F2063">
        <v>1877</v>
      </c>
      <c r="G2063" t="s">
        <v>1746</v>
      </c>
      <c r="H2063" t="s">
        <v>1798</v>
      </c>
      <c r="I2063" t="b">
        <v>1</v>
      </c>
      <c r="J2063" t="s">
        <v>1748</v>
      </c>
      <c r="K2063" t="s">
        <v>1755</v>
      </c>
      <c r="L2063" t="s">
        <v>1817</v>
      </c>
      <c r="M2063">
        <v>41</v>
      </c>
      <c r="N2063" t="b">
        <v>1</v>
      </c>
      <c r="O2063">
        <v>838</v>
      </c>
      <c r="P2063" t="s">
        <v>1819</v>
      </c>
      <c r="Q2063" t="s">
        <v>1753</v>
      </c>
      <c r="R2063" t="s">
        <v>1759</v>
      </c>
    </row>
    <row r="2064" spans="1:18" x14ac:dyDescent="0.25">
      <c r="A2064" t="s">
        <v>4902</v>
      </c>
      <c r="B2064" t="s">
        <v>1907</v>
      </c>
      <c r="C2064" t="s">
        <v>4</v>
      </c>
      <c r="D2064" t="s">
        <v>4901</v>
      </c>
      <c r="E2064" s="2">
        <v>45037</v>
      </c>
      <c r="F2064">
        <v>574</v>
      </c>
      <c r="G2064" t="s">
        <v>1833</v>
      </c>
      <c r="H2064" t="s">
        <v>1798</v>
      </c>
      <c r="I2064" t="b">
        <v>1</v>
      </c>
      <c r="J2064" t="s">
        <v>1748</v>
      </c>
      <c r="K2064" t="s">
        <v>1824</v>
      </c>
      <c r="L2064" t="s">
        <v>1750</v>
      </c>
      <c r="M2064">
        <v>41</v>
      </c>
      <c r="N2064" t="b">
        <v>1</v>
      </c>
      <c r="O2064">
        <v>129</v>
      </c>
      <c r="P2064" t="s">
        <v>1819</v>
      </c>
      <c r="Q2064" t="s">
        <v>1753</v>
      </c>
      <c r="R2064" t="s">
        <v>1828</v>
      </c>
    </row>
    <row r="2065" spans="1:18" x14ac:dyDescent="0.25">
      <c r="A2065" t="s">
        <v>4904</v>
      </c>
      <c r="B2065" t="s">
        <v>2060</v>
      </c>
      <c r="C2065" t="s">
        <v>6</v>
      </c>
      <c r="D2065" t="s">
        <v>4903</v>
      </c>
      <c r="E2065" s="2">
        <v>39259</v>
      </c>
      <c r="F2065">
        <v>6352</v>
      </c>
      <c r="G2065" t="s">
        <v>1746</v>
      </c>
      <c r="H2065" t="s">
        <v>1798</v>
      </c>
      <c r="I2065" t="b">
        <v>0</v>
      </c>
      <c r="J2065" t="s">
        <v>1748</v>
      </c>
      <c r="K2065" t="s">
        <v>1825</v>
      </c>
      <c r="L2065" t="s">
        <v>1750</v>
      </c>
      <c r="M2065">
        <v>41</v>
      </c>
      <c r="N2065" t="b">
        <v>1</v>
      </c>
      <c r="O2065">
        <v>29</v>
      </c>
      <c r="P2065" t="s">
        <v>1752</v>
      </c>
      <c r="Q2065" t="s">
        <v>1753</v>
      </c>
      <c r="R2065" t="s">
        <v>1828</v>
      </c>
    </row>
    <row r="2066" spans="1:18" x14ac:dyDescent="0.25">
      <c r="A2066" t="s">
        <v>4906</v>
      </c>
      <c r="B2066" t="s">
        <v>1803</v>
      </c>
      <c r="C2066" t="s">
        <v>6</v>
      </c>
      <c r="D2066" t="s">
        <v>4905</v>
      </c>
      <c r="E2066" s="2">
        <v>40660</v>
      </c>
      <c r="F2066">
        <v>4951</v>
      </c>
      <c r="G2066" t="s">
        <v>1746</v>
      </c>
      <c r="H2066" t="s">
        <v>1798</v>
      </c>
      <c r="I2066" t="b">
        <v>1</v>
      </c>
      <c r="J2066" t="s">
        <v>1748</v>
      </c>
      <c r="K2066" t="s">
        <v>1853</v>
      </c>
      <c r="L2066" t="s">
        <v>1750</v>
      </c>
      <c r="M2066">
        <v>41</v>
      </c>
      <c r="N2066" t="b">
        <v>0</v>
      </c>
      <c r="O2066">
        <v>40</v>
      </c>
      <c r="P2066" t="s">
        <v>1752</v>
      </c>
      <c r="Q2066" t="s">
        <v>1753</v>
      </c>
    </row>
    <row r="2067" spans="1:18" x14ac:dyDescent="0.25">
      <c r="A2067" t="s">
        <v>4908</v>
      </c>
      <c r="B2067" t="s">
        <v>2177</v>
      </c>
      <c r="C2067" t="s">
        <v>4</v>
      </c>
      <c r="D2067" t="s">
        <v>4907</v>
      </c>
      <c r="E2067" s="2">
        <v>42947</v>
      </c>
      <c r="F2067">
        <v>2664</v>
      </c>
      <c r="G2067" t="s">
        <v>1746</v>
      </c>
      <c r="H2067" t="s">
        <v>1805</v>
      </c>
      <c r="I2067" t="b">
        <v>1</v>
      </c>
      <c r="J2067" t="s">
        <v>1748</v>
      </c>
      <c r="K2067" t="s">
        <v>1822</v>
      </c>
      <c r="L2067" t="s">
        <v>1750</v>
      </c>
      <c r="M2067">
        <v>41</v>
      </c>
      <c r="N2067" t="b">
        <v>0</v>
      </c>
      <c r="O2067">
        <v>595</v>
      </c>
      <c r="P2067" t="s">
        <v>1752</v>
      </c>
      <c r="Q2067" t="s">
        <v>1753</v>
      </c>
    </row>
    <row r="2068" spans="1:18" x14ac:dyDescent="0.25">
      <c r="A2068" t="s">
        <v>4909</v>
      </c>
      <c r="B2068" t="s">
        <v>1781</v>
      </c>
      <c r="C2068" t="s">
        <v>186</v>
      </c>
      <c r="D2068" t="s">
        <v>1389</v>
      </c>
      <c r="E2068" s="2">
        <v>38987</v>
      </c>
      <c r="F2068">
        <v>6624</v>
      </c>
      <c r="G2068" t="s">
        <v>1746</v>
      </c>
      <c r="H2068" t="s">
        <v>1747</v>
      </c>
      <c r="I2068" t="b">
        <v>0</v>
      </c>
      <c r="J2068" t="s">
        <v>1748</v>
      </c>
      <c r="K2068" t="s">
        <v>1830</v>
      </c>
      <c r="L2068" t="s">
        <v>2102</v>
      </c>
      <c r="M2068">
        <v>41</v>
      </c>
      <c r="N2068" t="b">
        <v>0</v>
      </c>
      <c r="P2068" t="s">
        <v>2070</v>
      </c>
      <c r="Q2068" t="s">
        <v>1779</v>
      </c>
    </row>
    <row r="2069" spans="1:18" x14ac:dyDescent="0.25">
      <c r="A2069" t="s">
        <v>4910</v>
      </c>
      <c r="B2069" t="s">
        <v>1876</v>
      </c>
      <c r="C2069" t="s">
        <v>4</v>
      </c>
      <c r="D2069" t="s">
        <v>746</v>
      </c>
      <c r="E2069" s="2">
        <v>44726</v>
      </c>
      <c r="F2069">
        <v>885</v>
      </c>
      <c r="G2069" t="s">
        <v>1833</v>
      </c>
      <c r="H2069" t="s">
        <v>1747</v>
      </c>
      <c r="I2069" t="b">
        <v>0</v>
      </c>
      <c r="J2069" t="s">
        <v>1748</v>
      </c>
      <c r="K2069" t="s">
        <v>1913</v>
      </c>
      <c r="L2069" t="s">
        <v>1750</v>
      </c>
      <c r="M2069">
        <v>41</v>
      </c>
      <c r="N2069" t="b">
        <v>1</v>
      </c>
      <c r="O2069">
        <v>62</v>
      </c>
      <c r="P2069" t="s">
        <v>1752</v>
      </c>
      <c r="Q2069" t="s">
        <v>1753</v>
      </c>
      <c r="R2069" t="s">
        <v>1759</v>
      </c>
    </row>
    <row r="2070" spans="1:18" x14ac:dyDescent="0.25">
      <c r="A2070" t="s">
        <v>4912</v>
      </c>
      <c r="B2070" t="s">
        <v>1704</v>
      </c>
      <c r="C2070" t="s">
        <v>4</v>
      </c>
      <c r="D2070" t="s">
        <v>4911</v>
      </c>
      <c r="E2070" s="2">
        <v>45538</v>
      </c>
      <c r="F2070">
        <v>73</v>
      </c>
      <c r="G2070" t="s">
        <v>1833</v>
      </c>
      <c r="H2070" t="s">
        <v>1798</v>
      </c>
      <c r="I2070" t="b">
        <v>0</v>
      </c>
      <c r="J2070" t="s">
        <v>1761</v>
      </c>
      <c r="K2070" t="s">
        <v>1755</v>
      </c>
      <c r="L2070" t="s">
        <v>1750</v>
      </c>
      <c r="M2070">
        <v>41</v>
      </c>
      <c r="N2070" t="b">
        <v>1</v>
      </c>
      <c r="P2070" t="s">
        <v>1819</v>
      </c>
      <c r="Q2070" t="s">
        <v>1753</v>
      </c>
      <c r="R2070" t="s">
        <v>1759</v>
      </c>
    </row>
    <row r="2071" spans="1:18" x14ac:dyDescent="0.25">
      <c r="A2071" t="s">
        <v>4914</v>
      </c>
      <c r="B2071" t="s">
        <v>2494</v>
      </c>
      <c r="C2071" t="s">
        <v>6</v>
      </c>
      <c r="D2071" t="s">
        <v>4913</v>
      </c>
      <c r="E2071" s="2">
        <v>40346</v>
      </c>
      <c r="F2071">
        <v>5265</v>
      </c>
      <c r="G2071" t="s">
        <v>1746</v>
      </c>
      <c r="H2071" t="s">
        <v>1747</v>
      </c>
      <c r="I2071" t="b">
        <v>0</v>
      </c>
      <c r="J2071" t="s">
        <v>1748</v>
      </c>
      <c r="K2071" t="s">
        <v>1834</v>
      </c>
      <c r="L2071" t="s">
        <v>1766</v>
      </c>
      <c r="M2071">
        <v>41</v>
      </c>
      <c r="N2071" t="b">
        <v>0</v>
      </c>
      <c r="P2071" t="s">
        <v>1752</v>
      </c>
      <c r="Q2071" t="s">
        <v>1753</v>
      </c>
    </row>
    <row r="2072" spans="1:18" x14ac:dyDescent="0.25">
      <c r="A2072" t="s">
        <v>4916</v>
      </c>
      <c r="B2072" t="s">
        <v>2177</v>
      </c>
      <c r="C2072" t="s">
        <v>4</v>
      </c>
      <c r="D2072" t="s">
        <v>4915</v>
      </c>
      <c r="E2072" s="2">
        <v>43326</v>
      </c>
      <c r="F2072">
        <v>2285</v>
      </c>
      <c r="G2072" t="s">
        <v>1746</v>
      </c>
      <c r="H2072" t="s">
        <v>1805</v>
      </c>
      <c r="I2072" t="b">
        <v>0</v>
      </c>
      <c r="J2072" t="s">
        <v>1748</v>
      </c>
      <c r="K2072" t="s">
        <v>1880</v>
      </c>
      <c r="L2072" t="s">
        <v>1766</v>
      </c>
      <c r="M2072">
        <v>41</v>
      </c>
      <c r="N2072" t="b">
        <v>0</v>
      </c>
      <c r="P2072" t="s">
        <v>2070</v>
      </c>
      <c r="Q2072" t="s">
        <v>1753</v>
      </c>
    </row>
    <row r="2073" spans="1:18" x14ac:dyDescent="0.25">
      <c r="A2073" t="s">
        <v>4918</v>
      </c>
      <c r="B2073" t="s">
        <v>3294</v>
      </c>
      <c r="C2073" t="s">
        <v>186</v>
      </c>
      <c r="D2073" t="s">
        <v>4917</v>
      </c>
      <c r="E2073" s="2">
        <v>45517</v>
      </c>
      <c r="F2073">
        <v>94</v>
      </c>
      <c r="G2073" t="s">
        <v>1746</v>
      </c>
      <c r="H2073" t="s">
        <v>1747</v>
      </c>
      <c r="I2073" t="b">
        <v>0</v>
      </c>
      <c r="J2073" t="s">
        <v>1748</v>
      </c>
      <c r="K2073" t="s">
        <v>1809</v>
      </c>
      <c r="L2073" t="s">
        <v>1775</v>
      </c>
      <c r="M2073">
        <v>41</v>
      </c>
      <c r="N2073" t="b">
        <v>0</v>
      </c>
      <c r="P2073" t="s">
        <v>1778</v>
      </c>
      <c r="Q2073" t="s">
        <v>1779</v>
      </c>
    </row>
    <row r="2074" spans="1:18" x14ac:dyDescent="0.25">
      <c r="A2074" t="s">
        <v>4919</v>
      </c>
      <c r="B2074" t="s">
        <v>1874</v>
      </c>
      <c r="C2074" t="s">
        <v>4</v>
      </c>
      <c r="D2074" t="s">
        <v>1406</v>
      </c>
      <c r="E2074" s="2">
        <v>42550</v>
      </c>
      <c r="F2074">
        <v>3061</v>
      </c>
      <c r="G2074" t="s">
        <v>1746</v>
      </c>
      <c r="H2074" t="s">
        <v>1798</v>
      </c>
      <c r="I2074" t="b">
        <v>0</v>
      </c>
      <c r="J2074" t="s">
        <v>1748</v>
      </c>
      <c r="K2074" t="s">
        <v>1771</v>
      </c>
      <c r="L2074" t="s">
        <v>1750</v>
      </c>
      <c r="M2074">
        <v>40</v>
      </c>
      <c r="N2074" t="b">
        <v>1</v>
      </c>
      <c r="O2074">
        <v>95</v>
      </c>
      <c r="P2074" t="s">
        <v>1752</v>
      </c>
      <c r="Q2074" t="s">
        <v>1753</v>
      </c>
      <c r="R2074" t="s">
        <v>1828</v>
      </c>
    </row>
    <row r="2075" spans="1:18" x14ac:dyDescent="0.25">
      <c r="A2075" t="s">
        <v>4921</v>
      </c>
      <c r="B2075" t="s">
        <v>2150</v>
      </c>
      <c r="C2075" t="s">
        <v>4</v>
      </c>
      <c r="D2075" t="s">
        <v>4920</v>
      </c>
      <c r="E2075" s="2">
        <v>44265</v>
      </c>
      <c r="F2075">
        <v>1346</v>
      </c>
      <c r="G2075" t="s">
        <v>1746</v>
      </c>
      <c r="H2075" t="s">
        <v>1805</v>
      </c>
      <c r="I2075" t="b">
        <v>0</v>
      </c>
      <c r="J2075" t="s">
        <v>1761</v>
      </c>
      <c r="K2075" t="s">
        <v>1774</v>
      </c>
      <c r="L2075" t="s">
        <v>1750</v>
      </c>
      <c r="M2075">
        <v>40</v>
      </c>
      <c r="N2075" t="b">
        <v>1</v>
      </c>
      <c r="O2075">
        <v>81</v>
      </c>
      <c r="P2075" t="s">
        <v>1752</v>
      </c>
      <c r="Q2075" t="s">
        <v>1753</v>
      </c>
    </row>
    <row r="2076" spans="1:18" x14ac:dyDescent="0.25">
      <c r="A2076" t="s">
        <v>4922</v>
      </c>
      <c r="B2076" t="s">
        <v>1754</v>
      </c>
      <c r="C2076" t="s">
        <v>4</v>
      </c>
      <c r="D2076" t="s">
        <v>1211</v>
      </c>
      <c r="E2076" s="2">
        <v>42242</v>
      </c>
      <c r="F2076">
        <v>3369</v>
      </c>
      <c r="G2076" t="s">
        <v>1746</v>
      </c>
      <c r="H2076" t="s">
        <v>1747</v>
      </c>
      <c r="I2076" t="b">
        <v>1</v>
      </c>
      <c r="J2076" t="s">
        <v>1761</v>
      </c>
      <c r="K2076" t="s">
        <v>1770</v>
      </c>
      <c r="L2076" t="s">
        <v>1750</v>
      </c>
      <c r="M2076">
        <v>40</v>
      </c>
      <c r="N2076" t="b">
        <v>0</v>
      </c>
      <c r="O2076">
        <v>179</v>
      </c>
      <c r="P2076" t="s">
        <v>1752</v>
      </c>
      <c r="Q2076" t="s">
        <v>1753</v>
      </c>
    </row>
    <row r="2077" spans="1:18" x14ac:dyDescent="0.25">
      <c r="A2077" t="s">
        <v>4924</v>
      </c>
      <c r="B2077" t="s">
        <v>2014</v>
      </c>
      <c r="C2077" t="s">
        <v>6</v>
      </c>
      <c r="D2077" t="s">
        <v>4923</v>
      </c>
      <c r="E2077" s="2">
        <v>40361</v>
      </c>
      <c r="F2077">
        <v>5250</v>
      </c>
      <c r="G2077" t="s">
        <v>1746</v>
      </c>
      <c r="H2077" t="s">
        <v>1805</v>
      </c>
      <c r="I2077" t="b">
        <v>0</v>
      </c>
      <c r="J2077" t="s">
        <v>1748</v>
      </c>
      <c r="K2077" t="s">
        <v>1770</v>
      </c>
      <c r="L2077" t="s">
        <v>1750</v>
      </c>
      <c r="M2077">
        <v>40</v>
      </c>
      <c r="N2077" t="b">
        <v>1</v>
      </c>
      <c r="O2077">
        <v>113</v>
      </c>
      <c r="P2077" t="s">
        <v>1752</v>
      </c>
      <c r="Q2077" t="s">
        <v>1753</v>
      </c>
    </row>
    <row r="2078" spans="1:18" x14ac:dyDescent="0.25">
      <c r="A2078" t="s">
        <v>4925</v>
      </c>
      <c r="B2078" t="s">
        <v>4926</v>
      </c>
      <c r="C2078" t="s">
        <v>6</v>
      </c>
      <c r="D2078" t="s">
        <v>27</v>
      </c>
      <c r="E2078" s="2">
        <v>40078</v>
      </c>
      <c r="F2078">
        <v>5533</v>
      </c>
      <c r="G2078" t="s">
        <v>1746</v>
      </c>
      <c r="H2078" t="s">
        <v>1798</v>
      </c>
      <c r="I2078" t="b">
        <v>0</v>
      </c>
      <c r="J2078" t="s">
        <v>1748</v>
      </c>
      <c r="K2078" t="s">
        <v>1853</v>
      </c>
      <c r="L2078" t="s">
        <v>1766</v>
      </c>
      <c r="M2078">
        <v>40</v>
      </c>
      <c r="N2078" t="b">
        <v>0</v>
      </c>
      <c r="P2078" t="s">
        <v>2266</v>
      </c>
      <c r="Q2078" t="s">
        <v>1753</v>
      </c>
      <c r="R2078" t="s">
        <v>1828</v>
      </c>
    </row>
    <row r="2079" spans="1:18" x14ac:dyDescent="0.25">
      <c r="A2079" t="s">
        <v>4928</v>
      </c>
      <c r="B2079" t="s">
        <v>3294</v>
      </c>
      <c r="C2079" t="s">
        <v>186</v>
      </c>
      <c r="D2079" t="s">
        <v>4927</v>
      </c>
      <c r="E2079" s="2">
        <v>38987</v>
      </c>
      <c r="F2079">
        <v>6624</v>
      </c>
      <c r="G2079" t="s">
        <v>1746</v>
      </c>
      <c r="H2079" t="s">
        <v>1747</v>
      </c>
      <c r="I2079" t="b">
        <v>0</v>
      </c>
      <c r="J2079" t="s">
        <v>1748</v>
      </c>
      <c r="K2079" t="s">
        <v>1830</v>
      </c>
      <c r="L2079" t="s">
        <v>2102</v>
      </c>
      <c r="M2079">
        <v>40</v>
      </c>
      <c r="N2079" t="b">
        <v>0</v>
      </c>
      <c r="P2079" t="s">
        <v>2070</v>
      </c>
      <c r="Q2079" t="s">
        <v>1779</v>
      </c>
    </row>
    <row r="2080" spans="1:18" x14ac:dyDescent="0.25">
      <c r="A2080" t="s">
        <v>1454</v>
      </c>
      <c r="B2080" t="s">
        <v>1876</v>
      </c>
      <c r="C2080" t="s">
        <v>4</v>
      </c>
      <c r="D2080" t="s">
        <v>1455</v>
      </c>
      <c r="E2080" s="2">
        <v>41933</v>
      </c>
      <c r="F2080">
        <v>3678</v>
      </c>
      <c r="G2080" t="s">
        <v>1746</v>
      </c>
      <c r="H2080" t="s">
        <v>1747</v>
      </c>
      <c r="I2080" t="b">
        <v>0</v>
      </c>
      <c r="J2080" t="s">
        <v>1761</v>
      </c>
      <c r="K2080" t="s">
        <v>1771</v>
      </c>
      <c r="L2080" t="s">
        <v>1750</v>
      </c>
      <c r="M2080">
        <v>40</v>
      </c>
      <c r="N2080" t="b">
        <v>1</v>
      </c>
      <c r="O2080">
        <v>343</v>
      </c>
      <c r="P2080" t="s">
        <v>1752</v>
      </c>
      <c r="Q2080" t="s">
        <v>1753</v>
      </c>
    </row>
    <row r="2081" spans="1:18" x14ac:dyDescent="0.25">
      <c r="A2081" t="s">
        <v>4930</v>
      </c>
      <c r="B2081" t="s">
        <v>2133</v>
      </c>
      <c r="C2081" t="s">
        <v>4</v>
      </c>
      <c r="D2081" t="s">
        <v>4929</v>
      </c>
      <c r="E2081" s="2">
        <v>44761</v>
      </c>
      <c r="F2081">
        <v>850</v>
      </c>
      <c r="G2081" t="s">
        <v>1746</v>
      </c>
      <c r="H2081" t="s">
        <v>1747</v>
      </c>
      <c r="I2081" t="b">
        <v>1</v>
      </c>
      <c r="J2081" t="s">
        <v>1748</v>
      </c>
      <c r="K2081" t="s">
        <v>1988</v>
      </c>
      <c r="L2081" t="s">
        <v>1750</v>
      </c>
      <c r="M2081">
        <v>40</v>
      </c>
      <c r="N2081" t="b">
        <v>0</v>
      </c>
      <c r="O2081">
        <v>367</v>
      </c>
      <c r="P2081" t="s">
        <v>2266</v>
      </c>
      <c r="Q2081" t="s">
        <v>1753</v>
      </c>
      <c r="R2081" t="s">
        <v>1759</v>
      </c>
    </row>
    <row r="2082" spans="1:18" x14ac:dyDescent="0.25">
      <c r="A2082" t="s">
        <v>4931</v>
      </c>
      <c r="B2082" t="s">
        <v>1876</v>
      </c>
      <c r="C2082" t="s">
        <v>4</v>
      </c>
      <c r="D2082" t="s">
        <v>733</v>
      </c>
      <c r="E2082" s="2">
        <v>44607</v>
      </c>
      <c r="F2082">
        <v>1004</v>
      </c>
      <c r="G2082" t="s">
        <v>1833</v>
      </c>
      <c r="H2082" t="s">
        <v>1747</v>
      </c>
      <c r="I2082" t="b">
        <v>0</v>
      </c>
      <c r="J2082" t="s">
        <v>1748</v>
      </c>
      <c r="K2082" t="s">
        <v>1853</v>
      </c>
      <c r="L2082" t="s">
        <v>1750</v>
      </c>
      <c r="M2082">
        <v>40</v>
      </c>
      <c r="N2082" t="b">
        <v>1</v>
      </c>
      <c r="O2082">
        <v>358</v>
      </c>
      <c r="P2082" t="s">
        <v>1752</v>
      </c>
      <c r="Q2082" t="s">
        <v>1753</v>
      </c>
      <c r="R2082" t="s">
        <v>2028</v>
      </c>
    </row>
    <row r="2083" spans="1:18" x14ac:dyDescent="0.25">
      <c r="A2083" t="s">
        <v>4933</v>
      </c>
      <c r="B2083" t="s">
        <v>1907</v>
      </c>
      <c r="C2083" t="s">
        <v>4</v>
      </c>
      <c r="D2083" t="s">
        <v>4932</v>
      </c>
      <c r="E2083" s="2">
        <v>44824</v>
      </c>
      <c r="F2083">
        <v>787</v>
      </c>
      <c r="G2083" t="s">
        <v>1746</v>
      </c>
      <c r="H2083" t="s">
        <v>1798</v>
      </c>
      <c r="I2083" t="b">
        <v>0</v>
      </c>
      <c r="J2083" t="s">
        <v>1761</v>
      </c>
      <c r="K2083" t="s">
        <v>1770</v>
      </c>
      <c r="L2083" t="s">
        <v>1750</v>
      </c>
      <c r="M2083">
        <v>40</v>
      </c>
      <c r="N2083" t="b">
        <v>1</v>
      </c>
      <c r="O2083">
        <v>97</v>
      </c>
      <c r="P2083" t="s">
        <v>1752</v>
      </c>
      <c r="Q2083" t="s">
        <v>1753</v>
      </c>
      <c r="R2083" t="s">
        <v>1759</v>
      </c>
    </row>
    <row r="2084" spans="1:18" x14ac:dyDescent="0.25">
      <c r="A2084" t="s">
        <v>4934</v>
      </c>
      <c r="B2084" t="s">
        <v>2035</v>
      </c>
      <c r="C2084" t="s">
        <v>6</v>
      </c>
      <c r="D2084" t="s">
        <v>173</v>
      </c>
      <c r="E2084" s="2">
        <v>43171</v>
      </c>
      <c r="F2084">
        <v>2440</v>
      </c>
      <c r="G2084" t="s">
        <v>1746</v>
      </c>
      <c r="H2084" t="s">
        <v>1798</v>
      </c>
      <c r="I2084" t="b">
        <v>0</v>
      </c>
      <c r="J2084" t="s">
        <v>1761</v>
      </c>
      <c r="K2084" t="s">
        <v>1909</v>
      </c>
      <c r="L2084" t="s">
        <v>1750</v>
      </c>
      <c r="M2084">
        <v>40</v>
      </c>
      <c r="N2084" t="b">
        <v>1</v>
      </c>
      <c r="O2084">
        <v>46</v>
      </c>
      <c r="P2084" t="s">
        <v>1752</v>
      </c>
      <c r="Q2084" t="s">
        <v>1753</v>
      </c>
    </row>
    <row r="2085" spans="1:18" x14ac:dyDescent="0.25">
      <c r="A2085" t="s">
        <v>4935</v>
      </c>
      <c r="B2085" t="s">
        <v>1829</v>
      </c>
      <c r="C2085" t="s">
        <v>4</v>
      </c>
      <c r="D2085" t="s">
        <v>957</v>
      </c>
      <c r="E2085" s="2">
        <v>43195</v>
      </c>
      <c r="F2085">
        <v>2416</v>
      </c>
      <c r="G2085" t="s">
        <v>1833</v>
      </c>
      <c r="H2085" t="s">
        <v>1798</v>
      </c>
      <c r="I2085" t="b">
        <v>0</v>
      </c>
      <c r="J2085" t="s">
        <v>1748</v>
      </c>
      <c r="K2085" t="s">
        <v>1848</v>
      </c>
      <c r="L2085" t="s">
        <v>1750</v>
      </c>
      <c r="M2085">
        <v>39</v>
      </c>
      <c r="N2085" t="b">
        <v>1</v>
      </c>
      <c r="O2085">
        <v>46</v>
      </c>
      <c r="P2085" t="s">
        <v>1752</v>
      </c>
      <c r="Q2085" t="s">
        <v>1753</v>
      </c>
    </row>
    <row r="2086" spans="1:18" x14ac:dyDescent="0.25">
      <c r="A2086" t="s">
        <v>4937</v>
      </c>
      <c r="B2086" t="s">
        <v>2133</v>
      </c>
      <c r="C2086" t="s">
        <v>6</v>
      </c>
      <c r="D2086" t="s">
        <v>4936</v>
      </c>
      <c r="E2086" s="2">
        <v>43901</v>
      </c>
      <c r="F2086">
        <v>1710</v>
      </c>
      <c r="G2086" t="s">
        <v>1746</v>
      </c>
      <c r="H2086" t="s">
        <v>1747</v>
      </c>
      <c r="I2086" t="b">
        <v>1</v>
      </c>
      <c r="J2086" t="s">
        <v>1748</v>
      </c>
      <c r="K2086" t="s">
        <v>1776</v>
      </c>
      <c r="L2086" t="s">
        <v>1817</v>
      </c>
      <c r="M2086">
        <v>39</v>
      </c>
      <c r="N2086" t="b">
        <v>0</v>
      </c>
      <c r="O2086">
        <v>526</v>
      </c>
      <c r="P2086" t="s">
        <v>1819</v>
      </c>
      <c r="Q2086" t="s">
        <v>1753</v>
      </c>
      <c r="R2086" t="s">
        <v>1772</v>
      </c>
    </row>
    <row r="2087" spans="1:18" x14ac:dyDescent="0.25">
      <c r="A2087" t="s">
        <v>4938</v>
      </c>
      <c r="B2087" t="s">
        <v>2353</v>
      </c>
      <c r="C2087" t="s">
        <v>4</v>
      </c>
      <c r="D2087" t="s">
        <v>395</v>
      </c>
      <c r="E2087" s="2">
        <v>44734</v>
      </c>
      <c r="F2087">
        <v>877</v>
      </c>
      <c r="G2087" t="s">
        <v>1833</v>
      </c>
      <c r="H2087" t="s">
        <v>1798</v>
      </c>
      <c r="I2087" t="b">
        <v>0</v>
      </c>
      <c r="J2087" t="s">
        <v>1748</v>
      </c>
      <c r="K2087" t="s">
        <v>1824</v>
      </c>
      <c r="L2087" t="s">
        <v>1750</v>
      </c>
      <c r="M2087">
        <v>39</v>
      </c>
      <c r="N2087" t="b">
        <v>1</v>
      </c>
      <c r="O2087">
        <v>175</v>
      </c>
      <c r="P2087" t="s">
        <v>1819</v>
      </c>
      <c r="Q2087" t="s">
        <v>1753</v>
      </c>
      <c r="R2087" t="s">
        <v>1759</v>
      </c>
    </row>
    <row r="2088" spans="1:18" x14ac:dyDescent="0.25">
      <c r="A2088" t="s">
        <v>4940</v>
      </c>
      <c r="B2088" t="s">
        <v>2177</v>
      </c>
      <c r="C2088" t="s">
        <v>4</v>
      </c>
      <c r="D2088" t="s">
        <v>4939</v>
      </c>
      <c r="E2088" s="2">
        <v>42324</v>
      </c>
      <c r="F2088">
        <v>3287</v>
      </c>
      <c r="G2088" t="s">
        <v>1746</v>
      </c>
      <c r="H2088" t="s">
        <v>1805</v>
      </c>
      <c r="I2088" t="b">
        <v>0</v>
      </c>
      <c r="J2088" t="s">
        <v>1761</v>
      </c>
      <c r="K2088" t="s">
        <v>2042</v>
      </c>
      <c r="L2088" t="s">
        <v>1817</v>
      </c>
      <c r="M2088">
        <v>39</v>
      </c>
      <c r="N2088" t="b">
        <v>0</v>
      </c>
      <c r="O2088">
        <v>762</v>
      </c>
      <c r="P2088" t="s">
        <v>1819</v>
      </c>
      <c r="Q2088" t="s">
        <v>1753</v>
      </c>
      <c r="R2088" t="s">
        <v>1759</v>
      </c>
    </row>
    <row r="2089" spans="1:18" x14ac:dyDescent="0.25">
      <c r="A2089" t="s">
        <v>4942</v>
      </c>
      <c r="B2089" t="s">
        <v>2173</v>
      </c>
      <c r="C2089" t="s">
        <v>6</v>
      </c>
      <c r="D2089" t="s">
        <v>4941</v>
      </c>
      <c r="E2089" s="2">
        <v>41138</v>
      </c>
      <c r="F2089">
        <v>4473</v>
      </c>
      <c r="G2089" t="s">
        <v>1746</v>
      </c>
      <c r="H2089" t="s">
        <v>2231</v>
      </c>
      <c r="I2089" t="b">
        <v>1</v>
      </c>
      <c r="J2089" t="s">
        <v>1761</v>
      </c>
      <c r="K2089" t="s">
        <v>1776</v>
      </c>
      <c r="L2089" t="s">
        <v>1817</v>
      </c>
      <c r="M2089">
        <v>39</v>
      </c>
      <c r="N2089" t="b">
        <v>0</v>
      </c>
      <c r="O2089">
        <v>154</v>
      </c>
      <c r="P2089" t="s">
        <v>1819</v>
      </c>
      <c r="Q2089" t="s">
        <v>1753</v>
      </c>
      <c r="R2089" t="s">
        <v>1759</v>
      </c>
    </row>
    <row r="2090" spans="1:18" x14ac:dyDescent="0.25">
      <c r="A2090" t="s">
        <v>4943</v>
      </c>
      <c r="B2090" t="s">
        <v>2035</v>
      </c>
      <c r="C2090" t="s">
        <v>6</v>
      </c>
      <c r="D2090" t="s">
        <v>166</v>
      </c>
      <c r="E2090" s="2">
        <v>43027</v>
      </c>
      <c r="F2090">
        <v>2584</v>
      </c>
      <c r="G2090" t="s">
        <v>1746</v>
      </c>
      <c r="H2090" t="s">
        <v>1798</v>
      </c>
      <c r="I2090" t="b">
        <v>0</v>
      </c>
      <c r="J2090" t="s">
        <v>1761</v>
      </c>
      <c r="K2090" t="s">
        <v>1922</v>
      </c>
      <c r="L2090" t="s">
        <v>1750</v>
      </c>
      <c r="M2090">
        <v>39</v>
      </c>
      <c r="N2090" t="b">
        <v>1</v>
      </c>
      <c r="P2090" t="s">
        <v>1752</v>
      </c>
      <c r="Q2090" t="s">
        <v>1753</v>
      </c>
      <c r="R2090" t="s">
        <v>1772</v>
      </c>
    </row>
    <row r="2091" spans="1:18" x14ac:dyDescent="0.25">
      <c r="A2091" t="s">
        <v>4945</v>
      </c>
      <c r="B2091" t="s">
        <v>1803</v>
      </c>
      <c r="C2091" t="s">
        <v>572</v>
      </c>
      <c r="D2091" t="s">
        <v>4944</v>
      </c>
      <c r="E2091" s="2">
        <v>39521</v>
      </c>
      <c r="F2091">
        <v>6090</v>
      </c>
      <c r="G2091" t="s">
        <v>1746</v>
      </c>
      <c r="H2091" t="s">
        <v>1798</v>
      </c>
      <c r="I2091" t="b">
        <v>0</v>
      </c>
      <c r="J2091" t="s">
        <v>1761</v>
      </c>
      <c r="K2091" t="s">
        <v>1842</v>
      </c>
      <c r="L2091" t="s">
        <v>1750</v>
      </c>
      <c r="M2091">
        <v>39</v>
      </c>
      <c r="N2091" t="b">
        <v>0</v>
      </c>
      <c r="O2091">
        <v>40</v>
      </c>
      <c r="P2091" t="s">
        <v>1752</v>
      </c>
      <c r="Q2091" t="s">
        <v>1753</v>
      </c>
      <c r="R2091" t="s">
        <v>1828</v>
      </c>
    </row>
    <row r="2092" spans="1:18" x14ac:dyDescent="0.25">
      <c r="A2092" t="s">
        <v>4947</v>
      </c>
      <c r="B2092" t="s">
        <v>2085</v>
      </c>
      <c r="C2092" t="s">
        <v>4</v>
      </c>
      <c r="D2092" t="s">
        <v>4946</v>
      </c>
      <c r="E2092" s="2">
        <v>43154</v>
      </c>
      <c r="F2092">
        <v>2457</v>
      </c>
      <c r="G2092" t="s">
        <v>1746</v>
      </c>
      <c r="H2092" t="s">
        <v>1798</v>
      </c>
      <c r="I2092" t="b">
        <v>1</v>
      </c>
      <c r="J2092" t="s">
        <v>1761</v>
      </c>
      <c r="K2092" t="s">
        <v>1776</v>
      </c>
      <c r="L2092" t="s">
        <v>1756</v>
      </c>
      <c r="M2092">
        <v>38</v>
      </c>
      <c r="N2092" t="b">
        <v>0</v>
      </c>
      <c r="O2092">
        <v>149</v>
      </c>
      <c r="P2092" t="s">
        <v>1752</v>
      </c>
      <c r="Q2092" t="s">
        <v>1753</v>
      </c>
      <c r="R2092" t="s">
        <v>1828</v>
      </c>
    </row>
    <row r="2093" spans="1:18" x14ac:dyDescent="0.25">
      <c r="A2093" t="s">
        <v>4949</v>
      </c>
      <c r="B2093" t="s">
        <v>2854</v>
      </c>
      <c r="C2093" t="s">
        <v>6</v>
      </c>
      <c r="D2093" t="s">
        <v>4948</v>
      </c>
      <c r="E2093" s="2">
        <v>40078</v>
      </c>
      <c r="F2093">
        <v>5533</v>
      </c>
      <c r="G2093" t="s">
        <v>1746</v>
      </c>
      <c r="H2093" t="s">
        <v>1798</v>
      </c>
      <c r="I2093" t="b">
        <v>0</v>
      </c>
      <c r="J2093" t="s">
        <v>1748</v>
      </c>
      <c r="K2093" t="s">
        <v>1770</v>
      </c>
      <c r="L2093" t="s">
        <v>1750</v>
      </c>
      <c r="M2093">
        <v>38</v>
      </c>
      <c r="N2093" t="b">
        <v>1</v>
      </c>
      <c r="O2093">
        <v>113</v>
      </c>
      <c r="P2093" t="s">
        <v>1752</v>
      </c>
      <c r="Q2093" t="s">
        <v>1753</v>
      </c>
    </row>
    <row r="2094" spans="1:18" x14ac:dyDescent="0.25">
      <c r="A2094" t="s">
        <v>4951</v>
      </c>
      <c r="B2094" t="s">
        <v>1978</v>
      </c>
      <c r="C2094" t="s">
        <v>4</v>
      </c>
      <c r="D2094" t="s">
        <v>4950</v>
      </c>
      <c r="E2094" s="2">
        <v>43195</v>
      </c>
      <c r="F2094">
        <v>2416</v>
      </c>
      <c r="G2094" t="s">
        <v>1833</v>
      </c>
      <c r="H2094" t="s">
        <v>1747</v>
      </c>
      <c r="I2094" t="b">
        <v>0</v>
      </c>
      <c r="J2094" t="s">
        <v>1748</v>
      </c>
      <c r="K2094" t="s">
        <v>1848</v>
      </c>
      <c r="L2094" t="s">
        <v>1750</v>
      </c>
      <c r="M2094">
        <v>38</v>
      </c>
      <c r="N2094" t="b">
        <v>1</v>
      </c>
      <c r="O2094">
        <v>46</v>
      </c>
      <c r="P2094" t="s">
        <v>1752</v>
      </c>
      <c r="Q2094" t="s">
        <v>1753</v>
      </c>
    </row>
    <row r="2095" spans="1:18" x14ac:dyDescent="0.25">
      <c r="A2095" t="s">
        <v>4953</v>
      </c>
      <c r="B2095" t="s">
        <v>2060</v>
      </c>
      <c r="C2095" t="s">
        <v>6</v>
      </c>
      <c r="D2095" t="s">
        <v>4952</v>
      </c>
      <c r="E2095" s="2">
        <v>39262</v>
      </c>
      <c r="F2095">
        <v>6349</v>
      </c>
      <c r="G2095" t="s">
        <v>1746</v>
      </c>
      <c r="H2095" t="s">
        <v>1798</v>
      </c>
      <c r="I2095" t="b">
        <v>0</v>
      </c>
      <c r="J2095" t="s">
        <v>1748</v>
      </c>
      <c r="K2095" t="s">
        <v>1825</v>
      </c>
      <c r="L2095" t="s">
        <v>1750</v>
      </c>
      <c r="M2095">
        <v>38</v>
      </c>
      <c r="N2095" t="b">
        <v>1</v>
      </c>
      <c r="O2095">
        <v>9</v>
      </c>
      <c r="P2095" t="s">
        <v>1752</v>
      </c>
      <c r="Q2095" t="s">
        <v>1753</v>
      </c>
      <c r="R2095" t="s">
        <v>1828</v>
      </c>
    </row>
    <row r="2096" spans="1:18" x14ac:dyDescent="0.25">
      <c r="A2096" t="s">
        <v>501</v>
      </c>
      <c r="B2096" t="s">
        <v>2071</v>
      </c>
      <c r="C2096" t="s">
        <v>4</v>
      </c>
      <c r="D2096" t="s">
        <v>502</v>
      </c>
      <c r="E2096" s="2">
        <v>44237</v>
      </c>
      <c r="F2096">
        <v>1374</v>
      </c>
      <c r="G2096" t="s">
        <v>1746</v>
      </c>
      <c r="H2096" t="s">
        <v>1747</v>
      </c>
      <c r="I2096" t="b">
        <v>0</v>
      </c>
      <c r="J2096" t="s">
        <v>1761</v>
      </c>
      <c r="K2096" t="s">
        <v>1846</v>
      </c>
      <c r="L2096" t="s">
        <v>1817</v>
      </c>
      <c r="M2096">
        <v>38</v>
      </c>
      <c r="N2096" t="b">
        <v>0</v>
      </c>
      <c r="O2096">
        <v>464</v>
      </c>
      <c r="P2096" t="s">
        <v>1819</v>
      </c>
      <c r="Q2096" t="s">
        <v>1753</v>
      </c>
    </row>
    <row r="2097" spans="1:18" x14ac:dyDescent="0.25">
      <c r="A2097" t="s">
        <v>4954</v>
      </c>
      <c r="B2097" t="s">
        <v>2611</v>
      </c>
      <c r="C2097" t="s">
        <v>4</v>
      </c>
      <c r="D2097" t="s">
        <v>381</v>
      </c>
      <c r="E2097" s="2">
        <v>45133</v>
      </c>
      <c r="F2097">
        <v>478</v>
      </c>
      <c r="G2097" t="s">
        <v>1746</v>
      </c>
      <c r="H2097" t="s">
        <v>1747</v>
      </c>
      <c r="I2097" t="b">
        <v>0</v>
      </c>
      <c r="J2097" t="s">
        <v>1748</v>
      </c>
      <c r="K2097" t="s">
        <v>1880</v>
      </c>
      <c r="L2097" t="s">
        <v>1766</v>
      </c>
      <c r="M2097">
        <v>38</v>
      </c>
      <c r="N2097" t="b">
        <v>1</v>
      </c>
      <c r="P2097" t="s">
        <v>2070</v>
      </c>
      <c r="Q2097" t="s">
        <v>1753</v>
      </c>
    </row>
    <row r="2098" spans="1:18" x14ac:dyDescent="0.25">
      <c r="A2098" t="s">
        <v>1571</v>
      </c>
      <c r="B2098" t="s">
        <v>1876</v>
      </c>
      <c r="C2098" t="s">
        <v>4</v>
      </c>
      <c r="D2098" t="s">
        <v>1572</v>
      </c>
      <c r="E2098" s="2">
        <v>44217</v>
      </c>
      <c r="F2098">
        <v>1394</v>
      </c>
      <c r="G2098" t="s">
        <v>1746</v>
      </c>
      <c r="H2098" t="s">
        <v>1798</v>
      </c>
      <c r="I2098" t="b">
        <v>0</v>
      </c>
      <c r="J2098" t="s">
        <v>1748</v>
      </c>
      <c r="K2098" t="s">
        <v>1755</v>
      </c>
      <c r="L2098" t="s">
        <v>1750</v>
      </c>
      <c r="M2098">
        <v>38</v>
      </c>
      <c r="N2098" t="b">
        <v>1</v>
      </c>
      <c r="O2098">
        <v>110</v>
      </c>
      <c r="P2098" t="s">
        <v>1752</v>
      </c>
      <c r="Q2098" t="s">
        <v>1753</v>
      </c>
      <c r="R2098" t="s">
        <v>1828</v>
      </c>
    </row>
    <row r="2099" spans="1:18" x14ac:dyDescent="0.25">
      <c r="A2099" t="s">
        <v>4956</v>
      </c>
      <c r="B2099" t="s">
        <v>2173</v>
      </c>
      <c r="C2099" t="s">
        <v>4</v>
      </c>
      <c r="D2099" t="s">
        <v>4955</v>
      </c>
      <c r="E2099" s="2">
        <v>44677</v>
      </c>
      <c r="F2099">
        <v>934</v>
      </c>
      <c r="G2099" t="s">
        <v>1833</v>
      </c>
      <c r="H2099" t="s">
        <v>2231</v>
      </c>
      <c r="I2099" t="b">
        <v>0</v>
      </c>
      <c r="J2099" t="s">
        <v>1748</v>
      </c>
      <c r="K2099" t="s">
        <v>1755</v>
      </c>
      <c r="L2099" t="s">
        <v>1750</v>
      </c>
      <c r="M2099">
        <v>38</v>
      </c>
      <c r="N2099" t="b">
        <v>1</v>
      </c>
      <c r="O2099">
        <v>246</v>
      </c>
      <c r="P2099" t="s">
        <v>1752</v>
      </c>
      <c r="Q2099" t="s">
        <v>1753</v>
      </c>
    </row>
    <row r="2100" spans="1:18" x14ac:dyDescent="0.25">
      <c r="A2100" t="s">
        <v>4957</v>
      </c>
      <c r="B2100" t="s">
        <v>1876</v>
      </c>
      <c r="C2100" t="s">
        <v>4</v>
      </c>
      <c r="D2100" t="s">
        <v>819</v>
      </c>
      <c r="E2100" s="2">
        <v>44301</v>
      </c>
      <c r="F2100">
        <v>1310</v>
      </c>
      <c r="G2100" t="s">
        <v>1746</v>
      </c>
      <c r="H2100" t="s">
        <v>1798</v>
      </c>
      <c r="I2100" t="b">
        <v>0</v>
      </c>
      <c r="J2100" t="s">
        <v>1761</v>
      </c>
      <c r="K2100" t="s">
        <v>1776</v>
      </c>
      <c r="L2100" t="s">
        <v>1756</v>
      </c>
      <c r="M2100">
        <v>38</v>
      </c>
      <c r="N2100" t="b">
        <v>1</v>
      </c>
      <c r="O2100">
        <v>144</v>
      </c>
      <c r="P2100" t="s">
        <v>1752</v>
      </c>
      <c r="Q2100" t="s">
        <v>1753</v>
      </c>
      <c r="R2100" t="s">
        <v>1828</v>
      </c>
    </row>
    <row r="2101" spans="1:18" x14ac:dyDescent="0.25">
      <c r="A2101" t="s">
        <v>4958</v>
      </c>
      <c r="B2101" t="s">
        <v>1876</v>
      </c>
      <c r="C2101" t="s">
        <v>4</v>
      </c>
      <c r="D2101" t="s">
        <v>273</v>
      </c>
      <c r="E2101" s="2">
        <v>44516</v>
      </c>
      <c r="F2101">
        <v>1095</v>
      </c>
      <c r="G2101" t="s">
        <v>1746</v>
      </c>
      <c r="H2101" t="s">
        <v>1747</v>
      </c>
      <c r="I2101" t="b">
        <v>1</v>
      </c>
      <c r="J2101" t="s">
        <v>1748</v>
      </c>
      <c r="K2101" t="s">
        <v>1868</v>
      </c>
      <c r="L2101" t="s">
        <v>1750</v>
      </c>
      <c r="M2101">
        <v>38</v>
      </c>
      <c r="N2101" t="b">
        <v>0</v>
      </c>
      <c r="O2101">
        <v>23</v>
      </c>
      <c r="P2101" t="s">
        <v>1752</v>
      </c>
      <c r="Q2101" t="s">
        <v>1753</v>
      </c>
      <c r="R2101" t="s">
        <v>1759</v>
      </c>
    </row>
    <row r="2102" spans="1:18" x14ac:dyDescent="0.25">
      <c r="A2102" t="s">
        <v>4960</v>
      </c>
      <c r="B2102" t="s">
        <v>1907</v>
      </c>
      <c r="C2102" t="s">
        <v>6</v>
      </c>
      <c r="D2102" t="s">
        <v>4959</v>
      </c>
      <c r="E2102" s="2">
        <v>44077</v>
      </c>
      <c r="F2102">
        <v>1534</v>
      </c>
      <c r="G2102" t="s">
        <v>1746</v>
      </c>
      <c r="H2102" t="s">
        <v>1798</v>
      </c>
      <c r="I2102" t="b">
        <v>0</v>
      </c>
      <c r="J2102" t="s">
        <v>1761</v>
      </c>
      <c r="K2102" t="s">
        <v>1853</v>
      </c>
      <c r="L2102" t="s">
        <v>1766</v>
      </c>
      <c r="M2102">
        <v>38</v>
      </c>
      <c r="N2102" t="b">
        <v>0</v>
      </c>
      <c r="P2102" t="s">
        <v>1752</v>
      </c>
      <c r="Q2102" t="s">
        <v>1753</v>
      </c>
      <c r="R2102" t="s">
        <v>1828</v>
      </c>
    </row>
    <row r="2103" spans="1:18" x14ac:dyDescent="0.25">
      <c r="A2103" t="s">
        <v>4962</v>
      </c>
      <c r="B2103" t="s">
        <v>2032</v>
      </c>
      <c r="C2103" t="s">
        <v>4</v>
      </c>
      <c r="D2103" t="s">
        <v>4961</v>
      </c>
      <c r="E2103" s="2">
        <v>43754</v>
      </c>
      <c r="F2103">
        <v>1857</v>
      </c>
      <c r="G2103" t="s">
        <v>1746</v>
      </c>
      <c r="H2103" t="s">
        <v>1747</v>
      </c>
      <c r="I2103" t="b">
        <v>1</v>
      </c>
      <c r="J2103" t="s">
        <v>1748</v>
      </c>
      <c r="K2103" t="s">
        <v>2021</v>
      </c>
      <c r="L2103" t="s">
        <v>1756</v>
      </c>
      <c r="M2103">
        <v>38</v>
      </c>
      <c r="N2103" t="b">
        <v>0</v>
      </c>
      <c r="O2103">
        <v>226</v>
      </c>
      <c r="P2103" t="s">
        <v>2266</v>
      </c>
      <c r="Q2103" t="s">
        <v>1753</v>
      </c>
      <c r="R2103" t="s">
        <v>1759</v>
      </c>
    </row>
    <row r="2104" spans="1:18" x14ac:dyDescent="0.25">
      <c r="A2104" t="s">
        <v>4963</v>
      </c>
      <c r="B2104" t="s">
        <v>2353</v>
      </c>
      <c r="C2104" t="s">
        <v>4</v>
      </c>
      <c r="D2104" t="s">
        <v>735</v>
      </c>
      <c r="E2104" s="2">
        <v>44686</v>
      </c>
      <c r="F2104">
        <v>925</v>
      </c>
      <c r="G2104" t="s">
        <v>1746</v>
      </c>
      <c r="H2104" t="s">
        <v>1798</v>
      </c>
      <c r="I2104" t="b">
        <v>0</v>
      </c>
      <c r="J2104" t="s">
        <v>1748</v>
      </c>
      <c r="K2104" t="s">
        <v>1846</v>
      </c>
      <c r="L2104" t="s">
        <v>1750</v>
      </c>
      <c r="M2104">
        <v>38</v>
      </c>
      <c r="N2104" t="b">
        <v>0</v>
      </c>
      <c r="O2104">
        <v>110</v>
      </c>
      <c r="P2104" t="s">
        <v>1819</v>
      </c>
      <c r="Q2104" t="s">
        <v>1753</v>
      </c>
    </row>
    <row r="2105" spans="1:18" x14ac:dyDescent="0.25">
      <c r="A2105" t="s">
        <v>4965</v>
      </c>
      <c r="B2105" t="s">
        <v>2173</v>
      </c>
      <c r="C2105" t="s">
        <v>6</v>
      </c>
      <c r="D2105" t="s">
        <v>4964</v>
      </c>
      <c r="E2105" s="2">
        <v>42034</v>
      </c>
      <c r="F2105">
        <v>3577</v>
      </c>
      <c r="G2105" t="s">
        <v>1746</v>
      </c>
      <c r="H2105" t="s">
        <v>2231</v>
      </c>
      <c r="I2105" t="b">
        <v>1</v>
      </c>
      <c r="J2105" t="s">
        <v>1748</v>
      </c>
      <c r="K2105" t="s">
        <v>1925</v>
      </c>
      <c r="L2105" t="s">
        <v>1750</v>
      </c>
      <c r="M2105">
        <v>38</v>
      </c>
      <c r="N2105" t="b">
        <v>0</v>
      </c>
      <c r="O2105">
        <v>86</v>
      </c>
      <c r="P2105" t="s">
        <v>1752</v>
      </c>
      <c r="Q2105" t="s">
        <v>1753</v>
      </c>
    </row>
    <row r="2106" spans="1:18" x14ac:dyDescent="0.25">
      <c r="A2106" t="s">
        <v>4967</v>
      </c>
      <c r="B2106" t="s">
        <v>2173</v>
      </c>
      <c r="C2106" t="s">
        <v>4</v>
      </c>
      <c r="D2106" t="s">
        <v>4966</v>
      </c>
      <c r="E2106" s="2">
        <v>44453</v>
      </c>
      <c r="F2106">
        <v>1158</v>
      </c>
      <c r="G2106" t="s">
        <v>1746</v>
      </c>
      <c r="H2106" t="s">
        <v>2231</v>
      </c>
      <c r="I2106" t="b">
        <v>0</v>
      </c>
      <c r="J2106" t="s">
        <v>1748</v>
      </c>
      <c r="K2106" t="s">
        <v>1822</v>
      </c>
      <c r="L2106" t="s">
        <v>1817</v>
      </c>
      <c r="M2106">
        <v>38</v>
      </c>
      <c r="N2106" t="b">
        <v>0</v>
      </c>
      <c r="O2106">
        <v>9003</v>
      </c>
      <c r="P2106" t="s">
        <v>1819</v>
      </c>
      <c r="Q2106" t="s">
        <v>1753</v>
      </c>
      <c r="R2106" t="s">
        <v>1759</v>
      </c>
    </row>
    <row r="2107" spans="1:18" x14ac:dyDescent="0.25">
      <c r="A2107" t="s">
        <v>4969</v>
      </c>
      <c r="B2107" t="s">
        <v>1907</v>
      </c>
      <c r="C2107" t="s">
        <v>6</v>
      </c>
      <c r="D2107" t="s">
        <v>4968</v>
      </c>
      <c r="E2107" s="2">
        <v>44742</v>
      </c>
      <c r="F2107">
        <v>869</v>
      </c>
      <c r="G2107" t="s">
        <v>1746</v>
      </c>
      <c r="H2107" t="s">
        <v>1798</v>
      </c>
      <c r="I2107" t="b">
        <v>0</v>
      </c>
      <c r="J2107" t="s">
        <v>1761</v>
      </c>
      <c r="K2107" t="s">
        <v>1901</v>
      </c>
      <c r="L2107" t="s">
        <v>1750</v>
      </c>
      <c r="M2107">
        <v>38</v>
      </c>
      <c r="N2107" t="b">
        <v>1</v>
      </c>
      <c r="P2107" t="s">
        <v>1752</v>
      </c>
      <c r="Q2107" t="s">
        <v>1753</v>
      </c>
    </row>
    <row r="2108" spans="1:18" x14ac:dyDescent="0.25">
      <c r="A2108" t="s">
        <v>4971</v>
      </c>
      <c r="B2108" t="s">
        <v>2150</v>
      </c>
      <c r="C2108" t="s">
        <v>6</v>
      </c>
      <c r="D2108" t="s">
        <v>4970</v>
      </c>
      <c r="E2108" s="2">
        <v>44118</v>
      </c>
      <c r="F2108">
        <v>1493</v>
      </c>
      <c r="G2108" t="s">
        <v>1746</v>
      </c>
      <c r="H2108" t="s">
        <v>1805</v>
      </c>
      <c r="I2108" t="b">
        <v>0</v>
      </c>
      <c r="J2108" t="s">
        <v>1761</v>
      </c>
      <c r="K2108" t="s">
        <v>1770</v>
      </c>
      <c r="L2108" t="s">
        <v>1817</v>
      </c>
      <c r="M2108">
        <v>37</v>
      </c>
      <c r="N2108" t="b">
        <v>1</v>
      </c>
      <c r="O2108">
        <v>1299</v>
      </c>
      <c r="P2108" t="s">
        <v>1819</v>
      </c>
      <c r="Q2108" t="s">
        <v>1753</v>
      </c>
      <c r="R2108" t="s">
        <v>1759</v>
      </c>
    </row>
    <row r="2109" spans="1:18" x14ac:dyDescent="0.25">
      <c r="A2109" t="s">
        <v>4972</v>
      </c>
      <c r="B2109" t="s">
        <v>2035</v>
      </c>
      <c r="C2109" t="s">
        <v>6</v>
      </c>
      <c r="D2109" t="s">
        <v>36</v>
      </c>
      <c r="E2109" s="2">
        <v>42845</v>
      </c>
      <c r="F2109">
        <v>2766</v>
      </c>
      <c r="G2109" t="s">
        <v>1746</v>
      </c>
      <c r="H2109" t="s">
        <v>1798</v>
      </c>
      <c r="I2109" t="b">
        <v>1</v>
      </c>
      <c r="J2109" t="s">
        <v>1748</v>
      </c>
      <c r="K2109" t="s">
        <v>2021</v>
      </c>
      <c r="L2109" t="s">
        <v>1750</v>
      </c>
      <c r="M2109">
        <v>37</v>
      </c>
      <c r="N2109" t="b">
        <v>0</v>
      </c>
      <c r="O2109">
        <v>1088</v>
      </c>
      <c r="P2109" t="s">
        <v>1752</v>
      </c>
      <c r="Q2109" t="s">
        <v>1753</v>
      </c>
      <c r="R2109" t="s">
        <v>1759</v>
      </c>
    </row>
    <row r="2110" spans="1:18" x14ac:dyDescent="0.25">
      <c r="A2110" t="s">
        <v>4974</v>
      </c>
      <c r="B2110" t="s">
        <v>1704</v>
      </c>
      <c r="C2110" t="s">
        <v>4</v>
      </c>
      <c r="D2110" t="s">
        <v>4973</v>
      </c>
      <c r="E2110" s="2">
        <v>45210</v>
      </c>
      <c r="F2110">
        <v>401</v>
      </c>
      <c r="G2110" t="s">
        <v>1746</v>
      </c>
      <c r="H2110" t="s">
        <v>1798</v>
      </c>
      <c r="I2110" t="b">
        <v>1</v>
      </c>
      <c r="J2110" t="s">
        <v>1748</v>
      </c>
      <c r="K2110" t="s">
        <v>1825</v>
      </c>
      <c r="L2110" t="s">
        <v>1756</v>
      </c>
      <c r="M2110">
        <v>37</v>
      </c>
      <c r="N2110" t="b">
        <v>0</v>
      </c>
      <c r="O2110">
        <v>1454</v>
      </c>
      <c r="P2110" t="s">
        <v>1752</v>
      </c>
      <c r="Q2110" t="s">
        <v>1753</v>
      </c>
      <c r="R2110" t="s">
        <v>1759</v>
      </c>
    </row>
    <row r="2111" spans="1:18" x14ac:dyDescent="0.25">
      <c r="A2111" t="s">
        <v>4975</v>
      </c>
      <c r="B2111" t="s">
        <v>1876</v>
      </c>
      <c r="C2111" t="s">
        <v>4</v>
      </c>
      <c r="D2111" t="s">
        <v>1608</v>
      </c>
      <c r="E2111" s="2">
        <v>44754</v>
      </c>
      <c r="F2111">
        <v>857</v>
      </c>
      <c r="G2111" t="s">
        <v>1746</v>
      </c>
      <c r="H2111" t="s">
        <v>1747</v>
      </c>
      <c r="I2111" t="b">
        <v>1</v>
      </c>
      <c r="J2111" t="s">
        <v>1748</v>
      </c>
      <c r="K2111" t="s">
        <v>1853</v>
      </c>
      <c r="L2111" t="s">
        <v>1750</v>
      </c>
      <c r="M2111">
        <v>37</v>
      </c>
      <c r="N2111" t="b">
        <v>1</v>
      </c>
      <c r="O2111">
        <v>100</v>
      </c>
      <c r="P2111" t="s">
        <v>1752</v>
      </c>
      <c r="Q2111" t="s">
        <v>1753</v>
      </c>
      <c r="R2111" t="s">
        <v>1759</v>
      </c>
    </row>
    <row r="2112" spans="1:18" x14ac:dyDescent="0.25">
      <c r="A2112" t="s">
        <v>4977</v>
      </c>
      <c r="B2112" t="s">
        <v>2085</v>
      </c>
      <c r="C2112" t="s">
        <v>4</v>
      </c>
      <c r="D2112" t="s">
        <v>4976</v>
      </c>
      <c r="E2112" s="2">
        <v>44278</v>
      </c>
      <c r="F2112">
        <v>1333</v>
      </c>
      <c r="G2112" t="s">
        <v>1746</v>
      </c>
      <c r="H2112" t="s">
        <v>1805</v>
      </c>
      <c r="I2112" t="b">
        <v>0</v>
      </c>
      <c r="J2112" t="s">
        <v>1761</v>
      </c>
      <c r="K2112" t="s">
        <v>1824</v>
      </c>
      <c r="L2112" t="s">
        <v>1756</v>
      </c>
      <c r="M2112">
        <v>37</v>
      </c>
      <c r="N2112" t="b">
        <v>1</v>
      </c>
      <c r="O2112">
        <v>154</v>
      </c>
      <c r="P2112" t="s">
        <v>1752</v>
      </c>
      <c r="Q2112" t="s">
        <v>1753</v>
      </c>
    </row>
    <row r="2113" spans="1:18" x14ac:dyDescent="0.25">
      <c r="A2113" t="s">
        <v>4978</v>
      </c>
      <c r="B2113" t="s">
        <v>1876</v>
      </c>
      <c r="C2113" t="s">
        <v>4</v>
      </c>
      <c r="D2113" t="s">
        <v>1473</v>
      </c>
      <c r="E2113" s="2">
        <v>44873</v>
      </c>
      <c r="F2113">
        <v>738</v>
      </c>
      <c r="G2113" t="s">
        <v>1746</v>
      </c>
      <c r="H2113" t="s">
        <v>1747</v>
      </c>
      <c r="I2113" t="b">
        <v>0</v>
      </c>
      <c r="J2113" t="s">
        <v>1748</v>
      </c>
      <c r="K2113" t="s">
        <v>1755</v>
      </c>
      <c r="L2113" t="s">
        <v>1750</v>
      </c>
      <c r="M2113">
        <v>37</v>
      </c>
      <c r="N2113" t="b">
        <v>1</v>
      </c>
      <c r="O2113">
        <v>654</v>
      </c>
      <c r="P2113" t="s">
        <v>1752</v>
      </c>
      <c r="Q2113" t="s">
        <v>1753</v>
      </c>
      <c r="R2113" t="s">
        <v>1772</v>
      </c>
    </row>
    <row r="2114" spans="1:18" x14ac:dyDescent="0.25">
      <c r="A2114" t="s">
        <v>4979</v>
      </c>
      <c r="B2114" t="s">
        <v>4980</v>
      </c>
      <c r="C2114" t="s">
        <v>1249</v>
      </c>
      <c r="D2114" t="s">
        <v>1274</v>
      </c>
      <c r="E2114" s="2">
        <v>40161</v>
      </c>
      <c r="F2114">
        <v>5450</v>
      </c>
      <c r="G2114" t="s">
        <v>1746</v>
      </c>
      <c r="H2114" t="s">
        <v>1798</v>
      </c>
      <c r="I2114" t="b">
        <v>0</v>
      </c>
      <c r="J2114" t="s">
        <v>1761</v>
      </c>
      <c r="K2114" t="s">
        <v>1853</v>
      </c>
      <c r="L2114" t="s">
        <v>1756</v>
      </c>
      <c r="M2114">
        <v>37</v>
      </c>
      <c r="N2114" t="b">
        <v>1</v>
      </c>
      <c r="O2114">
        <v>263</v>
      </c>
      <c r="P2114" t="s">
        <v>1752</v>
      </c>
      <c r="Q2114" t="s">
        <v>1753</v>
      </c>
      <c r="R2114" t="s">
        <v>1759</v>
      </c>
    </row>
    <row r="2115" spans="1:18" x14ac:dyDescent="0.25">
      <c r="A2115" t="s">
        <v>409</v>
      </c>
      <c r="B2115" t="s">
        <v>1829</v>
      </c>
      <c r="C2115" t="s">
        <v>4</v>
      </c>
      <c r="D2115" t="s">
        <v>410</v>
      </c>
      <c r="E2115" s="2">
        <v>43705</v>
      </c>
      <c r="F2115">
        <v>1906</v>
      </c>
      <c r="G2115" t="s">
        <v>1746</v>
      </c>
      <c r="H2115" t="s">
        <v>1798</v>
      </c>
      <c r="I2115" t="b">
        <v>0</v>
      </c>
      <c r="J2115" t="s">
        <v>1761</v>
      </c>
      <c r="K2115" t="s">
        <v>1749</v>
      </c>
      <c r="L2115" t="s">
        <v>1817</v>
      </c>
      <c r="M2115">
        <v>36</v>
      </c>
      <c r="N2115" t="b">
        <v>0</v>
      </c>
      <c r="O2115">
        <v>445</v>
      </c>
      <c r="P2115" t="s">
        <v>1819</v>
      </c>
      <c r="Q2115" t="s">
        <v>1753</v>
      </c>
      <c r="R2115" t="s">
        <v>1828</v>
      </c>
    </row>
    <row r="2116" spans="1:18" x14ac:dyDescent="0.25">
      <c r="A2116" t="s">
        <v>4981</v>
      </c>
      <c r="B2116" t="s">
        <v>2353</v>
      </c>
      <c r="C2116" t="s">
        <v>186</v>
      </c>
      <c r="D2116" t="s">
        <v>188</v>
      </c>
      <c r="E2116" s="2">
        <v>41044</v>
      </c>
      <c r="F2116">
        <v>4567</v>
      </c>
      <c r="G2116" t="s">
        <v>1746</v>
      </c>
      <c r="H2116" t="s">
        <v>1798</v>
      </c>
      <c r="I2116" t="b">
        <v>0</v>
      </c>
      <c r="J2116" t="s">
        <v>1748</v>
      </c>
      <c r="K2116" t="s">
        <v>1830</v>
      </c>
      <c r="L2116" t="s">
        <v>2102</v>
      </c>
      <c r="M2116">
        <v>36</v>
      </c>
      <c r="N2116" t="b">
        <v>0</v>
      </c>
      <c r="P2116" t="s">
        <v>2070</v>
      </c>
      <c r="Q2116" t="s">
        <v>1779</v>
      </c>
    </row>
    <row r="2117" spans="1:18" x14ac:dyDescent="0.25">
      <c r="A2117" t="s">
        <v>4982</v>
      </c>
      <c r="B2117" t="s">
        <v>2353</v>
      </c>
      <c r="C2117" t="s">
        <v>4</v>
      </c>
      <c r="D2117" t="s">
        <v>382</v>
      </c>
      <c r="E2117" s="2">
        <v>43328</v>
      </c>
      <c r="F2117">
        <v>2283</v>
      </c>
      <c r="G2117" t="s">
        <v>1746</v>
      </c>
      <c r="H2117" t="s">
        <v>1798</v>
      </c>
      <c r="I2117" t="b">
        <v>0</v>
      </c>
      <c r="J2117" t="s">
        <v>1748</v>
      </c>
      <c r="K2117" t="s">
        <v>1988</v>
      </c>
      <c r="L2117" t="s">
        <v>1766</v>
      </c>
      <c r="M2117">
        <v>36</v>
      </c>
      <c r="N2117" t="b">
        <v>0</v>
      </c>
      <c r="P2117" t="s">
        <v>2070</v>
      </c>
      <c r="Q2117" t="s">
        <v>1753</v>
      </c>
    </row>
    <row r="2118" spans="1:18" x14ac:dyDescent="0.25">
      <c r="A2118" t="s">
        <v>4984</v>
      </c>
      <c r="B2118" t="s">
        <v>1907</v>
      </c>
      <c r="C2118" t="s">
        <v>6</v>
      </c>
      <c r="D2118" t="s">
        <v>4983</v>
      </c>
      <c r="E2118" s="2">
        <v>44014</v>
      </c>
      <c r="F2118">
        <v>1597</v>
      </c>
      <c r="G2118" t="s">
        <v>1746</v>
      </c>
      <c r="H2118" t="s">
        <v>1747</v>
      </c>
      <c r="I2118" t="b">
        <v>0</v>
      </c>
      <c r="J2118" t="s">
        <v>1748</v>
      </c>
      <c r="K2118" t="s">
        <v>1846</v>
      </c>
      <c r="L2118" t="s">
        <v>1750</v>
      </c>
      <c r="M2118">
        <v>36</v>
      </c>
      <c r="N2118" t="b">
        <v>1</v>
      </c>
      <c r="O2118">
        <v>82</v>
      </c>
      <c r="P2118" t="s">
        <v>1752</v>
      </c>
      <c r="Q2118" t="s">
        <v>1753</v>
      </c>
      <c r="R2118" t="s">
        <v>2028</v>
      </c>
    </row>
    <row r="2119" spans="1:18" x14ac:dyDescent="0.25">
      <c r="A2119" t="s">
        <v>4985</v>
      </c>
      <c r="B2119" t="s">
        <v>2353</v>
      </c>
      <c r="C2119" t="s">
        <v>4</v>
      </c>
      <c r="D2119" t="s">
        <v>467</v>
      </c>
      <c r="E2119" s="2">
        <v>44811</v>
      </c>
      <c r="F2119">
        <v>800</v>
      </c>
      <c r="G2119" t="s">
        <v>1833</v>
      </c>
      <c r="H2119" t="s">
        <v>1798</v>
      </c>
      <c r="I2119" t="b">
        <v>0</v>
      </c>
      <c r="J2119" t="s">
        <v>1761</v>
      </c>
      <c r="K2119" t="s">
        <v>1853</v>
      </c>
      <c r="L2119" t="s">
        <v>1750</v>
      </c>
      <c r="M2119">
        <v>36</v>
      </c>
      <c r="N2119" t="b">
        <v>1</v>
      </c>
      <c r="O2119">
        <v>199</v>
      </c>
      <c r="P2119" t="s">
        <v>1752</v>
      </c>
      <c r="Q2119" t="s">
        <v>1753</v>
      </c>
      <c r="R2119" t="s">
        <v>1759</v>
      </c>
    </row>
    <row r="2120" spans="1:18" x14ac:dyDescent="0.25">
      <c r="A2120" t="s">
        <v>1252</v>
      </c>
      <c r="B2120" t="s">
        <v>4797</v>
      </c>
      <c r="C2120" t="s">
        <v>1249</v>
      </c>
      <c r="D2120" t="s">
        <v>1253</v>
      </c>
      <c r="E2120" s="2">
        <v>40647</v>
      </c>
      <c r="F2120">
        <v>4964</v>
      </c>
      <c r="G2120" t="s">
        <v>1746</v>
      </c>
      <c r="H2120" t="s">
        <v>1798</v>
      </c>
      <c r="I2120" t="b">
        <v>0</v>
      </c>
      <c r="J2120" t="s">
        <v>1761</v>
      </c>
      <c r="K2120" t="s">
        <v>1824</v>
      </c>
      <c r="L2120" t="s">
        <v>1750</v>
      </c>
      <c r="M2120">
        <v>36</v>
      </c>
      <c r="N2120" t="b">
        <v>1</v>
      </c>
      <c r="O2120">
        <v>40</v>
      </c>
      <c r="P2120" t="s">
        <v>1819</v>
      </c>
      <c r="Q2120" t="s">
        <v>1753</v>
      </c>
      <c r="R2120" t="s">
        <v>1759</v>
      </c>
    </row>
    <row r="2121" spans="1:18" x14ac:dyDescent="0.25">
      <c r="A2121" t="s">
        <v>4987</v>
      </c>
      <c r="B2121" t="s">
        <v>1785</v>
      </c>
      <c r="C2121" t="s">
        <v>6</v>
      </c>
      <c r="D2121" t="s">
        <v>4986</v>
      </c>
      <c r="E2121" s="2">
        <v>39248</v>
      </c>
      <c r="F2121">
        <v>6363</v>
      </c>
      <c r="G2121" t="s">
        <v>1746</v>
      </c>
      <c r="H2121" t="s">
        <v>1805</v>
      </c>
      <c r="I2121" t="b">
        <v>1</v>
      </c>
      <c r="J2121" t="s">
        <v>1761</v>
      </c>
      <c r="K2121" t="s">
        <v>1824</v>
      </c>
      <c r="L2121" t="s">
        <v>1750</v>
      </c>
      <c r="M2121">
        <v>36</v>
      </c>
      <c r="N2121" t="b">
        <v>0</v>
      </c>
      <c r="O2121">
        <v>250</v>
      </c>
      <c r="P2121" t="s">
        <v>1752</v>
      </c>
      <c r="Q2121" t="s">
        <v>1753</v>
      </c>
    </row>
    <row r="2122" spans="1:18" x14ac:dyDescent="0.25">
      <c r="A2122" t="s">
        <v>4989</v>
      </c>
      <c r="B2122" t="s">
        <v>1704</v>
      </c>
      <c r="C2122" t="s">
        <v>4</v>
      </c>
      <c r="D2122" t="s">
        <v>4988</v>
      </c>
      <c r="E2122" s="2">
        <v>43088</v>
      </c>
      <c r="F2122">
        <v>2523</v>
      </c>
      <c r="G2122" t="s">
        <v>1746</v>
      </c>
      <c r="H2122" t="s">
        <v>1798</v>
      </c>
      <c r="I2122" t="b">
        <v>0</v>
      </c>
      <c r="J2122" t="s">
        <v>1761</v>
      </c>
      <c r="K2122" t="s">
        <v>1824</v>
      </c>
      <c r="L2122" t="s">
        <v>1750</v>
      </c>
      <c r="M2122">
        <v>36</v>
      </c>
      <c r="N2122" t="b">
        <v>1</v>
      </c>
      <c r="O2122">
        <v>601</v>
      </c>
      <c r="P2122" t="s">
        <v>1752</v>
      </c>
      <c r="Q2122" t="s">
        <v>1753</v>
      </c>
      <c r="R2122" t="s">
        <v>2092</v>
      </c>
    </row>
    <row r="2123" spans="1:18" x14ac:dyDescent="0.25">
      <c r="A2123" t="s">
        <v>4991</v>
      </c>
      <c r="B2123" t="s">
        <v>2150</v>
      </c>
      <c r="C2123" t="s">
        <v>4</v>
      </c>
      <c r="D2123" t="s">
        <v>4990</v>
      </c>
      <c r="E2123" s="2">
        <v>44747</v>
      </c>
      <c r="F2123">
        <v>864</v>
      </c>
      <c r="G2123" t="s">
        <v>1746</v>
      </c>
      <c r="H2123" t="s">
        <v>1747</v>
      </c>
      <c r="I2123" t="b">
        <v>0</v>
      </c>
      <c r="J2123" t="s">
        <v>1761</v>
      </c>
      <c r="K2123" t="s">
        <v>1776</v>
      </c>
      <c r="L2123" t="s">
        <v>1750</v>
      </c>
      <c r="M2123">
        <v>36</v>
      </c>
      <c r="N2123" t="b">
        <v>1</v>
      </c>
      <c r="O2123">
        <v>364</v>
      </c>
      <c r="P2123" t="s">
        <v>1752</v>
      </c>
      <c r="Q2123" t="s">
        <v>1753</v>
      </c>
      <c r="R2123" t="s">
        <v>2028</v>
      </c>
    </row>
    <row r="2124" spans="1:18" x14ac:dyDescent="0.25">
      <c r="A2124" t="s">
        <v>4992</v>
      </c>
      <c r="B2124" t="s">
        <v>1876</v>
      </c>
      <c r="C2124" t="s">
        <v>4</v>
      </c>
      <c r="D2124" t="s">
        <v>232</v>
      </c>
      <c r="E2124" s="2">
        <v>42864</v>
      </c>
      <c r="F2124">
        <v>2747</v>
      </c>
      <c r="G2124" t="s">
        <v>1746</v>
      </c>
      <c r="H2124" t="s">
        <v>1747</v>
      </c>
      <c r="I2124" t="b">
        <v>0</v>
      </c>
      <c r="J2124" t="s">
        <v>1748</v>
      </c>
      <c r="K2124" t="s">
        <v>1913</v>
      </c>
      <c r="L2124" t="s">
        <v>1750</v>
      </c>
      <c r="M2124">
        <v>36</v>
      </c>
      <c r="N2124" t="b">
        <v>0</v>
      </c>
      <c r="O2124">
        <v>146</v>
      </c>
      <c r="P2124" t="s">
        <v>1752</v>
      </c>
      <c r="Q2124" t="s">
        <v>1753</v>
      </c>
    </row>
    <row r="2125" spans="1:18" x14ac:dyDescent="0.25">
      <c r="A2125" t="s">
        <v>4994</v>
      </c>
      <c r="B2125" t="s">
        <v>2277</v>
      </c>
      <c r="C2125" t="s">
        <v>4</v>
      </c>
      <c r="D2125" t="s">
        <v>4993</v>
      </c>
      <c r="E2125" s="2">
        <v>43269</v>
      </c>
      <c r="F2125">
        <v>2342</v>
      </c>
      <c r="G2125" t="s">
        <v>1746</v>
      </c>
      <c r="H2125" t="s">
        <v>1747</v>
      </c>
      <c r="I2125" t="b">
        <v>0</v>
      </c>
      <c r="J2125" t="s">
        <v>1748</v>
      </c>
      <c r="K2125" t="s">
        <v>1913</v>
      </c>
      <c r="L2125" t="s">
        <v>1750</v>
      </c>
      <c r="M2125">
        <v>36</v>
      </c>
      <c r="N2125" t="b">
        <v>0</v>
      </c>
      <c r="O2125">
        <v>41</v>
      </c>
      <c r="P2125" t="s">
        <v>1752</v>
      </c>
      <c r="Q2125" t="s">
        <v>1753</v>
      </c>
    </row>
    <row r="2126" spans="1:18" x14ac:dyDescent="0.25">
      <c r="A2126" t="s">
        <v>4995</v>
      </c>
      <c r="B2126" t="s">
        <v>2799</v>
      </c>
      <c r="C2126" t="s">
        <v>6</v>
      </c>
      <c r="D2126" t="s">
        <v>850</v>
      </c>
      <c r="E2126" s="2">
        <v>42486</v>
      </c>
      <c r="F2126">
        <v>3125</v>
      </c>
      <c r="G2126" t="s">
        <v>1746</v>
      </c>
      <c r="H2126" t="s">
        <v>1798</v>
      </c>
      <c r="I2126" t="b">
        <v>0</v>
      </c>
      <c r="J2126" t="s">
        <v>1761</v>
      </c>
      <c r="K2126" t="s">
        <v>1755</v>
      </c>
      <c r="L2126" t="s">
        <v>1817</v>
      </c>
      <c r="M2126">
        <v>36</v>
      </c>
      <c r="N2126" t="b">
        <v>1</v>
      </c>
      <c r="O2126">
        <v>2261</v>
      </c>
      <c r="P2126" t="s">
        <v>1819</v>
      </c>
      <c r="Q2126" t="s">
        <v>1753</v>
      </c>
      <c r="R2126" t="s">
        <v>1759</v>
      </c>
    </row>
    <row r="2127" spans="1:18" x14ac:dyDescent="0.25">
      <c r="A2127" t="s">
        <v>4996</v>
      </c>
      <c r="B2127" t="s">
        <v>1876</v>
      </c>
      <c r="C2127" t="s">
        <v>4</v>
      </c>
      <c r="D2127" t="s">
        <v>285</v>
      </c>
      <c r="E2127" s="2">
        <v>45118</v>
      </c>
      <c r="F2127">
        <v>493</v>
      </c>
      <c r="G2127" t="s">
        <v>1746</v>
      </c>
      <c r="H2127" t="s">
        <v>1747</v>
      </c>
      <c r="I2127" t="b">
        <v>0</v>
      </c>
      <c r="J2127" t="s">
        <v>1761</v>
      </c>
      <c r="K2127" t="s">
        <v>1856</v>
      </c>
      <c r="L2127" t="s">
        <v>1766</v>
      </c>
      <c r="M2127">
        <v>36</v>
      </c>
      <c r="N2127" t="b">
        <v>0</v>
      </c>
      <c r="P2127" t="s">
        <v>1752</v>
      </c>
      <c r="Q2127" t="s">
        <v>1753</v>
      </c>
    </row>
    <row r="2128" spans="1:18" x14ac:dyDescent="0.25">
      <c r="A2128" t="s">
        <v>4997</v>
      </c>
      <c r="B2128" t="s">
        <v>2035</v>
      </c>
      <c r="C2128" t="s">
        <v>6</v>
      </c>
      <c r="D2128" t="s">
        <v>939</v>
      </c>
      <c r="E2128" s="2">
        <v>38947</v>
      </c>
      <c r="F2128">
        <v>6664</v>
      </c>
      <c r="G2128" t="s">
        <v>1746</v>
      </c>
      <c r="H2128" t="s">
        <v>1798</v>
      </c>
      <c r="I2128" t="b">
        <v>0</v>
      </c>
      <c r="J2128" t="s">
        <v>1748</v>
      </c>
      <c r="K2128" t="s">
        <v>1853</v>
      </c>
      <c r="L2128" t="s">
        <v>1766</v>
      </c>
      <c r="M2128">
        <v>35</v>
      </c>
      <c r="N2128" t="b">
        <v>0</v>
      </c>
      <c r="P2128" t="s">
        <v>1752</v>
      </c>
      <c r="Q2128" t="s">
        <v>1753</v>
      </c>
      <c r="R2128" t="s">
        <v>1828</v>
      </c>
    </row>
    <row r="2129" spans="1:18" x14ac:dyDescent="0.25">
      <c r="A2129" t="s">
        <v>4998</v>
      </c>
      <c r="B2129" t="s">
        <v>2035</v>
      </c>
      <c r="C2129" t="s">
        <v>6</v>
      </c>
      <c r="D2129" t="s">
        <v>26</v>
      </c>
      <c r="E2129" s="2">
        <v>40189</v>
      </c>
      <c r="F2129">
        <v>5422</v>
      </c>
      <c r="G2129" t="s">
        <v>1746</v>
      </c>
      <c r="H2129" t="s">
        <v>1798</v>
      </c>
      <c r="I2129" t="b">
        <v>0</v>
      </c>
      <c r="J2129" t="s">
        <v>1761</v>
      </c>
      <c r="K2129" t="s">
        <v>1853</v>
      </c>
      <c r="L2129" t="s">
        <v>1766</v>
      </c>
      <c r="M2129">
        <v>35</v>
      </c>
      <c r="N2129" t="b">
        <v>0</v>
      </c>
      <c r="P2129" t="s">
        <v>2266</v>
      </c>
      <c r="Q2129" t="s">
        <v>1753</v>
      </c>
      <c r="R2129" t="s">
        <v>1828</v>
      </c>
    </row>
    <row r="2130" spans="1:18" x14ac:dyDescent="0.25">
      <c r="A2130" t="s">
        <v>5000</v>
      </c>
      <c r="B2130" t="s">
        <v>3167</v>
      </c>
      <c r="C2130" t="s">
        <v>4</v>
      </c>
      <c r="D2130" t="s">
        <v>4999</v>
      </c>
      <c r="E2130" s="2">
        <v>45373</v>
      </c>
      <c r="F2130">
        <v>238</v>
      </c>
      <c r="G2130" t="s">
        <v>1833</v>
      </c>
      <c r="H2130" t="s">
        <v>1747</v>
      </c>
      <c r="I2130" t="b">
        <v>0</v>
      </c>
      <c r="J2130" t="s">
        <v>1761</v>
      </c>
      <c r="K2130" t="s">
        <v>1880</v>
      </c>
      <c r="L2130" t="s">
        <v>1750</v>
      </c>
      <c r="M2130">
        <v>35</v>
      </c>
      <c r="N2130" t="b">
        <v>1</v>
      </c>
      <c r="O2130">
        <v>158</v>
      </c>
      <c r="P2130" t="s">
        <v>1752</v>
      </c>
      <c r="Q2130" t="s">
        <v>1753</v>
      </c>
    </row>
    <row r="2131" spans="1:18" x14ac:dyDescent="0.25">
      <c r="A2131" t="s">
        <v>5001</v>
      </c>
      <c r="B2131" t="s">
        <v>1945</v>
      </c>
      <c r="C2131" t="s">
        <v>6</v>
      </c>
      <c r="D2131" t="s">
        <v>143</v>
      </c>
      <c r="E2131" s="2">
        <v>42528</v>
      </c>
      <c r="F2131">
        <v>3083</v>
      </c>
      <c r="G2131" t="s">
        <v>1746</v>
      </c>
      <c r="H2131" t="s">
        <v>1798</v>
      </c>
      <c r="I2131" t="b">
        <v>0</v>
      </c>
      <c r="J2131" t="s">
        <v>1748</v>
      </c>
      <c r="K2131" t="s">
        <v>1879</v>
      </c>
      <c r="L2131" t="s">
        <v>1766</v>
      </c>
      <c r="M2131">
        <v>35</v>
      </c>
      <c r="N2131" t="b">
        <v>1</v>
      </c>
      <c r="P2131" t="s">
        <v>1752</v>
      </c>
      <c r="Q2131" t="s">
        <v>1753</v>
      </c>
      <c r="R2131" t="s">
        <v>1828</v>
      </c>
    </row>
    <row r="2132" spans="1:18" x14ac:dyDescent="0.25">
      <c r="A2132" t="s">
        <v>5002</v>
      </c>
      <c r="B2132" t="s">
        <v>2353</v>
      </c>
      <c r="C2132" t="s">
        <v>186</v>
      </c>
      <c r="D2132" t="s">
        <v>190</v>
      </c>
      <c r="E2132" s="2">
        <v>41096</v>
      </c>
      <c r="F2132">
        <v>4515</v>
      </c>
      <c r="G2132" t="s">
        <v>1746</v>
      </c>
      <c r="H2132" t="s">
        <v>1747</v>
      </c>
      <c r="I2132" t="b">
        <v>0</v>
      </c>
      <c r="J2132" t="s">
        <v>1748</v>
      </c>
      <c r="K2132" t="s">
        <v>1830</v>
      </c>
      <c r="L2132" t="s">
        <v>2102</v>
      </c>
      <c r="M2132">
        <v>35</v>
      </c>
      <c r="N2132" t="b">
        <v>0</v>
      </c>
      <c r="P2132" t="s">
        <v>2070</v>
      </c>
      <c r="Q2132" t="s">
        <v>1779</v>
      </c>
    </row>
    <row r="2133" spans="1:18" x14ac:dyDescent="0.25">
      <c r="A2133" t="s">
        <v>5004</v>
      </c>
      <c r="B2133" t="s">
        <v>2620</v>
      </c>
      <c r="C2133" t="s">
        <v>4</v>
      </c>
      <c r="D2133" t="s">
        <v>5003</v>
      </c>
      <c r="E2133" s="2">
        <v>44041</v>
      </c>
      <c r="F2133">
        <v>1570</v>
      </c>
      <c r="G2133" t="s">
        <v>1746</v>
      </c>
      <c r="H2133" t="s">
        <v>1798</v>
      </c>
      <c r="I2133" t="b">
        <v>1</v>
      </c>
      <c r="J2133" t="s">
        <v>1748</v>
      </c>
      <c r="K2133" t="s">
        <v>1853</v>
      </c>
      <c r="L2133" t="s">
        <v>1750</v>
      </c>
      <c r="M2133">
        <v>35</v>
      </c>
      <c r="N2133" t="b">
        <v>0</v>
      </c>
      <c r="O2133">
        <v>25</v>
      </c>
      <c r="P2133" t="s">
        <v>1752</v>
      </c>
      <c r="Q2133" t="s">
        <v>1753</v>
      </c>
    </row>
    <row r="2134" spans="1:18" x14ac:dyDescent="0.25">
      <c r="A2134" t="s">
        <v>5005</v>
      </c>
      <c r="B2134" t="s">
        <v>1876</v>
      </c>
      <c r="C2134" t="s">
        <v>4</v>
      </c>
      <c r="D2134" t="s">
        <v>281</v>
      </c>
      <c r="E2134" s="2">
        <v>44537</v>
      </c>
      <c r="F2134">
        <v>1074</v>
      </c>
      <c r="G2134" t="s">
        <v>1746</v>
      </c>
      <c r="H2134" t="s">
        <v>1747</v>
      </c>
      <c r="I2134" t="b">
        <v>0</v>
      </c>
      <c r="J2134" t="s">
        <v>1748</v>
      </c>
      <c r="K2134" t="s">
        <v>2042</v>
      </c>
      <c r="L2134" t="s">
        <v>1750</v>
      </c>
      <c r="M2134">
        <v>35</v>
      </c>
      <c r="N2134" t="b">
        <v>0</v>
      </c>
      <c r="O2134">
        <v>39</v>
      </c>
      <c r="P2134" t="s">
        <v>1752</v>
      </c>
      <c r="Q2134" t="s">
        <v>1753</v>
      </c>
      <c r="R2134" t="s">
        <v>1759</v>
      </c>
    </row>
    <row r="2135" spans="1:18" x14ac:dyDescent="0.25">
      <c r="A2135" t="s">
        <v>5007</v>
      </c>
      <c r="B2135" t="s">
        <v>2011</v>
      </c>
      <c r="C2135" t="s">
        <v>4</v>
      </c>
      <c r="D2135" t="s">
        <v>5006</v>
      </c>
      <c r="E2135" s="2">
        <v>45530</v>
      </c>
      <c r="F2135">
        <v>81</v>
      </c>
      <c r="G2135" t="s">
        <v>1746</v>
      </c>
      <c r="H2135" t="s">
        <v>1747</v>
      </c>
      <c r="I2135" t="b">
        <v>0</v>
      </c>
      <c r="J2135" t="s">
        <v>1748</v>
      </c>
      <c r="K2135" t="s">
        <v>1770</v>
      </c>
      <c r="L2135" t="s">
        <v>1750</v>
      </c>
      <c r="M2135">
        <v>35</v>
      </c>
      <c r="N2135" t="b">
        <v>1</v>
      </c>
      <c r="O2135">
        <v>123</v>
      </c>
      <c r="P2135" t="s">
        <v>1752</v>
      </c>
      <c r="Q2135" t="s">
        <v>1753</v>
      </c>
    </row>
    <row r="2136" spans="1:18" x14ac:dyDescent="0.25">
      <c r="A2136" t="s">
        <v>5008</v>
      </c>
      <c r="B2136" t="s">
        <v>1998</v>
      </c>
      <c r="C2136" t="s">
        <v>4</v>
      </c>
      <c r="D2136" t="s">
        <v>1104</v>
      </c>
      <c r="E2136" s="2">
        <v>42852</v>
      </c>
      <c r="F2136">
        <v>2759</v>
      </c>
      <c r="G2136" t="s">
        <v>1746</v>
      </c>
      <c r="H2136" t="s">
        <v>1747</v>
      </c>
      <c r="I2136" t="b">
        <v>1</v>
      </c>
      <c r="J2136" t="s">
        <v>1761</v>
      </c>
      <c r="K2136" t="s">
        <v>1776</v>
      </c>
      <c r="L2136" t="s">
        <v>1756</v>
      </c>
      <c r="M2136">
        <v>35</v>
      </c>
      <c r="N2136" t="b">
        <v>0</v>
      </c>
      <c r="O2136">
        <v>1959</v>
      </c>
      <c r="P2136" t="s">
        <v>1752</v>
      </c>
      <c r="Q2136" t="s">
        <v>1753</v>
      </c>
    </row>
    <row r="2137" spans="1:18" x14ac:dyDescent="0.25">
      <c r="A2137" t="s">
        <v>121</v>
      </c>
      <c r="B2137" t="s">
        <v>3896</v>
      </c>
      <c r="C2137" t="s">
        <v>6</v>
      </c>
      <c r="D2137" t="s">
        <v>122</v>
      </c>
      <c r="E2137" s="2">
        <v>40492</v>
      </c>
      <c r="F2137">
        <v>5119</v>
      </c>
      <c r="G2137" t="s">
        <v>1746</v>
      </c>
      <c r="H2137" t="s">
        <v>1747</v>
      </c>
      <c r="I2137" t="b">
        <v>1</v>
      </c>
      <c r="J2137" t="s">
        <v>1761</v>
      </c>
      <c r="K2137" t="s">
        <v>1985</v>
      </c>
      <c r="L2137" t="s">
        <v>1750</v>
      </c>
      <c r="M2137">
        <v>35</v>
      </c>
      <c r="N2137" t="b">
        <v>0</v>
      </c>
      <c r="O2137">
        <v>95</v>
      </c>
      <c r="P2137" t="s">
        <v>1819</v>
      </c>
      <c r="Q2137" t="s">
        <v>1753</v>
      </c>
    </row>
    <row r="2138" spans="1:18" x14ac:dyDescent="0.25">
      <c r="A2138" t="s">
        <v>5010</v>
      </c>
      <c r="B2138" t="s">
        <v>1704</v>
      </c>
      <c r="C2138" t="s">
        <v>4</v>
      </c>
      <c r="D2138" t="s">
        <v>5009</v>
      </c>
      <c r="E2138" s="2">
        <v>45323</v>
      </c>
      <c r="F2138">
        <v>288</v>
      </c>
      <c r="G2138" t="s">
        <v>1746</v>
      </c>
      <c r="H2138" t="s">
        <v>1747</v>
      </c>
      <c r="I2138" t="b">
        <v>0</v>
      </c>
      <c r="J2138" t="s">
        <v>1761</v>
      </c>
      <c r="K2138" t="s">
        <v>1770</v>
      </c>
      <c r="L2138" t="s">
        <v>1750</v>
      </c>
      <c r="M2138">
        <v>35</v>
      </c>
      <c r="N2138" t="b">
        <v>1</v>
      </c>
      <c r="O2138">
        <v>326</v>
      </c>
      <c r="P2138" t="s">
        <v>1752</v>
      </c>
      <c r="Q2138" t="s">
        <v>1753</v>
      </c>
      <c r="R2138" t="s">
        <v>1759</v>
      </c>
    </row>
    <row r="2139" spans="1:18" x14ac:dyDescent="0.25">
      <c r="A2139" t="s">
        <v>5012</v>
      </c>
      <c r="B2139" t="s">
        <v>2150</v>
      </c>
      <c r="C2139" t="s">
        <v>6</v>
      </c>
      <c r="D2139" t="s">
        <v>5011</v>
      </c>
      <c r="E2139" s="2">
        <v>44292</v>
      </c>
      <c r="F2139">
        <v>1319</v>
      </c>
      <c r="G2139" t="s">
        <v>1746</v>
      </c>
      <c r="H2139" t="s">
        <v>1805</v>
      </c>
      <c r="I2139" t="b">
        <v>0</v>
      </c>
      <c r="J2139" t="s">
        <v>1761</v>
      </c>
      <c r="K2139" t="s">
        <v>1755</v>
      </c>
      <c r="L2139" t="s">
        <v>1817</v>
      </c>
      <c r="M2139">
        <v>35</v>
      </c>
      <c r="N2139" t="b">
        <v>0</v>
      </c>
      <c r="O2139">
        <v>88</v>
      </c>
      <c r="P2139" t="s">
        <v>1819</v>
      </c>
      <c r="Q2139" t="s">
        <v>1753</v>
      </c>
      <c r="R2139" t="s">
        <v>1759</v>
      </c>
    </row>
    <row r="2140" spans="1:18" x14ac:dyDescent="0.25">
      <c r="A2140" t="s">
        <v>5014</v>
      </c>
      <c r="B2140" t="s">
        <v>2085</v>
      </c>
      <c r="C2140" t="s">
        <v>4</v>
      </c>
      <c r="D2140" t="s">
        <v>5013</v>
      </c>
      <c r="E2140" s="2">
        <v>43164</v>
      </c>
      <c r="F2140">
        <v>2447</v>
      </c>
      <c r="G2140" t="s">
        <v>1746</v>
      </c>
      <c r="H2140" t="s">
        <v>1747</v>
      </c>
      <c r="I2140" t="b">
        <v>1</v>
      </c>
      <c r="J2140" t="s">
        <v>1761</v>
      </c>
      <c r="K2140" t="s">
        <v>1880</v>
      </c>
      <c r="L2140" t="s">
        <v>1756</v>
      </c>
      <c r="M2140">
        <v>35</v>
      </c>
      <c r="N2140" t="b">
        <v>0</v>
      </c>
      <c r="O2140">
        <v>214</v>
      </c>
      <c r="P2140" t="s">
        <v>1752</v>
      </c>
      <c r="Q2140" t="s">
        <v>1753</v>
      </c>
    </row>
    <row r="2141" spans="1:18" x14ac:dyDescent="0.25">
      <c r="A2141" t="s">
        <v>5016</v>
      </c>
      <c r="B2141" t="s">
        <v>2150</v>
      </c>
      <c r="C2141" t="s">
        <v>6</v>
      </c>
      <c r="D2141" t="s">
        <v>5015</v>
      </c>
      <c r="E2141" s="2">
        <v>44867</v>
      </c>
      <c r="F2141">
        <v>744</v>
      </c>
      <c r="G2141" t="s">
        <v>1746</v>
      </c>
      <c r="H2141" t="s">
        <v>1805</v>
      </c>
      <c r="I2141" t="b">
        <v>1</v>
      </c>
      <c r="J2141" t="s">
        <v>1761</v>
      </c>
      <c r="K2141" t="s">
        <v>1985</v>
      </c>
      <c r="L2141" t="s">
        <v>1750</v>
      </c>
      <c r="M2141">
        <v>35</v>
      </c>
      <c r="N2141" t="b">
        <v>0</v>
      </c>
      <c r="O2141">
        <v>12</v>
      </c>
      <c r="P2141" t="s">
        <v>1819</v>
      </c>
      <c r="Q2141" t="s">
        <v>1753</v>
      </c>
    </row>
    <row r="2142" spans="1:18" x14ac:dyDescent="0.25">
      <c r="A2142" t="s">
        <v>5018</v>
      </c>
      <c r="B2142" t="s">
        <v>2585</v>
      </c>
      <c r="C2142" t="s">
        <v>4</v>
      </c>
      <c r="D2142" t="s">
        <v>5017</v>
      </c>
      <c r="E2142" s="2">
        <v>43893</v>
      </c>
      <c r="F2142">
        <v>1718</v>
      </c>
      <c r="G2142" t="s">
        <v>1746</v>
      </c>
      <c r="H2142" t="s">
        <v>1747</v>
      </c>
      <c r="I2142" t="b">
        <v>0</v>
      </c>
      <c r="J2142" t="s">
        <v>1761</v>
      </c>
      <c r="K2142" t="s">
        <v>2021</v>
      </c>
      <c r="L2142" t="s">
        <v>1756</v>
      </c>
      <c r="M2142">
        <v>34</v>
      </c>
      <c r="N2142" t="b">
        <v>1</v>
      </c>
      <c r="O2142">
        <v>153</v>
      </c>
      <c r="P2142" t="s">
        <v>1752</v>
      </c>
      <c r="Q2142" t="s">
        <v>1753</v>
      </c>
      <c r="R2142" t="s">
        <v>1759</v>
      </c>
    </row>
    <row r="2143" spans="1:18" x14ac:dyDescent="0.25">
      <c r="A2143" t="s">
        <v>5020</v>
      </c>
      <c r="B2143" t="s">
        <v>1907</v>
      </c>
      <c r="C2143" t="s">
        <v>4</v>
      </c>
      <c r="D2143" t="s">
        <v>5019</v>
      </c>
      <c r="E2143" s="2">
        <v>44747</v>
      </c>
      <c r="F2143">
        <v>864</v>
      </c>
      <c r="G2143" t="s">
        <v>1746</v>
      </c>
      <c r="H2143" t="s">
        <v>1798</v>
      </c>
      <c r="I2143" t="b">
        <v>0</v>
      </c>
      <c r="J2143" t="s">
        <v>1748</v>
      </c>
      <c r="K2143" t="s">
        <v>1776</v>
      </c>
      <c r="L2143" t="s">
        <v>1775</v>
      </c>
      <c r="M2143">
        <v>34</v>
      </c>
      <c r="N2143" t="b">
        <v>0</v>
      </c>
      <c r="P2143" t="s">
        <v>1778</v>
      </c>
      <c r="Q2143" t="s">
        <v>1779</v>
      </c>
    </row>
    <row r="2144" spans="1:18" x14ac:dyDescent="0.25">
      <c r="A2144" t="s">
        <v>5022</v>
      </c>
      <c r="B2144" t="s">
        <v>1704</v>
      </c>
      <c r="C2144" t="s">
        <v>572</v>
      </c>
      <c r="D2144" t="s">
        <v>5021</v>
      </c>
      <c r="E2144" s="2">
        <v>45203</v>
      </c>
      <c r="F2144">
        <v>408</v>
      </c>
      <c r="G2144" t="s">
        <v>1746</v>
      </c>
      <c r="H2144" t="s">
        <v>1798</v>
      </c>
      <c r="I2144" t="b">
        <v>0</v>
      </c>
      <c r="J2144" t="s">
        <v>1761</v>
      </c>
      <c r="K2144" t="s">
        <v>1776</v>
      </c>
      <c r="L2144" t="s">
        <v>1750</v>
      </c>
      <c r="M2144">
        <v>34</v>
      </c>
      <c r="N2144" t="b">
        <v>0</v>
      </c>
      <c r="O2144">
        <v>101</v>
      </c>
      <c r="P2144" t="s">
        <v>1752</v>
      </c>
      <c r="Q2144" t="s">
        <v>1753</v>
      </c>
    </row>
    <row r="2145" spans="1:18" x14ac:dyDescent="0.25">
      <c r="A2145" t="s">
        <v>5024</v>
      </c>
      <c r="B2145" t="s">
        <v>2173</v>
      </c>
      <c r="C2145" t="s">
        <v>4</v>
      </c>
      <c r="D2145" t="s">
        <v>5023</v>
      </c>
      <c r="E2145" s="2">
        <v>44020</v>
      </c>
      <c r="F2145">
        <v>1591</v>
      </c>
      <c r="G2145" t="s">
        <v>1746</v>
      </c>
      <c r="H2145" t="s">
        <v>1798</v>
      </c>
      <c r="I2145" t="b">
        <v>0</v>
      </c>
      <c r="J2145" t="s">
        <v>1748</v>
      </c>
      <c r="K2145" t="s">
        <v>1909</v>
      </c>
      <c r="L2145" t="s">
        <v>2102</v>
      </c>
      <c r="M2145">
        <v>34</v>
      </c>
      <c r="N2145" t="b">
        <v>0</v>
      </c>
      <c r="P2145" t="s">
        <v>1752</v>
      </c>
      <c r="Q2145" t="s">
        <v>1753</v>
      </c>
      <c r="R2145" t="s">
        <v>1828</v>
      </c>
    </row>
    <row r="2146" spans="1:18" x14ac:dyDescent="0.25">
      <c r="A2146" t="s">
        <v>5026</v>
      </c>
      <c r="B2146" t="s">
        <v>2144</v>
      </c>
      <c r="C2146" t="s">
        <v>186</v>
      </c>
      <c r="D2146" t="s">
        <v>5025</v>
      </c>
      <c r="E2146" s="2">
        <v>44299</v>
      </c>
      <c r="F2146">
        <v>1312</v>
      </c>
      <c r="G2146" t="s">
        <v>1746</v>
      </c>
      <c r="H2146" t="s">
        <v>1747</v>
      </c>
      <c r="I2146" t="b">
        <v>0</v>
      </c>
      <c r="J2146" t="s">
        <v>1748</v>
      </c>
      <c r="K2146" t="s">
        <v>1884</v>
      </c>
      <c r="L2146" t="s">
        <v>1775</v>
      </c>
      <c r="M2146">
        <v>34</v>
      </c>
      <c r="N2146" t="b">
        <v>0</v>
      </c>
      <c r="P2146" t="s">
        <v>2283</v>
      </c>
      <c r="Q2146" t="s">
        <v>1705</v>
      </c>
    </row>
    <row r="2147" spans="1:18" x14ac:dyDescent="0.25">
      <c r="A2147" t="s">
        <v>5028</v>
      </c>
      <c r="B2147" t="s">
        <v>2662</v>
      </c>
      <c r="C2147" t="s">
        <v>4</v>
      </c>
      <c r="D2147" t="s">
        <v>5027</v>
      </c>
      <c r="E2147" s="2">
        <v>44433</v>
      </c>
      <c r="F2147">
        <v>1178</v>
      </c>
      <c r="G2147" t="s">
        <v>1746</v>
      </c>
      <c r="H2147" t="s">
        <v>1747</v>
      </c>
      <c r="I2147" t="b">
        <v>0</v>
      </c>
      <c r="J2147" t="s">
        <v>1761</v>
      </c>
      <c r="K2147" t="s">
        <v>1822</v>
      </c>
      <c r="L2147" t="s">
        <v>1817</v>
      </c>
      <c r="M2147">
        <v>34</v>
      </c>
      <c r="N2147" t="b">
        <v>1</v>
      </c>
      <c r="O2147">
        <v>7130</v>
      </c>
      <c r="P2147" t="s">
        <v>1819</v>
      </c>
      <c r="Q2147" t="s">
        <v>1753</v>
      </c>
      <c r="R2147" t="s">
        <v>1759</v>
      </c>
    </row>
    <row r="2148" spans="1:18" x14ac:dyDescent="0.25">
      <c r="A2148" t="s">
        <v>5030</v>
      </c>
      <c r="B2148" t="s">
        <v>2173</v>
      </c>
      <c r="C2148" t="s">
        <v>4</v>
      </c>
      <c r="D2148" t="s">
        <v>5029</v>
      </c>
      <c r="E2148" s="2">
        <v>45041</v>
      </c>
      <c r="F2148">
        <v>570</v>
      </c>
      <c r="G2148" t="s">
        <v>1746</v>
      </c>
      <c r="H2148" t="s">
        <v>2231</v>
      </c>
      <c r="I2148" t="b">
        <v>0</v>
      </c>
      <c r="J2148" t="s">
        <v>1748</v>
      </c>
      <c r="K2148" t="s">
        <v>1846</v>
      </c>
      <c r="L2148" t="s">
        <v>1750</v>
      </c>
      <c r="M2148">
        <v>34</v>
      </c>
      <c r="N2148" t="b">
        <v>1</v>
      </c>
      <c r="O2148">
        <v>98</v>
      </c>
      <c r="P2148" t="s">
        <v>1752</v>
      </c>
      <c r="Q2148" t="s">
        <v>1753</v>
      </c>
    </row>
    <row r="2149" spans="1:18" x14ac:dyDescent="0.25">
      <c r="A2149" t="s">
        <v>5032</v>
      </c>
      <c r="B2149" t="s">
        <v>2483</v>
      </c>
      <c r="C2149" t="s">
        <v>4</v>
      </c>
      <c r="D2149" t="s">
        <v>5031</v>
      </c>
      <c r="E2149" s="2">
        <v>45432</v>
      </c>
      <c r="F2149">
        <v>179</v>
      </c>
      <c r="G2149" t="s">
        <v>1833</v>
      </c>
      <c r="H2149" t="s">
        <v>1747</v>
      </c>
      <c r="I2149" t="b">
        <v>0</v>
      </c>
      <c r="J2149" t="s">
        <v>1748</v>
      </c>
      <c r="K2149" t="s">
        <v>2219</v>
      </c>
      <c r="L2149" t="s">
        <v>1750</v>
      </c>
      <c r="M2149">
        <v>34</v>
      </c>
      <c r="N2149" t="b">
        <v>0</v>
      </c>
      <c r="P2149" t="s">
        <v>1752</v>
      </c>
      <c r="Q2149" t="s">
        <v>1753</v>
      </c>
    </row>
    <row r="2150" spans="1:18" x14ac:dyDescent="0.25">
      <c r="A2150" t="s">
        <v>5033</v>
      </c>
      <c r="B2150" t="s">
        <v>1945</v>
      </c>
      <c r="C2150" t="s">
        <v>6</v>
      </c>
      <c r="D2150" t="s">
        <v>30</v>
      </c>
      <c r="E2150" s="2">
        <v>40078</v>
      </c>
      <c r="F2150">
        <v>5533</v>
      </c>
      <c r="G2150" t="s">
        <v>1746</v>
      </c>
      <c r="H2150" t="s">
        <v>1798</v>
      </c>
      <c r="I2150" t="b">
        <v>1</v>
      </c>
      <c r="J2150" t="s">
        <v>1748</v>
      </c>
      <c r="K2150" t="s">
        <v>1880</v>
      </c>
      <c r="L2150" t="s">
        <v>1750</v>
      </c>
      <c r="M2150">
        <v>34</v>
      </c>
      <c r="N2150" t="b">
        <v>1</v>
      </c>
      <c r="O2150">
        <v>22</v>
      </c>
      <c r="P2150" t="s">
        <v>1752</v>
      </c>
      <c r="Q2150" t="s">
        <v>1753</v>
      </c>
      <c r="R2150" t="s">
        <v>1759</v>
      </c>
    </row>
    <row r="2151" spans="1:18" x14ac:dyDescent="0.25">
      <c r="A2151" t="s">
        <v>5035</v>
      </c>
      <c r="B2151" t="s">
        <v>3294</v>
      </c>
      <c r="C2151" t="s">
        <v>4</v>
      </c>
      <c r="D2151" t="s">
        <v>5034</v>
      </c>
      <c r="E2151" s="2">
        <v>45230</v>
      </c>
      <c r="F2151">
        <v>381</v>
      </c>
      <c r="G2151" t="s">
        <v>1833</v>
      </c>
      <c r="H2151" t="s">
        <v>1798</v>
      </c>
      <c r="I2151" t="b">
        <v>0</v>
      </c>
      <c r="J2151" t="s">
        <v>1748</v>
      </c>
      <c r="K2151" t="s">
        <v>1770</v>
      </c>
      <c r="L2151" t="s">
        <v>1750</v>
      </c>
      <c r="M2151">
        <v>34</v>
      </c>
      <c r="N2151" t="b">
        <v>1</v>
      </c>
      <c r="P2151" t="s">
        <v>1819</v>
      </c>
      <c r="Q2151" t="s">
        <v>1753</v>
      </c>
      <c r="R2151" t="s">
        <v>1828</v>
      </c>
    </row>
    <row r="2152" spans="1:18" x14ac:dyDescent="0.25">
      <c r="A2152" t="s">
        <v>5037</v>
      </c>
      <c r="B2152" t="s">
        <v>2235</v>
      </c>
      <c r="C2152" t="s">
        <v>4</v>
      </c>
      <c r="D2152" t="s">
        <v>5036</v>
      </c>
      <c r="E2152" s="2">
        <v>44740</v>
      </c>
      <c r="F2152">
        <v>871</v>
      </c>
      <c r="G2152" t="s">
        <v>1746</v>
      </c>
      <c r="H2152" t="s">
        <v>1747</v>
      </c>
      <c r="I2152" t="b">
        <v>0</v>
      </c>
      <c r="J2152" t="s">
        <v>1748</v>
      </c>
      <c r="K2152" t="s">
        <v>2021</v>
      </c>
      <c r="L2152" t="s">
        <v>1750</v>
      </c>
      <c r="M2152">
        <v>34</v>
      </c>
      <c r="N2152" t="b">
        <v>1</v>
      </c>
      <c r="O2152">
        <v>84</v>
      </c>
      <c r="P2152" t="s">
        <v>1752</v>
      </c>
      <c r="Q2152" t="s">
        <v>1753</v>
      </c>
      <c r="R2152" t="s">
        <v>1759</v>
      </c>
    </row>
    <row r="2153" spans="1:18" x14ac:dyDescent="0.25">
      <c r="A2153" t="s">
        <v>5039</v>
      </c>
      <c r="B2153" t="s">
        <v>2173</v>
      </c>
      <c r="C2153" t="s">
        <v>4</v>
      </c>
      <c r="D2153" t="s">
        <v>5038</v>
      </c>
      <c r="E2153" s="2">
        <v>42277</v>
      </c>
      <c r="F2153">
        <v>3334</v>
      </c>
      <c r="G2153" t="s">
        <v>1746</v>
      </c>
      <c r="H2153" t="s">
        <v>1747</v>
      </c>
      <c r="I2153" t="b">
        <v>1</v>
      </c>
      <c r="J2153" t="s">
        <v>1748</v>
      </c>
      <c r="K2153" t="s">
        <v>1857</v>
      </c>
      <c r="L2153" t="s">
        <v>1750</v>
      </c>
      <c r="M2153">
        <v>34</v>
      </c>
      <c r="N2153" t="b">
        <v>0</v>
      </c>
      <c r="O2153">
        <v>57</v>
      </c>
      <c r="P2153" t="s">
        <v>1752</v>
      </c>
      <c r="Q2153" t="s">
        <v>1753</v>
      </c>
    </row>
    <row r="2154" spans="1:18" x14ac:dyDescent="0.25">
      <c r="A2154" t="s">
        <v>5041</v>
      </c>
      <c r="B2154" t="s">
        <v>1803</v>
      </c>
      <c r="C2154" t="s">
        <v>4</v>
      </c>
      <c r="D2154" t="s">
        <v>5040</v>
      </c>
      <c r="E2154" s="2">
        <v>43410</v>
      </c>
      <c r="F2154">
        <v>2201</v>
      </c>
      <c r="G2154" t="s">
        <v>1746</v>
      </c>
      <c r="H2154" t="s">
        <v>1798</v>
      </c>
      <c r="I2154" t="b">
        <v>1</v>
      </c>
      <c r="J2154" t="s">
        <v>1761</v>
      </c>
      <c r="K2154" t="s">
        <v>1755</v>
      </c>
      <c r="L2154" t="s">
        <v>1750</v>
      </c>
      <c r="M2154">
        <v>34</v>
      </c>
      <c r="N2154" t="b">
        <v>0</v>
      </c>
      <c r="O2154">
        <v>502</v>
      </c>
      <c r="P2154" t="s">
        <v>1752</v>
      </c>
      <c r="Q2154" t="s">
        <v>1753</v>
      </c>
    </row>
    <row r="2155" spans="1:18" x14ac:dyDescent="0.25">
      <c r="A2155" t="s">
        <v>5043</v>
      </c>
      <c r="B2155" t="s">
        <v>2662</v>
      </c>
      <c r="C2155" t="s">
        <v>4</v>
      </c>
      <c r="D2155" t="s">
        <v>5042</v>
      </c>
      <c r="E2155" s="2">
        <v>45189</v>
      </c>
      <c r="F2155">
        <v>422</v>
      </c>
      <c r="G2155" t="s">
        <v>1746</v>
      </c>
      <c r="H2155" t="s">
        <v>1747</v>
      </c>
      <c r="I2155" t="b">
        <v>1</v>
      </c>
      <c r="J2155" t="s">
        <v>1748</v>
      </c>
      <c r="K2155" t="s">
        <v>1776</v>
      </c>
      <c r="L2155" t="s">
        <v>1817</v>
      </c>
      <c r="M2155">
        <v>34</v>
      </c>
      <c r="N2155" t="b">
        <v>0</v>
      </c>
      <c r="O2155">
        <v>2268</v>
      </c>
      <c r="P2155" t="s">
        <v>1819</v>
      </c>
      <c r="Q2155" t="s">
        <v>1753</v>
      </c>
      <c r="R2155" t="s">
        <v>1759</v>
      </c>
    </row>
    <row r="2156" spans="1:18" x14ac:dyDescent="0.25">
      <c r="A2156" t="s">
        <v>5045</v>
      </c>
      <c r="B2156" t="s">
        <v>2494</v>
      </c>
      <c r="C2156" t="s">
        <v>6</v>
      </c>
      <c r="D2156" t="s">
        <v>5044</v>
      </c>
      <c r="E2156" s="2">
        <v>41956</v>
      </c>
      <c r="F2156">
        <v>3655</v>
      </c>
      <c r="G2156" t="s">
        <v>1746</v>
      </c>
      <c r="H2156" t="s">
        <v>2001</v>
      </c>
      <c r="I2156" t="b">
        <v>0</v>
      </c>
      <c r="J2156" t="s">
        <v>1748</v>
      </c>
      <c r="K2156" t="s">
        <v>1770</v>
      </c>
      <c r="L2156" t="s">
        <v>1766</v>
      </c>
      <c r="M2156">
        <v>34</v>
      </c>
      <c r="N2156" t="b">
        <v>0</v>
      </c>
      <c r="P2156" t="s">
        <v>1752</v>
      </c>
      <c r="Q2156" t="s">
        <v>1753</v>
      </c>
    </row>
    <row r="2157" spans="1:18" x14ac:dyDescent="0.25">
      <c r="A2157" t="s">
        <v>5047</v>
      </c>
      <c r="B2157" t="s">
        <v>2483</v>
      </c>
      <c r="C2157" t="s">
        <v>4</v>
      </c>
      <c r="D2157" t="s">
        <v>5046</v>
      </c>
      <c r="E2157" s="2">
        <v>45503</v>
      </c>
      <c r="F2157">
        <v>108</v>
      </c>
      <c r="G2157" t="s">
        <v>1746</v>
      </c>
      <c r="H2157" t="s">
        <v>1747</v>
      </c>
      <c r="I2157" t="b">
        <v>0</v>
      </c>
      <c r="J2157" t="s">
        <v>1748</v>
      </c>
      <c r="K2157" t="s">
        <v>2042</v>
      </c>
      <c r="L2157" t="s">
        <v>1750</v>
      </c>
      <c r="M2157">
        <v>34</v>
      </c>
      <c r="N2157" t="b">
        <v>0</v>
      </c>
      <c r="P2157" t="s">
        <v>1752</v>
      </c>
      <c r="Q2157" t="s">
        <v>1753</v>
      </c>
    </row>
    <row r="2158" spans="1:18" x14ac:dyDescent="0.25">
      <c r="A2158" t="s">
        <v>5049</v>
      </c>
      <c r="B2158" t="s">
        <v>1907</v>
      </c>
      <c r="C2158" t="s">
        <v>6</v>
      </c>
      <c r="D2158" t="s">
        <v>5048</v>
      </c>
      <c r="E2158" s="2">
        <v>44091</v>
      </c>
      <c r="F2158">
        <v>1520</v>
      </c>
      <c r="G2158" t="s">
        <v>1746</v>
      </c>
      <c r="H2158" t="s">
        <v>1798</v>
      </c>
      <c r="I2158" t="b">
        <v>1</v>
      </c>
      <c r="J2158" t="s">
        <v>1761</v>
      </c>
      <c r="K2158" t="s">
        <v>1824</v>
      </c>
      <c r="L2158" t="s">
        <v>1750</v>
      </c>
      <c r="M2158">
        <v>34</v>
      </c>
      <c r="N2158" t="b">
        <v>0</v>
      </c>
      <c r="O2158">
        <v>47</v>
      </c>
      <c r="P2158" t="s">
        <v>1819</v>
      </c>
      <c r="Q2158" t="s">
        <v>1753</v>
      </c>
      <c r="R2158" t="s">
        <v>1828</v>
      </c>
    </row>
    <row r="2159" spans="1:18" x14ac:dyDescent="0.25">
      <c r="A2159" t="s">
        <v>5051</v>
      </c>
      <c r="B2159" t="s">
        <v>1840</v>
      </c>
      <c r="C2159" t="s">
        <v>6</v>
      </c>
      <c r="D2159" t="s">
        <v>5050</v>
      </c>
      <c r="E2159" s="2">
        <v>43258</v>
      </c>
      <c r="F2159">
        <v>2353</v>
      </c>
      <c r="G2159" t="s">
        <v>1746</v>
      </c>
      <c r="H2159" t="s">
        <v>1798</v>
      </c>
      <c r="I2159" t="b">
        <v>0</v>
      </c>
      <c r="J2159" t="s">
        <v>1748</v>
      </c>
      <c r="K2159" t="s">
        <v>1856</v>
      </c>
      <c r="L2159" t="s">
        <v>1750</v>
      </c>
      <c r="M2159">
        <v>34</v>
      </c>
      <c r="N2159" t="b">
        <v>0</v>
      </c>
      <c r="P2159" t="s">
        <v>1752</v>
      </c>
      <c r="Q2159" t="s">
        <v>1753</v>
      </c>
    </row>
    <row r="2160" spans="1:18" x14ac:dyDescent="0.25">
      <c r="A2160" t="s">
        <v>5053</v>
      </c>
      <c r="B2160" t="s">
        <v>2150</v>
      </c>
      <c r="C2160" t="s">
        <v>4</v>
      </c>
      <c r="D2160" t="s">
        <v>5052</v>
      </c>
      <c r="E2160" s="2">
        <v>44336</v>
      </c>
      <c r="F2160">
        <v>1275</v>
      </c>
      <c r="G2160" t="s">
        <v>1746</v>
      </c>
      <c r="H2160" t="s">
        <v>1747</v>
      </c>
      <c r="I2160" t="b">
        <v>0</v>
      </c>
      <c r="J2160" t="s">
        <v>1748</v>
      </c>
      <c r="K2160" t="s">
        <v>1824</v>
      </c>
      <c r="L2160" t="s">
        <v>1817</v>
      </c>
      <c r="M2160">
        <v>33</v>
      </c>
      <c r="N2160" t="b">
        <v>1</v>
      </c>
      <c r="O2160">
        <v>4040</v>
      </c>
      <c r="P2160" t="s">
        <v>1819</v>
      </c>
      <c r="Q2160" t="s">
        <v>1753</v>
      </c>
      <c r="R2160" t="s">
        <v>1759</v>
      </c>
    </row>
    <row r="2161" spans="1:18" x14ac:dyDescent="0.25">
      <c r="A2161" t="s">
        <v>5054</v>
      </c>
      <c r="B2161" t="s">
        <v>2220</v>
      </c>
      <c r="C2161" t="s">
        <v>4</v>
      </c>
      <c r="D2161" t="s">
        <v>384</v>
      </c>
      <c r="E2161" s="2">
        <v>40163</v>
      </c>
      <c r="F2161">
        <v>5448</v>
      </c>
      <c r="G2161" t="s">
        <v>1746</v>
      </c>
      <c r="H2161" t="s">
        <v>1747</v>
      </c>
      <c r="I2161" t="b">
        <v>0</v>
      </c>
      <c r="J2161" t="s">
        <v>1748</v>
      </c>
      <c r="K2161" t="s">
        <v>1934</v>
      </c>
      <c r="L2161" t="s">
        <v>1766</v>
      </c>
      <c r="M2161">
        <v>33</v>
      </c>
      <c r="N2161" t="b">
        <v>0</v>
      </c>
      <c r="P2161" t="s">
        <v>1752</v>
      </c>
      <c r="Q2161" t="s">
        <v>1753</v>
      </c>
    </row>
    <row r="2162" spans="1:18" x14ac:dyDescent="0.25">
      <c r="A2162" t="s">
        <v>5055</v>
      </c>
      <c r="B2162" t="s">
        <v>1781</v>
      </c>
      <c r="C2162" t="s">
        <v>6</v>
      </c>
      <c r="D2162" t="s">
        <v>1538</v>
      </c>
      <c r="E2162" s="2">
        <v>45028</v>
      </c>
      <c r="F2162">
        <v>583</v>
      </c>
      <c r="G2162" t="s">
        <v>1746</v>
      </c>
      <c r="H2162" t="s">
        <v>1747</v>
      </c>
      <c r="I2162" t="b">
        <v>1</v>
      </c>
      <c r="J2162" t="s">
        <v>1761</v>
      </c>
      <c r="K2162" t="s">
        <v>1776</v>
      </c>
      <c r="L2162" t="s">
        <v>1817</v>
      </c>
      <c r="M2162">
        <v>33</v>
      </c>
      <c r="N2162" t="b">
        <v>0</v>
      </c>
      <c r="O2162">
        <v>313</v>
      </c>
      <c r="P2162" t="s">
        <v>1819</v>
      </c>
      <c r="Q2162" t="s">
        <v>1753</v>
      </c>
      <c r="R2162" t="s">
        <v>1772</v>
      </c>
    </row>
    <row r="2163" spans="1:18" x14ac:dyDescent="0.25">
      <c r="A2163" t="s">
        <v>5057</v>
      </c>
      <c r="B2163" t="s">
        <v>1907</v>
      </c>
      <c r="C2163" t="s">
        <v>6</v>
      </c>
      <c r="D2163" t="s">
        <v>5056</v>
      </c>
      <c r="E2163" s="2">
        <v>45112</v>
      </c>
      <c r="F2163">
        <v>499</v>
      </c>
      <c r="G2163" t="s">
        <v>1746</v>
      </c>
      <c r="H2163" t="s">
        <v>1747</v>
      </c>
      <c r="I2163" t="b">
        <v>0</v>
      </c>
      <c r="J2163" t="s">
        <v>1761</v>
      </c>
      <c r="K2163" t="s">
        <v>1826</v>
      </c>
      <c r="L2163" t="s">
        <v>1750</v>
      </c>
      <c r="M2163">
        <v>33</v>
      </c>
      <c r="N2163" t="b">
        <v>1</v>
      </c>
      <c r="O2163">
        <v>1066</v>
      </c>
      <c r="P2163" t="s">
        <v>1819</v>
      </c>
      <c r="Q2163" t="s">
        <v>1753</v>
      </c>
      <c r="R2163" t="s">
        <v>1759</v>
      </c>
    </row>
    <row r="2164" spans="1:18" x14ac:dyDescent="0.25">
      <c r="A2164" t="s">
        <v>5059</v>
      </c>
      <c r="B2164" t="s">
        <v>2173</v>
      </c>
      <c r="C2164" t="s">
        <v>6</v>
      </c>
      <c r="D2164" t="s">
        <v>5058</v>
      </c>
      <c r="E2164" s="2">
        <v>44048</v>
      </c>
      <c r="F2164">
        <v>1563</v>
      </c>
      <c r="G2164" t="s">
        <v>1746</v>
      </c>
      <c r="H2164" t="s">
        <v>1747</v>
      </c>
      <c r="I2164" t="b">
        <v>0</v>
      </c>
      <c r="J2164" t="s">
        <v>1761</v>
      </c>
      <c r="K2164" t="s">
        <v>1826</v>
      </c>
      <c r="L2164" t="s">
        <v>1817</v>
      </c>
      <c r="M2164">
        <v>33</v>
      </c>
      <c r="N2164" t="b">
        <v>1</v>
      </c>
      <c r="O2164">
        <v>707</v>
      </c>
      <c r="P2164" t="s">
        <v>1819</v>
      </c>
      <c r="Q2164" t="s">
        <v>1753</v>
      </c>
      <c r="R2164" t="s">
        <v>1828</v>
      </c>
    </row>
    <row r="2165" spans="1:18" x14ac:dyDescent="0.25">
      <c r="A2165" t="s">
        <v>837</v>
      </c>
      <c r="B2165" t="s">
        <v>2060</v>
      </c>
      <c r="C2165" t="s">
        <v>6</v>
      </c>
      <c r="D2165" t="s">
        <v>838</v>
      </c>
      <c r="E2165" s="2">
        <v>43158</v>
      </c>
      <c r="F2165">
        <v>2453</v>
      </c>
      <c r="G2165" t="s">
        <v>1746</v>
      </c>
      <c r="H2165" t="s">
        <v>1747</v>
      </c>
      <c r="I2165" t="b">
        <v>1</v>
      </c>
      <c r="J2165" t="s">
        <v>1761</v>
      </c>
      <c r="K2165" t="s">
        <v>1961</v>
      </c>
      <c r="L2165" t="s">
        <v>1750</v>
      </c>
      <c r="M2165">
        <v>33</v>
      </c>
      <c r="N2165" t="b">
        <v>0</v>
      </c>
      <c r="O2165">
        <v>608</v>
      </c>
      <c r="P2165" t="s">
        <v>1752</v>
      </c>
      <c r="Q2165" t="s">
        <v>1753</v>
      </c>
    </row>
    <row r="2166" spans="1:18" x14ac:dyDescent="0.25">
      <c r="A2166" t="s">
        <v>5061</v>
      </c>
      <c r="B2166" t="s">
        <v>2096</v>
      </c>
      <c r="C2166" t="s">
        <v>6</v>
      </c>
      <c r="D2166" t="s">
        <v>5060</v>
      </c>
      <c r="E2166" s="2">
        <v>45448</v>
      </c>
      <c r="F2166">
        <v>163</v>
      </c>
      <c r="G2166" t="s">
        <v>1746</v>
      </c>
      <c r="H2166" t="s">
        <v>1798</v>
      </c>
      <c r="I2166" t="b">
        <v>0</v>
      </c>
      <c r="J2166" t="s">
        <v>1748</v>
      </c>
      <c r="K2166" t="s">
        <v>1774</v>
      </c>
      <c r="L2166" t="s">
        <v>1750</v>
      </c>
      <c r="M2166">
        <v>33</v>
      </c>
      <c r="N2166" t="b">
        <v>1</v>
      </c>
      <c r="O2166">
        <v>211</v>
      </c>
      <c r="P2166" t="s">
        <v>1819</v>
      </c>
      <c r="Q2166" t="s">
        <v>1753</v>
      </c>
      <c r="R2166" t="s">
        <v>1759</v>
      </c>
    </row>
    <row r="2167" spans="1:18" x14ac:dyDescent="0.25">
      <c r="A2167" t="s">
        <v>5062</v>
      </c>
      <c r="B2167" t="s">
        <v>2353</v>
      </c>
      <c r="C2167" t="s">
        <v>4</v>
      </c>
      <c r="D2167" t="s">
        <v>1467</v>
      </c>
      <c r="E2167" s="2">
        <v>43972</v>
      </c>
      <c r="F2167">
        <v>1639</v>
      </c>
      <c r="G2167" t="s">
        <v>1746</v>
      </c>
      <c r="H2167" t="s">
        <v>1798</v>
      </c>
      <c r="I2167" t="b">
        <v>0</v>
      </c>
      <c r="J2167" t="s">
        <v>1748</v>
      </c>
      <c r="K2167" t="s">
        <v>1758</v>
      </c>
      <c r="L2167" t="s">
        <v>1775</v>
      </c>
      <c r="M2167">
        <v>33</v>
      </c>
      <c r="N2167" t="b">
        <v>0</v>
      </c>
      <c r="P2167" t="s">
        <v>1778</v>
      </c>
      <c r="Q2167" t="s">
        <v>1779</v>
      </c>
    </row>
    <row r="2168" spans="1:18" x14ac:dyDescent="0.25">
      <c r="A2168" t="s">
        <v>5064</v>
      </c>
      <c r="B2168" t="s">
        <v>2620</v>
      </c>
      <c r="C2168" t="s">
        <v>4</v>
      </c>
      <c r="D2168" t="s">
        <v>5063</v>
      </c>
      <c r="E2168" s="2">
        <v>43922</v>
      </c>
      <c r="F2168">
        <v>1689</v>
      </c>
      <c r="G2168" t="s">
        <v>1746</v>
      </c>
      <c r="H2168" t="s">
        <v>1747</v>
      </c>
      <c r="I2168" t="b">
        <v>1</v>
      </c>
      <c r="J2168" t="s">
        <v>1748</v>
      </c>
      <c r="K2168" t="s">
        <v>1835</v>
      </c>
      <c r="L2168" t="s">
        <v>1750</v>
      </c>
      <c r="M2168">
        <v>33</v>
      </c>
      <c r="N2168" t="b">
        <v>0</v>
      </c>
      <c r="O2168">
        <v>922</v>
      </c>
      <c r="P2168" t="s">
        <v>1752</v>
      </c>
      <c r="Q2168" t="s">
        <v>1753</v>
      </c>
      <c r="R2168" t="s">
        <v>2028</v>
      </c>
    </row>
    <row r="2169" spans="1:18" x14ac:dyDescent="0.25">
      <c r="A2169" t="s">
        <v>5065</v>
      </c>
      <c r="B2169" t="s">
        <v>2269</v>
      </c>
      <c r="C2169" t="s">
        <v>6</v>
      </c>
      <c r="D2169" t="s">
        <v>931</v>
      </c>
      <c r="E2169" s="2">
        <v>39703</v>
      </c>
      <c r="F2169">
        <v>5908</v>
      </c>
      <c r="G2169" t="s">
        <v>1746</v>
      </c>
      <c r="H2169" t="s">
        <v>1798</v>
      </c>
      <c r="I2169" t="b">
        <v>0</v>
      </c>
      <c r="J2169" t="s">
        <v>1748</v>
      </c>
      <c r="K2169" t="s">
        <v>2219</v>
      </c>
      <c r="L2169" t="s">
        <v>1766</v>
      </c>
      <c r="M2169">
        <v>33</v>
      </c>
      <c r="N2169" t="b">
        <v>0</v>
      </c>
      <c r="P2169" t="s">
        <v>1752</v>
      </c>
      <c r="Q2169" t="s">
        <v>1753</v>
      </c>
      <c r="R2169" t="s">
        <v>5066</v>
      </c>
    </row>
    <row r="2170" spans="1:18" x14ac:dyDescent="0.25">
      <c r="A2170" t="s">
        <v>5068</v>
      </c>
      <c r="B2170" t="s">
        <v>1907</v>
      </c>
      <c r="C2170" t="s">
        <v>4</v>
      </c>
      <c r="D2170" t="s">
        <v>5067</v>
      </c>
      <c r="E2170" s="2">
        <v>44824</v>
      </c>
      <c r="F2170">
        <v>787</v>
      </c>
      <c r="G2170" t="s">
        <v>1746</v>
      </c>
      <c r="H2170" t="s">
        <v>1798</v>
      </c>
      <c r="I2170" t="b">
        <v>0</v>
      </c>
      <c r="J2170" t="s">
        <v>1761</v>
      </c>
      <c r="K2170" t="s">
        <v>1770</v>
      </c>
      <c r="L2170" t="s">
        <v>1750</v>
      </c>
      <c r="M2170">
        <v>33</v>
      </c>
      <c r="N2170" t="b">
        <v>1</v>
      </c>
      <c r="O2170">
        <v>98</v>
      </c>
      <c r="P2170" t="s">
        <v>1752</v>
      </c>
      <c r="Q2170" t="s">
        <v>1753</v>
      </c>
      <c r="R2170" t="s">
        <v>1759</v>
      </c>
    </row>
    <row r="2171" spans="1:18" x14ac:dyDescent="0.25">
      <c r="A2171" t="s">
        <v>5069</v>
      </c>
      <c r="B2171" t="s">
        <v>1876</v>
      </c>
      <c r="C2171" t="s">
        <v>4</v>
      </c>
      <c r="D2171" t="s">
        <v>1475</v>
      </c>
      <c r="E2171" s="2">
        <v>44734</v>
      </c>
      <c r="F2171">
        <v>877</v>
      </c>
      <c r="G2171" t="s">
        <v>1746</v>
      </c>
      <c r="H2171" t="s">
        <v>1798</v>
      </c>
      <c r="I2171" t="b">
        <v>0</v>
      </c>
      <c r="J2171" t="s">
        <v>1748</v>
      </c>
      <c r="K2171" t="s">
        <v>1776</v>
      </c>
      <c r="L2171" t="s">
        <v>1756</v>
      </c>
      <c r="M2171">
        <v>33</v>
      </c>
      <c r="N2171" t="b">
        <v>1</v>
      </c>
      <c r="O2171">
        <v>283</v>
      </c>
      <c r="P2171" t="s">
        <v>1819</v>
      </c>
      <c r="Q2171" t="s">
        <v>1753</v>
      </c>
      <c r="R2171" t="s">
        <v>1759</v>
      </c>
    </row>
    <row r="2172" spans="1:18" x14ac:dyDescent="0.25">
      <c r="A2172" t="s">
        <v>5070</v>
      </c>
      <c r="B2172" t="s">
        <v>1876</v>
      </c>
      <c r="C2172" t="s">
        <v>4</v>
      </c>
      <c r="D2172" t="s">
        <v>1385</v>
      </c>
      <c r="E2172" s="2">
        <v>41957</v>
      </c>
      <c r="F2172">
        <v>3654</v>
      </c>
      <c r="G2172" t="s">
        <v>1746</v>
      </c>
      <c r="H2172" t="s">
        <v>1747</v>
      </c>
      <c r="I2172" t="b">
        <v>0</v>
      </c>
      <c r="J2172" t="s">
        <v>1761</v>
      </c>
      <c r="K2172" t="s">
        <v>1910</v>
      </c>
      <c r="L2172" t="s">
        <v>1756</v>
      </c>
      <c r="M2172">
        <v>33</v>
      </c>
      <c r="N2172" t="b">
        <v>1</v>
      </c>
      <c r="O2172">
        <v>866</v>
      </c>
      <c r="P2172" t="s">
        <v>1752</v>
      </c>
      <c r="Q2172" t="s">
        <v>1753</v>
      </c>
      <c r="R2172" t="s">
        <v>1772</v>
      </c>
    </row>
    <row r="2173" spans="1:18" x14ac:dyDescent="0.25">
      <c r="A2173" t="s">
        <v>5072</v>
      </c>
      <c r="B2173" t="s">
        <v>2157</v>
      </c>
      <c r="C2173" t="s">
        <v>6</v>
      </c>
      <c r="D2173" t="s">
        <v>5071</v>
      </c>
      <c r="E2173" s="2">
        <v>45349</v>
      </c>
      <c r="F2173">
        <v>262</v>
      </c>
      <c r="G2173" t="s">
        <v>1746</v>
      </c>
      <c r="H2173" t="s">
        <v>1798</v>
      </c>
      <c r="I2173" t="b">
        <v>0</v>
      </c>
      <c r="J2173" t="s">
        <v>1748</v>
      </c>
      <c r="K2173" t="s">
        <v>1824</v>
      </c>
      <c r="L2173" t="s">
        <v>1750</v>
      </c>
      <c r="M2173">
        <v>33</v>
      </c>
      <c r="N2173" t="b">
        <v>1</v>
      </c>
      <c r="O2173">
        <v>273</v>
      </c>
      <c r="P2173" t="s">
        <v>1819</v>
      </c>
      <c r="Q2173" t="s">
        <v>1753</v>
      </c>
      <c r="R2173" t="s">
        <v>1759</v>
      </c>
    </row>
    <row r="2174" spans="1:18" x14ac:dyDescent="0.25">
      <c r="A2174" t="s">
        <v>5073</v>
      </c>
      <c r="B2174" t="s">
        <v>1876</v>
      </c>
      <c r="C2174" t="s">
        <v>4</v>
      </c>
      <c r="D2174" t="s">
        <v>757</v>
      </c>
      <c r="E2174" s="2">
        <v>45147</v>
      </c>
      <c r="F2174">
        <v>464</v>
      </c>
      <c r="G2174" t="s">
        <v>1833</v>
      </c>
      <c r="H2174" t="s">
        <v>1747</v>
      </c>
      <c r="I2174" t="b">
        <v>0</v>
      </c>
      <c r="J2174" t="s">
        <v>1748</v>
      </c>
      <c r="K2174" t="s">
        <v>1776</v>
      </c>
      <c r="L2174" t="s">
        <v>1756</v>
      </c>
      <c r="M2174">
        <v>33</v>
      </c>
      <c r="N2174" t="b">
        <v>1</v>
      </c>
      <c r="O2174">
        <v>290</v>
      </c>
      <c r="P2174" t="s">
        <v>1752</v>
      </c>
      <c r="Q2174" t="s">
        <v>1753</v>
      </c>
      <c r="R2174" t="s">
        <v>1759</v>
      </c>
    </row>
    <row r="2175" spans="1:18" x14ac:dyDescent="0.25">
      <c r="A2175" t="s">
        <v>5075</v>
      </c>
      <c r="B2175" t="s">
        <v>2150</v>
      </c>
      <c r="C2175" t="s">
        <v>186</v>
      </c>
      <c r="D2175" t="s">
        <v>5074</v>
      </c>
      <c r="E2175" s="2">
        <v>40634</v>
      </c>
      <c r="F2175">
        <v>4977</v>
      </c>
      <c r="G2175" t="s">
        <v>1746</v>
      </c>
      <c r="H2175" t="s">
        <v>1805</v>
      </c>
      <c r="I2175" t="b">
        <v>0</v>
      </c>
      <c r="J2175" t="s">
        <v>1748</v>
      </c>
      <c r="K2175" t="s">
        <v>1906</v>
      </c>
      <c r="L2175" t="s">
        <v>1775</v>
      </c>
      <c r="M2175">
        <v>33</v>
      </c>
      <c r="N2175" t="b">
        <v>0</v>
      </c>
      <c r="P2175" t="s">
        <v>1778</v>
      </c>
      <c r="Q2175" t="s">
        <v>1779</v>
      </c>
    </row>
    <row r="2176" spans="1:18" x14ac:dyDescent="0.25">
      <c r="A2176" t="s">
        <v>5076</v>
      </c>
      <c r="B2176" t="s">
        <v>2269</v>
      </c>
      <c r="C2176" t="s">
        <v>4</v>
      </c>
      <c r="D2176" t="s">
        <v>206</v>
      </c>
      <c r="E2176" s="2">
        <v>43068</v>
      </c>
      <c r="F2176">
        <v>2543</v>
      </c>
      <c r="G2176" t="s">
        <v>1746</v>
      </c>
      <c r="H2176" t="s">
        <v>1798</v>
      </c>
      <c r="I2176" t="b">
        <v>0</v>
      </c>
      <c r="J2176" t="s">
        <v>1761</v>
      </c>
      <c r="K2176" t="s">
        <v>1856</v>
      </c>
      <c r="L2176" t="s">
        <v>1750</v>
      </c>
      <c r="M2176">
        <v>33</v>
      </c>
      <c r="N2176" t="b">
        <v>0</v>
      </c>
      <c r="O2176">
        <v>226</v>
      </c>
      <c r="P2176" t="s">
        <v>1752</v>
      </c>
      <c r="Q2176" t="s">
        <v>1753</v>
      </c>
      <c r="R2176" t="s">
        <v>1759</v>
      </c>
    </row>
    <row r="2177" spans="1:18" x14ac:dyDescent="0.25">
      <c r="A2177" t="s">
        <v>5078</v>
      </c>
      <c r="B2177" t="s">
        <v>1785</v>
      </c>
      <c r="C2177" t="s">
        <v>6</v>
      </c>
      <c r="D2177" t="s">
        <v>5077</v>
      </c>
      <c r="E2177" s="2">
        <v>40645</v>
      </c>
      <c r="F2177">
        <v>4966</v>
      </c>
      <c r="G2177" t="s">
        <v>1746</v>
      </c>
      <c r="H2177" t="s">
        <v>1747</v>
      </c>
      <c r="I2177" t="b">
        <v>1</v>
      </c>
      <c r="J2177" t="s">
        <v>1748</v>
      </c>
      <c r="K2177" t="s">
        <v>1757</v>
      </c>
      <c r="L2177" t="s">
        <v>1750</v>
      </c>
      <c r="M2177">
        <v>32</v>
      </c>
      <c r="N2177" t="b">
        <v>0</v>
      </c>
      <c r="O2177">
        <v>32</v>
      </c>
      <c r="P2177" t="s">
        <v>1752</v>
      </c>
      <c r="Q2177" t="s">
        <v>1753</v>
      </c>
    </row>
    <row r="2178" spans="1:18" x14ac:dyDescent="0.25">
      <c r="A2178" t="s">
        <v>5079</v>
      </c>
      <c r="B2178" t="s">
        <v>2106</v>
      </c>
      <c r="C2178" t="s">
        <v>6</v>
      </c>
      <c r="D2178" t="s">
        <v>178</v>
      </c>
      <c r="E2178" s="2">
        <v>44539</v>
      </c>
      <c r="F2178">
        <v>1072</v>
      </c>
      <c r="G2178" t="s">
        <v>1746</v>
      </c>
      <c r="H2178" t="s">
        <v>1798</v>
      </c>
      <c r="I2178" t="b">
        <v>0</v>
      </c>
      <c r="J2178" t="s">
        <v>1748</v>
      </c>
      <c r="K2178" t="s">
        <v>1865</v>
      </c>
      <c r="L2178" t="s">
        <v>1750</v>
      </c>
      <c r="M2178">
        <v>32</v>
      </c>
      <c r="N2178" t="b">
        <v>1</v>
      </c>
      <c r="O2178">
        <v>332</v>
      </c>
      <c r="P2178" t="s">
        <v>2266</v>
      </c>
      <c r="Q2178" t="s">
        <v>1753</v>
      </c>
      <c r="R2178" t="s">
        <v>1759</v>
      </c>
    </row>
    <row r="2179" spans="1:18" x14ac:dyDescent="0.25">
      <c r="A2179" t="s">
        <v>5081</v>
      </c>
      <c r="B2179" t="s">
        <v>2150</v>
      </c>
      <c r="C2179" t="s">
        <v>4</v>
      </c>
      <c r="D2179" t="s">
        <v>5080</v>
      </c>
      <c r="E2179" s="2">
        <v>44846</v>
      </c>
      <c r="F2179">
        <v>765</v>
      </c>
      <c r="G2179" t="s">
        <v>1746</v>
      </c>
      <c r="H2179" t="s">
        <v>1805</v>
      </c>
      <c r="I2179" t="b">
        <v>1</v>
      </c>
      <c r="J2179" t="s">
        <v>1761</v>
      </c>
      <c r="K2179" t="s">
        <v>1822</v>
      </c>
      <c r="L2179" t="s">
        <v>1817</v>
      </c>
      <c r="M2179">
        <v>32</v>
      </c>
      <c r="N2179" t="b">
        <v>0</v>
      </c>
      <c r="O2179">
        <v>86</v>
      </c>
      <c r="P2179" t="s">
        <v>1819</v>
      </c>
      <c r="Q2179" t="s">
        <v>1753</v>
      </c>
    </row>
    <row r="2180" spans="1:18" x14ac:dyDescent="0.25">
      <c r="A2180" t="s">
        <v>5083</v>
      </c>
      <c r="B2180" t="s">
        <v>2060</v>
      </c>
      <c r="C2180" t="s">
        <v>6</v>
      </c>
      <c r="D2180" t="s">
        <v>5082</v>
      </c>
      <c r="E2180" s="2">
        <v>39266</v>
      </c>
      <c r="F2180">
        <v>6345</v>
      </c>
      <c r="G2180" t="s">
        <v>1746</v>
      </c>
      <c r="H2180" t="s">
        <v>1798</v>
      </c>
      <c r="I2180" t="b">
        <v>0</v>
      </c>
      <c r="J2180" t="s">
        <v>1748</v>
      </c>
      <c r="K2180" t="s">
        <v>1825</v>
      </c>
      <c r="L2180" t="s">
        <v>1750</v>
      </c>
      <c r="M2180">
        <v>32</v>
      </c>
      <c r="N2180" t="b">
        <v>1</v>
      </c>
      <c r="O2180">
        <v>21</v>
      </c>
      <c r="P2180" t="s">
        <v>1752</v>
      </c>
      <c r="Q2180" t="s">
        <v>1753</v>
      </c>
      <c r="R2180" t="s">
        <v>1828</v>
      </c>
    </row>
    <row r="2181" spans="1:18" x14ac:dyDescent="0.25">
      <c r="A2181" t="s">
        <v>5085</v>
      </c>
      <c r="B2181" t="s">
        <v>2150</v>
      </c>
      <c r="C2181" t="s">
        <v>4</v>
      </c>
      <c r="D2181" t="s">
        <v>5084</v>
      </c>
      <c r="E2181" s="2">
        <v>44498</v>
      </c>
      <c r="F2181">
        <v>1113</v>
      </c>
      <c r="G2181" t="s">
        <v>1746</v>
      </c>
      <c r="H2181" t="s">
        <v>1805</v>
      </c>
      <c r="I2181" t="b">
        <v>0</v>
      </c>
      <c r="J2181" t="s">
        <v>1748</v>
      </c>
      <c r="K2181" t="s">
        <v>1774</v>
      </c>
      <c r="L2181" t="s">
        <v>1750</v>
      </c>
      <c r="M2181">
        <v>32</v>
      </c>
      <c r="N2181" t="b">
        <v>1</v>
      </c>
      <c r="O2181">
        <v>81</v>
      </c>
      <c r="P2181" t="s">
        <v>1752</v>
      </c>
      <c r="Q2181" t="s">
        <v>1753</v>
      </c>
    </row>
    <row r="2182" spans="1:18" x14ac:dyDescent="0.25">
      <c r="A2182" t="s">
        <v>5087</v>
      </c>
      <c r="B2182" t="s">
        <v>2611</v>
      </c>
      <c r="C2182" t="s">
        <v>4</v>
      </c>
      <c r="D2182" t="s">
        <v>5086</v>
      </c>
      <c r="E2182" s="2">
        <v>45398</v>
      </c>
      <c r="F2182">
        <v>213</v>
      </c>
      <c r="G2182" t="s">
        <v>1746</v>
      </c>
      <c r="H2182" t="s">
        <v>1747</v>
      </c>
      <c r="I2182" t="b">
        <v>0</v>
      </c>
      <c r="J2182" t="s">
        <v>1748</v>
      </c>
      <c r="K2182" t="s">
        <v>1757</v>
      </c>
      <c r="L2182" t="s">
        <v>1766</v>
      </c>
      <c r="M2182">
        <v>32</v>
      </c>
      <c r="N2182" t="b">
        <v>0</v>
      </c>
      <c r="P2182" t="s">
        <v>2070</v>
      </c>
      <c r="Q2182" t="s">
        <v>1753</v>
      </c>
    </row>
    <row r="2183" spans="1:18" x14ac:dyDescent="0.25">
      <c r="A2183" t="s">
        <v>1397</v>
      </c>
      <c r="B2183" t="s">
        <v>1876</v>
      </c>
      <c r="C2183" t="s">
        <v>4</v>
      </c>
      <c r="D2183" t="s">
        <v>1398</v>
      </c>
      <c r="E2183" s="2">
        <v>41933</v>
      </c>
      <c r="F2183">
        <v>3678</v>
      </c>
      <c r="G2183" t="s">
        <v>1746</v>
      </c>
      <c r="H2183" t="s">
        <v>1798</v>
      </c>
      <c r="I2183" t="b">
        <v>0</v>
      </c>
      <c r="J2183" t="s">
        <v>1761</v>
      </c>
      <c r="K2183" t="s">
        <v>1771</v>
      </c>
      <c r="L2183" t="s">
        <v>1750</v>
      </c>
      <c r="M2183">
        <v>32</v>
      </c>
      <c r="N2183" t="b">
        <v>1</v>
      </c>
      <c r="O2183">
        <v>230</v>
      </c>
      <c r="P2183" t="s">
        <v>1752</v>
      </c>
      <c r="Q2183" t="s">
        <v>1753</v>
      </c>
      <c r="R2183" t="s">
        <v>1828</v>
      </c>
    </row>
    <row r="2184" spans="1:18" x14ac:dyDescent="0.25">
      <c r="A2184" t="s">
        <v>5089</v>
      </c>
      <c r="B2184" t="s">
        <v>2150</v>
      </c>
      <c r="C2184" t="s">
        <v>6</v>
      </c>
      <c r="D2184" t="s">
        <v>5088</v>
      </c>
      <c r="E2184" s="2">
        <v>44389</v>
      </c>
      <c r="F2184">
        <v>1222</v>
      </c>
      <c r="G2184" t="s">
        <v>1746</v>
      </c>
      <c r="H2184" t="s">
        <v>1805</v>
      </c>
      <c r="I2184" t="b">
        <v>1</v>
      </c>
      <c r="J2184" t="s">
        <v>1761</v>
      </c>
      <c r="K2184" t="s">
        <v>1898</v>
      </c>
      <c r="L2184" t="s">
        <v>1817</v>
      </c>
      <c r="M2184">
        <v>32</v>
      </c>
      <c r="N2184" t="b">
        <v>0</v>
      </c>
      <c r="O2184">
        <v>8847</v>
      </c>
      <c r="P2184" t="s">
        <v>1819</v>
      </c>
      <c r="Q2184" t="s">
        <v>1753</v>
      </c>
      <c r="R2184" t="s">
        <v>1759</v>
      </c>
    </row>
    <row r="2185" spans="1:18" x14ac:dyDescent="0.25">
      <c r="A2185" t="s">
        <v>5091</v>
      </c>
      <c r="B2185" t="s">
        <v>1957</v>
      </c>
      <c r="C2185" t="s">
        <v>4</v>
      </c>
      <c r="D2185" t="s">
        <v>5090</v>
      </c>
      <c r="E2185" s="2">
        <v>45390</v>
      </c>
      <c r="F2185">
        <v>221</v>
      </c>
      <c r="G2185" t="s">
        <v>1746</v>
      </c>
      <c r="H2185" t="s">
        <v>1798</v>
      </c>
      <c r="I2185" t="b">
        <v>0</v>
      </c>
      <c r="J2185" t="s">
        <v>1748</v>
      </c>
      <c r="K2185" t="s">
        <v>1755</v>
      </c>
      <c r="L2185" t="s">
        <v>1750</v>
      </c>
      <c r="M2185">
        <v>32</v>
      </c>
      <c r="N2185" t="b">
        <v>1</v>
      </c>
      <c r="O2185">
        <v>489</v>
      </c>
      <c r="P2185" t="s">
        <v>1752</v>
      </c>
      <c r="Q2185" t="s">
        <v>1753</v>
      </c>
      <c r="R2185" t="s">
        <v>1759</v>
      </c>
    </row>
    <row r="2186" spans="1:18" x14ac:dyDescent="0.25">
      <c r="A2186" t="s">
        <v>5093</v>
      </c>
      <c r="B2186" t="s">
        <v>2032</v>
      </c>
      <c r="C2186" t="s">
        <v>4</v>
      </c>
      <c r="D2186" t="s">
        <v>5092</v>
      </c>
      <c r="E2186" s="2">
        <v>44475</v>
      </c>
      <c r="F2186">
        <v>1136</v>
      </c>
      <c r="G2186" t="s">
        <v>1746</v>
      </c>
      <c r="H2186" t="s">
        <v>1747</v>
      </c>
      <c r="I2186" t="b">
        <v>0</v>
      </c>
      <c r="J2186" t="s">
        <v>1748</v>
      </c>
      <c r="K2186" t="s">
        <v>2042</v>
      </c>
      <c r="L2186" t="s">
        <v>1766</v>
      </c>
      <c r="M2186">
        <v>32</v>
      </c>
      <c r="N2186" t="b">
        <v>0</v>
      </c>
      <c r="P2186" t="s">
        <v>2070</v>
      </c>
      <c r="Q2186" t="s">
        <v>1753</v>
      </c>
    </row>
    <row r="2187" spans="1:18" x14ac:dyDescent="0.25">
      <c r="A2187" t="s">
        <v>5095</v>
      </c>
      <c r="B2187" t="s">
        <v>2096</v>
      </c>
      <c r="C2187" t="s">
        <v>6</v>
      </c>
      <c r="D2187" t="s">
        <v>5094</v>
      </c>
      <c r="E2187" s="2">
        <v>45448</v>
      </c>
      <c r="F2187">
        <v>163</v>
      </c>
      <c r="G2187" t="s">
        <v>1746</v>
      </c>
      <c r="H2187" t="s">
        <v>1798</v>
      </c>
      <c r="I2187" t="b">
        <v>0</v>
      </c>
      <c r="J2187" t="s">
        <v>1748</v>
      </c>
      <c r="K2187" t="s">
        <v>1774</v>
      </c>
      <c r="L2187" t="s">
        <v>1750</v>
      </c>
      <c r="M2187">
        <v>32</v>
      </c>
      <c r="N2187" t="b">
        <v>1</v>
      </c>
      <c r="O2187">
        <v>109</v>
      </c>
      <c r="P2187" t="s">
        <v>1819</v>
      </c>
      <c r="Q2187" t="s">
        <v>1753</v>
      </c>
      <c r="R2187" t="s">
        <v>1759</v>
      </c>
    </row>
    <row r="2188" spans="1:18" x14ac:dyDescent="0.25">
      <c r="A2188" t="s">
        <v>5097</v>
      </c>
      <c r="B2188" t="s">
        <v>2096</v>
      </c>
      <c r="C2188" t="s">
        <v>6</v>
      </c>
      <c r="D2188" t="s">
        <v>5096</v>
      </c>
      <c r="E2188" s="2">
        <v>45448</v>
      </c>
      <c r="F2188">
        <v>163</v>
      </c>
      <c r="G2188" t="s">
        <v>1746</v>
      </c>
      <c r="H2188" t="s">
        <v>1798</v>
      </c>
      <c r="I2188" t="b">
        <v>0</v>
      </c>
      <c r="J2188" t="s">
        <v>1748</v>
      </c>
      <c r="K2188" t="s">
        <v>1774</v>
      </c>
      <c r="L2188" t="s">
        <v>1750</v>
      </c>
      <c r="M2188">
        <v>32</v>
      </c>
      <c r="N2188" t="b">
        <v>1</v>
      </c>
      <c r="O2188">
        <v>237</v>
      </c>
      <c r="P2188" t="s">
        <v>1819</v>
      </c>
      <c r="Q2188" t="s">
        <v>1753</v>
      </c>
      <c r="R2188" t="s">
        <v>1759</v>
      </c>
    </row>
    <row r="2189" spans="1:18" x14ac:dyDescent="0.25">
      <c r="A2189" t="s">
        <v>5099</v>
      </c>
      <c r="B2189" t="s">
        <v>2483</v>
      </c>
      <c r="C2189" t="s">
        <v>4</v>
      </c>
      <c r="D2189" t="s">
        <v>5098</v>
      </c>
      <c r="E2189" s="2">
        <v>43587</v>
      </c>
      <c r="F2189">
        <v>2024</v>
      </c>
      <c r="G2189" t="s">
        <v>1833</v>
      </c>
      <c r="H2189" t="s">
        <v>1747</v>
      </c>
      <c r="I2189" t="b">
        <v>0</v>
      </c>
      <c r="J2189" t="s">
        <v>1748</v>
      </c>
      <c r="K2189" t="s">
        <v>1856</v>
      </c>
      <c r="L2189" t="s">
        <v>1750</v>
      </c>
      <c r="M2189">
        <v>32</v>
      </c>
      <c r="N2189" t="b">
        <v>1</v>
      </c>
      <c r="O2189">
        <v>314</v>
      </c>
      <c r="P2189" t="s">
        <v>1752</v>
      </c>
      <c r="Q2189" t="s">
        <v>1753</v>
      </c>
    </row>
    <row r="2190" spans="1:18" x14ac:dyDescent="0.25">
      <c r="A2190" t="s">
        <v>5101</v>
      </c>
      <c r="B2190" t="s">
        <v>2173</v>
      </c>
      <c r="C2190" t="s">
        <v>4</v>
      </c>
      <c r="D2190" t="s">
        <v>5100</v>
      </c>
      <c r="E2190" s="2">
        <v>42271</v>
      </c>
      <c r="F2190">
        <v>3340</v>
      </c>
      <c r="G2190" t="s">
        <v>1746</v>
      </c>
      <c r="H2190" t="s">
        <v>1798</v>
      </c>
      <c r="I2190" t="b">
        <v>0</v>
      </c>
      <c r="J2190" t="s">
        <v>1761</v>
      </c>
      <c r="K2190" t="s">
        <v>1943</v>
      </c>
      <c r="L2190" t="s">
        <v>2102</v>
      </c>
      <c r="M2190">
        <v>32</v>
      </c>
      <c r="N2190" t="b">
        <v>0</v>
      </c>
      <c r="P2190" t="s">
        <v>1752</v>
      </c>
      <c r="Q2190" t="s">
        <v>1753</v>
      </c>
      <c r="R2190" t="s">
        <v>1759</v>
      </c>
    </row>
    <row r="2191" spans="1:18" x14ac:dyDescent="0.25">
      <c r="A2191" t="s">
        <v>5103</v>
      </c>
      <c r="B2191" t="s">
        <v>2150</v>
      </c>
      <c r="C2191" t="s">
        <v>4</v>
      </c>
      <c r="D2191" t="s">
        <v>5102</v>
      </c>
      <c r="E2191" s="2">
        <v>45146</v>
      </c>
      <c r="F2191">
        <v>465</v>
      </c>
      <c r="G2191" t="s">
        <v>1746</v>
      </c>
      <c r="H2191" t="s">
        <v>1747</v>
      </c>
      <c r="I2191" t="b">
        <v>1</v>
      </c>
      <c r="J2191" t="s">
        <v>1748</v>
      </c>
      <c r="K2191" t="s">
        <v>1985</v>
      </c>
      <c r="L2191" t="s">
        <v>1817</v>
      </c>
      <c r="M2191">
        <v>31</v>
      </c>
      <c r="N2191" t="b">
        <v>0</v>
      </c>
      <c r="O2191">
        <v>289</v>
      </c>
      <c r="P2191" t="s">
        <v>1819</v>
      </c>
      <c r="Q2191" t="s">
        <v>1753</v>
      </c>
    </row>
    <row r="2192" spans="1:18" x14ac:dyDescent="0.25">
      <c r="A2192" t="s">
        <v>5104</v>
      </c>
      <c r="B2192" t="s">
        <v>1810</v>
      </c>
      <c r="C2192" t="s">
        <v>4</v>
      </c>
      <c r="D2192" t="s">
        <v>444</v>
      </c>
      <c r="E2192" s="2">
        <v>39895</v>
      </c>
      <c r="F2192">
        <v>5716</v>
      </c>
      <c r="G2192" t="s">
        <v>1746</v>
      </c>
      <c r="H2192" t="s">
        <v>1798</v>
      </c>
      <c r="I2192" t="b">
        <v>0</v>
      </c>
      <c r="J2192" t="s">
        <v>1748</v>
      </c>
      <c r="K2192" t="s">
        <v>1809</v>
      </c>
      <c r="L2192" t="s">
        <v>1766</v>
      </c>
      <c r="M2192">
        <v>31</v>
      </c>
      <c r="N2192" t="b">
        <v>0</v>
      </c>
      <c r="P2192" t="s">
        <v>1752</v>
      </c>
      <c r="Q2192" t="s">
        <v>1753</v>
      </c>
      <c r="R2192" t="s">
        <v>1828</v>
      </c>
    </row>
    <row r="2193" spans="1:18" x14ac:dyDescent="0.25">
      <c r="A2193" t="s">
        <v>5106</v>
      </c>
      <c r="B2193" t="s">
        <v>1820</v>
      </c>
      <c r="C2193" t="s">
        <v>4</v>
      </c>
      <c r="D2193" t="s">
        <v>5105</v>
      </c>
      <c r="E2193" s="2">
        <v>42401</v>
      </c>
      <c r="F2193">
        <v>3210</v>
      </c>
      <c r="G2193" t="s">
        <v>1746</v>
      </c>
      <c r="H2193" t="s">
        <v>1805</v>
      </c>
      <c r="I2193" t="b">
        <v>0</v>
      </c>
      <c r="J2193" t="s">
        <v>1761</v>
      </c>
      <c r="K2193" t="s">
        <v>1846</v>
      </c>
      <c r="L2193" t="s">
        <v>1750</v>
      </c>
      <c r="M2193">
        <v>31</v>
      </c>
      <c r="N2193" t="b">
        <v>1</v>
      </c>
      <c r="O2193">
        <v>98</v>
      </c>
      <c r="P2193" t="s">
        <v>1752</v>
      </c>
      <c r="Q2193" t="s">
        <v>1753</v>
      </c>
    </row>
    <row r="2194" spans="1:18" x14ac:dyDescent="0.25">
      <c r="A2194" t="s">
        <v>426</v>
      </c>
      <c r="B2194" t="s">
        <v>1876</v>
      </c>
      <c r="C2194" t="s">
        <v>4</v>
      </c>
      <c r="D2194" t="s">
        <v>427</v>
      </c>
      <c r="E2194" s="2">
        <v>44256</v>
      </c>
      <c r="F2194">
        <v>1355</v>
      </c>
      <c r="G2194" t="s">
        <v>1746</v>
      </c>
      <c r="H2194" t="s">
        <v>1747</v>
      </c>
      <c r="I2194" t="b">
        <v>0</v>
      </c>
      <c r="J2194" t="s">
        <v>1748</v>
      </c>
      <c r="K2194" t="s">
        <v>2042</v>
      </c>
      <c r="L2194" t="s">
        <v>1750</v>
      </c>
      <c r="M2194">
        <v>31</v>
      </c>
      <c r="N2194" t="b">
        <v>1</v>
      </c>
      <c r="O2194">
        <v>110</v>
      </c>
      <c r="P2194" t="s">
        <v>1752</v>
      </c>
      <c r="Q2194" t="s">
        <v>1753</v>
      </c>
      <c r="R2194" t="s">
        <v>1759</v>
      </c>
    </row>
    <row r="2195" spans="1:18" x14ac:dyDescent="0.25">
      <c r="A2195" t="s">
        <v>5108</v>
      </c>
      <c r="B2195" t="s">
        <v>2173</v>
      </c>
      <c r="C2195" t="s">
        <v>11</v>
      </c>
      <c r="D2195" t="s">
        <v>5107</v>
      </c>
      <c r="E2195" s="2">
        <v>42143</v>
      </c>
      <c r="F2195">
        <v>3468</v>
      </c>
      <c r="G2195" t="s">
        <v>1746</v>
      </c>
      <c r="H2195" t="s">
        <v>2231</v>
      </c>
      <c r="I2195" t="b">
        <v>0</v>
      </c>
      <c r="J2195" t="s">
        <v>1748</v>
      </c>
      <c r="K2195" t="s">
        <v>1755</v>
      </c>
      <c r="L2195" t="s">
        <v>1750</v>
      </c>
      <c r="M2195">
        <v>31</v>
      </c>
      <c r="N2195" t="b">
        <v>0</v>
      </c>
      <c r="O2195">
        <v>52</v>
      </c>
      <c r="P2195" t="s">
        <v>1752</v>
      </c>
      <c r="Q2195" t="s">
        <v>1753</v>
      </c>
      <c r="R2195" t="s">
        <v>1828</v>
      </c>
    </row>
    <row r="2196" spans="1:18" x14ac:dyDescent="0.25">
      <c r="A2196" t="s">
        <v>5109</v>
      </c>
      <c r="B2196" t="s">
        <v>1860</v>
      </c>
      <c r="C2196" t="s">
        <v>6</v>
      </c>
      <c r="D2196" t="s">
        <v>1157</v>
      </c>
      <c r="E2196" s="2">
        <v>44006</v>
      </c>
      <c r="F2196">
        <v>1605</v>
      </c>
      <c r="G2196" t="s">
        <v>1746</v>
      </c>
      <c r="H2196" t="s">
        <v>1747</v>
      </c>
      <c r="I2196" t="b">
        <v>0</v>
      </c>
      <c r="J2196" t="s">
        <v>1748</v>
      </c>
      <c r="K2196" t="s">
        <v>1986</v>
      </c>
      <c r="L2196" t="s">
        <v>1817</v>
      </c>
      <c r="M2196">
        <v>31</v>
      </c>
      <c r="N2196" t="b">
        <v>1</v>
      </c>
      <c r="O2196">
        <v>1037</v>
      </c>
      <c r="P2196" t="s">
        <v>1819</v>
      </c>
      <c r="Q2196" t="s">
        <v>1753</v>
      </c>
      <c r="R2196" t="s">
        <v>1759</v>
      </c>
    </row>
    <row r="2197" spans="1:18" x14ac:dyDescent="0.25">
      <c r="A2197" t="s">
        <v>5111</v>
      </c>
      <c r="B2197" t="s">
        <v>1907</v>
      </c>
      <c r="C2197" t="s">
        <v>2709</v>
      </c>
      <c r="D2197" t="s">
        <v>5110</v>
      </c>
      <c r="E2197" s="2">
        <v>45068</v>
      </c>
      <c r="F2197">
        <v>543</v>
      </c>
      <c r="G2197" t="s">
        <v>1746</v>
      </c>
      <c r="H2197" t="s">
        <v>1747</v>
      </c>
      <c r="I2197" t="b">
        <v>1</v>
      </c>
      <c r="J2197" t="s">
        <v>1748</v>
      </c>
      <c r="K2197" t="s">
        <v>1854</v>
      </c>
      <c r="L2197" t="s">
        <v>1775</v>
      </c>
      <c r="M2197">
        <v>31</v>
      </c>
      <c r="N2197" t="b">
        <v>0</v>
      </c>
      <c r="P2197" t="s">
        <v>2283</v>
      </c>
      <c r="Q2197" t="s">
        <v>1705</v>
      </c>
    </row>
    <row r="2198" spans="1:18" x14ac:dyDescent="0.25">
      <c r="A2198" t="s">
        <v>5113</v>
      </c>
      <c r="B2198" t="s">
        <v>1907</v>
      </c>
      <c r="C2198" t="s">
        <v>4</v>
      </c>
      <c r="D2198" t="s">
        <v>5112</v>
      </c>
      <c r="E2198" s="2">
        <v>44980</v>
      </c>
      <c r="F2198">
        <v>631</v>
      </c>
      <c r="G2198" t="s">
        <v>1746</v>
      </c>
      <c r="H2198" t="s">
        <v>1747</v>
      </c>
      <c r="I2198" t="b">
        <v>1</v>
      </c>
      <c r="J2198" t="s">
        <v>1748</v>
      </c>
      <c r="K2198" t="s">
        <v>1757</v>
      </c>
      <c r="L2198" t="s">
        <v>1750</v>
      </c>
      <c r="M2198">
        <v>31</v>
      </c>
      <c r="N2198" t="b">
        <v>0</v>
      </c>
      <c r="O2198">
        <v>261</v>
      </c>
      <c r="P2198" t="s">
        <v>1752</v>
      </c>
      <c r="Q2198" t="s">
        <v>1753</v>
      </c>
      <c r="R2198" t="s">
        <v>1759</v>
      </c>
    </row>
    <row r="2199" spans="1:18" x14ac:dyDescent="0.25">
      <c r="A2199" t="s">
        <v>5115</v>
      </c>
      <c r="B2199" t="s">
        <v>2133</v>
      </c>
      <c r="C2199" t="s">
        <v>6</v>
      </c>
      <c r="D2199" t="s">
        <v>5114</v>
      </c>
      <c r="E2199" s="2">
        <v>44453</v>
      </c>
      <c r="F2199">
        <v>1158</v>
      </c>
      <c r="G2199" t="s">
        <v>1746</v>
      </c>
      <c r="H2199" t="s">
        <v>1747</v>
      </c>
      <c r="I2199" t="b">
        <v>1</v>
      </c>
      <c r="J2199" t="s">
        <v>1748</v>
      </c>
      <c r="K2199" t="s">
        <v>1822</v>
      </c>
      <c r="L2199" t="s">
        <v>1750</v>
      </c>
      <c r="M2199">
        <v>31</v>
      </c>
      <c r="N2199" t="b">
        <v>0</v>
      </c>
      <c r="O2199">
        <v>1412</v>
      </c>
      <c r="P2199" t="s">
        <v>1752</v>
      </c>
      <c r="Q2199" t="s">
        <v>1753</v>
      </c>
      <c r="R2199" t="s">
        <v>1772</v>
      </c>
    </row>
    <row r="2200" spans="1:18" x14ac:dyDescent="0.25">
      <c r="A2200" t="s">
        <v>5117</v>
      </c>
      <c r="B2200" t="s">
        <v>2173</v>
      </c>
      <c r="C2200" t="s">
        <v>4</v>
      </c>
      <c r="D2200" t="s">
        <v>5116</v>
      </c>
      <c r="E2200" s="2">
        <v>42335</v>
      </c>
      <c r="F2200">
        <v>3276</v>
      </c>
      <c r="G2200" t="s">
        <v>1746</v>
      </c>
      <c r="H2200" t="s">
        <v>2231</v>
      </c>
      <c r="I2200" t="b">
        <v>1</v>
      </c>
      <c r="J2200" t="s">
        <v>1748</v>
      </c>
      <c r="K2200" t="s">
        <v>1857</v>
      </c>
      <c r="L2200" t="s">
        <v>1750</v>
      </c>
      <c r="M2200">
        <v>31</v>
      </c>
      <c r="N2200" t="b">
        <v>0</v>
      </c>
      <c r="O2200">
        <v>57</v>
      </c>
      <c r="P2200" t="s">
        <v>1752</v>
      </c>
      <c r="Q2200" t="s">
        <v>1753</v>
      </c>
    </row>
    <row r="2201" spans="1:18" x14ac:dyDescent="0.25">
      <c r="A2201" t="s">
        <v>5119</v>
      </c>
      <c r="B2201" t="s">
        <v>1803</v>
      </c>
      <c r="C2201" t="s">
        <v>572</v>
      </c>
      <c r="D2201" t="s">
        <v>5118</v>
      </c>
      <c r="E2201" s="2">
        <v>39521</v>
      </c>
      <c r="F2201">
        <v>6090</v>
      </c>
      <c r="G2201" t="s">
        <v>1746</v>
      </c>
      <c r="H2201" t="s">
        <v>1798</v>
      </c>
      <c r="I2201" t="b">
        <v>0</v>
      </c>
      <c r="J2201" t="s">
        <v>1761</v>
      </c>
      <c r="K2201" t="s">
        <v>1842</v>
      </c>
      <c r="L2201" t="s">
        <v>1750</v>
      </c>
      <c r="M2201">
        <v>31</v>
      </c>
      <c r="N2201" t="b">
        <v>0</v>
      </c>
      <c r="O2201">
        <v>20</v>
      </c>
      <c r="P2201" t="s">
        <v>1752</v>
      </c>
      <c r="Q2201" t="s">
        <v>1753</v>
      </c>
      <c r="R2201" t="s">
        <v>1828</v>
      </c>
    </row>
    <row r="2202" spans="1:18" x14ac:dyDescent="0.25">
      <c r="A2202" t="s">
        <v>5121</v>
      </c>
      <c r="B2202" t="s">
        <v>2370</v>
      </c>
      <c r="C2202" t="s">
        <v>4</v>
      </c>
      <c r="D2202" t="s">
        <v>5120</v>
      </c>
      <c r="E2202" s="2">
        <v>45364</v>
      </c>
      <c r="F2202">
        <v>247</v>
      </c>
      <c r="G2202" t="s">
        <v>1746</v>
      </c>
      <c r="H2202" t="s">
        <v>1747</v>
      </c>
      <c r="I2202" t="b">
        <v>0</v>
      </c>
      <c r="J2202" t="s">
        <v>1748</v>
      </c>
      <c r="K2202" t="s">
        <v>1755</v>
      </c>
      <c r="L2202" t="s">
        <v>1766</v>
      </c>
      <c r="M2202">
        <v>31</v>
      </c>
      <c r="N2202" t="b">
        <v>0</v>
      </c>
      <c r="P2202" t="s">
        <v>1752</v>
      </c>
      <c r="Q2202" t="s">
        <v>1753</v>
      </c>
      <c r="R2202" t="s">
        <v>1759</v>
      </c>
    </row>
    <row r="2203" spans="1:18" x14ac:dyDescent="0.25">
      <c r="A2203" t="s">
        <v>5123</v>
      </c>
      <c r="B2203" t="s">
        <v>2150</v>
      </c>
      <c r="C2203" t="s">
        <v>4</v>
      </c>
      <c r="D2203" t="s">
        <v>5122</v>
      </c>
      <c r="E2203" s="2">
        <v>44417</v>
      </c>
      <c r="F2203">
        <v>1194</v>
      </c>
      <c r="G2203" t="s">
        <v>1746</v>
      </c>
      <c r="H2203" t="s">
        <v>1747</v>
      </c>
      <c r="I2203" t="b">
        <v>0</v>
      </c>
      <c r="J2203" t="s">
        <v>1761</v>
      </c>
      <c r="K2203" t="s">
        <v>1863</v>
      </c>
      <c r="L2203" t="s">
        <v>1756</v>
      </c>
      <c r="M2203">
        <v>31</v>
      </c>
      <c r="N2203" t="b">
        <v>1</v>
      </c>
      <c r="O2203">
        <v>551</v>
      </c>
      <c r="P2203" t="s">
        <v>1752</v>
      </c>
      <c r="Q2203" t="s">
        <v>1753</v>
      </c>
    </row>
    <row r="2204" spans="1:18" x14ac:dyDescent="0.25">
      <c r="A2204" t="s">
        <v>5125</v>
      </c>
      <c r="B2204" t="s">
        <v>2173</v>
      </c>
      <c r="C2204" t="s">
        <v>4</v>
      </c>
      <c r="D2204" t="s">
        <v>5124</v>
      </c>
      <c r="E2204" s="2">
        <v>44335</v>
      </c>
      <c r="F2204">
        <v>1276</v>
      </c>
      <c r="G2204" t="s">
        <v>1746</v>
      </c>
      <c r="H2204" t="s">
        <v>1747</v>
      </c>
      <c r="I2204" t="b">
        <v>0</v>
      </c>
      <c r="J2204" t="s">
        <v>1748</v>
      </c>
      <c r="K2204" t="s">
        <v>1988</v>
      </c>
      <c r="L2204" t="s">
        <v>1817</v>
      </c>
      <c r="M2204">
        <v>31</v>
      </c>
      <c r="N2204" t="b">
        <v>0</v>
      </c>
      <c r="O2204">
        <v>22</v>
      </c>
      <c r="P2204" t="s">
        <v>1819</v>
      </c>
      <c r="Q2204" t="s">
        <v>1753</v>
      </c>
    </row>
    <row r="2205" spans="1:18" x14ac:dyDescent="0.25">
      <c r="A2205" t="s">
        <v>5127</v>
      </c>
      <c r="B2205" t="s">
        <v>1907</v>
      </c>
      <c r="C2205" t="s">
        <v>6</v>
      </c>
      <c r="D2205" t="s">
        <v>5126</v>
      </c>
      <c r="E2205" s="2">
        <v>44098</v>
      </c>
      <c r="F2205">
        <v>1513</v>
      </c>
      <c r="G2205" t="s">
        <v>1746</v>
      </c>
      <c r="H2205" t="s">
        <v>1798</v>
      </c>
      <c r="I2205" t="b">
        <v>0</v>
      </c>
      <c r="J2205" t="s">
        <v>1761</v>
      </c>
      <c r="K2205" t="s">
        <v>1853</v>
      </c>
      <c r="L2205" t="s">
        <v>1766</v>
      </c>
      <c r="M2205">
        <v>31</v>
      </c>
      <c r="N2205" t="b">
        <v>0</v>
      </c>
      <c r="P2205" t="s">
        <v>1752</v>
      </c>
      <c r="Q2205" t="s">
        <v>1753</v>
      </c>
      <c r="R2205" t="s">
        <v>1828</v>
      </c>
    </row>
    <row r="2206" spans="1:18" x14ac:dyDescent="0.25">
      <c r="A2206" t="s">
        <v>240</v>
      </c>
      <c r="B2206" t="s">
        <v>1754</v>
      </c>
      <c r="C2206" t="s">
        <v>4</v>
      </c>
      <c r="D2206" t="s">
        <v>241</v>
      </c>
      <c r="E2206" s="2">
        <v>43620</v>
      </c>
      <c r="F2206">
        <v>1991</v>
      </c>
      <c r="G2206" t="s">
        <v>1746</v>
      </c>
      <c r="H2206" t="s">
        <v>1747</v>
      </c>
      <c r="I2206" t="b">
        <v>0</v>
      </c>
      <c r="J2206" t="s">
        <v>1748</v>
      </c>
      <c r="K2206" t="s">
        <v>1809</v>
      </c>
      <c r="L2206" t="s">
        <v>1750</v>
      </c>
      <c r="M2206">
        <v>30</v>
      </c>
      <c r="N2206" t="b">
        <v>0</v>
      </c>
      <c r="O2206">
        <v>88</v>
      </c>
      <c r="P2206" t="s">
        <v>1752</v>
      </c>
      <c r="Q2206" t="s">
        <v>1753</v>
      </c>
    </row>
    <row r="2207" spans="1:18" x14ac:dyDescent="0.25">
      <c r="A2207" t="s">
        <v>5129</v>
      </c>
      <c r="B2207" t="s">
        <v>1803</v>
      </c>
      <c r="C2207" t="s">
        <v>572</v>
      </c>
      <c r="D2207" t="s">
        <v>5128</v>
      </c>
      <c r="E2207" s="2">
        <v>39874</v>
      </c>
      <c r="F2207">
        <v>5737</v>
      </c>
      <c r="G2207" t="s">
        <v>1746</v>
      </c>
      <c r="H2207" t="s">
        <v>1798</v>
      </c>
      <c r="I2207" t="b">
        <v>0</v>
      </c>
      <c r="J2207" t="s">
        <v>1761</v>
      </c>
      <c r="K2207" t="s">
        <v>1824</v>
      </c>
      <c r="L2207" t="s">
        <v>1750</v>
      </c>
      <c r="M2207">
        <v>30</v>
      </c>
      <c r="N2207" t="b">
        <v>0</v>
      </c>
      <c r="O2207">
        <v>25</v>
      </c>
      <c r="P2207" t="s">
        <v>1819</v>
      </c>
      <c r="Q2207" t="s">
        <v>1753</v>
      </c>
      <c r="R2207" t="s">
        <v>1828</v>
      </c>
    </row>
    <row r="2208" spans="1:18" x14ac:dyDescent="0.25">
      <c r="A2208" t="s">
        <v>5131</v>
      </c>
      <c r="B2208" t="s">
        <v>2150</v>
      </c>
      <c r="C2208" t="s">
        <v>4</v>
      </c>
      <c r="D2208" t="s">
        <v>5130</v>
      </c>
      <c r="E2208" s="2">
        <v>44678</v>
      </c>
      <c r="F2208">
        <v>933</v>
      </c>
      <c r="G2208" t="s">
        <v>1746</v>
      </c>
      <c r="H2208" t="s">
        <v>1747</v>
      </c>
      <c r="I2208" t="b">
        <v>0</v>
      </c>
      <c r="J2208" t="s">
        <v>1761</v>
      </c>
      <c r="K2208" t="s">
        <v>1749</v>
      </c>
      <c r="L2208" t="s">
        <v>1750</v>
      </c>
      <c r="M2208">
        <v>30</v>
      </c>
      <c r="N2208" t="b">
        <v>1</v>
      </c>
      <c r="O2208">
        <v>301</v>
      </c>
      <c r="P2208" t="s">
        <v>1752</v>
      </c>
      <c r="Q2208" t="s">
        <v>1753</v>
      </c>
    </row>
    <row r="2209" spans="1:18" x14ac:dyDescent="0.25">
      <c r="A2209" t="s">
        <v>800</v>
      </c>
      <c r="B2209" t="s">
        <v>2611</v>
      </c>
      <c r="C2209" t="s">
        <v>4</v>
      </c>
      <c r="D2209" t="s">
        <v>801</v>
      </c>
      <c r="E2209" s="2">
        <v>45190</v>
      </c>
      <c r="F2209">
        <v>421</v>
      </c>
      <c r="G2209" t="s">
        <v>1746</v>
      </c>
      <c r="H2209" t="s">
        <v>1747</v>
      </c>
      <c r="I2209" t="b">
        <v>0</v>
      </c>
      <c r="J2209" t="s">
        <v>1748</v>
      </c>
      <c r="K2209" t="s">
        <v>1917</v>
      </c>
      <c r="L2209" t="s">
        <v>1750</v>
      </c>
      <c r="M2209">
        <v>30</v>
      </c>
      <c r="N2209" t="b">
        <v>1</v>
      </c>
      <c r="O2209">
        <v>81</v>
      </c>
      <c r="P2209" t="s">
        <v>1752</v>
      </c>
      <c r="Q2209" t="s">
        <v>1753</v>
      </c>
      <c r="R2209" t="s">
        <v>1759</v>
      </c>
    </row>
    <row r="2210" spans="1:18" x14ac:dyDescent="0.25">
      <c r="A2210" t="s">
        <v>5133</v>
      </c>
      <c r="B2210" t="s">
        <v>2965</v>
      </c>
      <c r="C2210" t="s">
        <v>4</v>
      </c>
      <c r="D2210" t="s">
        <v>5132</v>
      </c>
      <c r="E2210" s="2">
        <v>44588</v>
      </c>
      <c r="F2210">
        <v>1023</v>
      </c>
      <c r="G2210" t="s">
        <v>1746</v>
      </c>
      <c r="H2210" t="s">
        <v>1747</v>
      </c>
      <c r="I2210" t="b">
        <v>1</v>
      </c>
      <c r="J2210" t="s">
        <v>1748</v>
      </c>
      <c r="K2210" t="s">
        <v>1848</v>
      </c>
      <c r="L2210" t="s">
        <v>1750</v>
      </c>
      <c r="M2210">
        <v>30</v>
      </c>
      <c r="N2210" t="b">
        <v>0</v>
      </c>
      <c r="O2210">
        <v>83</v>
      </c>
      <c r="P2210" t="s">
        <v>1752</v>
      </c>
      <c r="Q2210" t="s">
        <v>1753</v>
      </c>
      <c r="R2210" t="s">
        <v>1759</v>
      </c>
    </row>
    <row r="2211" spans="1:18" x14ac:dyDescent="0.25">
      <c r="A2211" t="s">
        <v>5135</v>
      </c>
      <c r="B2211" t="s">
        <v>1907</v>
      </c>
      <c r="C2211" t="s">
        <v>4</v>
      </c>
      <c r="D2211" t="s">
        <v>5134</v>
      </c>
      <c r="E2211" s="2">
        <v>45189</v>
      </c>
      <c r="F2211">
        <v>422</v>
      </c>
      <c r="G2211" t="s">
        <v>1746</v>
      </c>
      <c r="H2211" t="s">
        <v>1798</v>
      </c>
      <c r="I2211" t="b">
        <v>1</v>
      </c>
      <c r="J2211" t="s">
        <v>1748</v>
      </c>
      <c r="K2211" t="s">
        <v>1913</v>
      </c>
      <c r="L2211" t="s">
        <v>1817</v>
      </c>
      <c r="M2211">
        <v>30</v>
      </c>
      <c r="N2211" t="b">
        <v>0</v>
      </c>
      <c r="O2211">
        <v>1853</v>
      </c>
      <c r="P2211" t="s">
        <v>1819</v>
      </c>
      <c r="Q2211" t="s">
        <v>1753</v>
      </c>
      <c r="R2211" t="s">
        <v>1759</v>
      </c>
    </row>
    <row r="2212" spans="1:18" x14ac:dyDescent="0.25">
      <c r="A2212" t="s">
        <v>5137</v>
      </c>
      <c r="B2212" t="s">
        <v>2585</v>
      </c>
      <c r="C2212" t="s">
        <v>4</v>
      </c>
      <c r="D2212" t="s">
        <v>5136</v>
      </c>
      <c r="E2212" s="2">
        <v>44265</v>
      </c>
      <c r="F2212">
        <v>1346</v>
      </c>
      <c r="G2212" t="s">
        <v>1833</v>
      </c>
      <c r="H2212" t="s">
        <v>1747</v>
      </c>
      <c r="I2212" t="b">
        <v>0</v>
      </c>
      <c r="J2212" t="s">
        <v>1748</v>
      </c>
      <c r="K2212" t="s">
        <v>1848</v>
      </c>
      <c r="L2212" t="s">
        <v>1750</v>
      </c>
      <c r="M2212">
        <v>30</v>
      </c>
      <c r="N2212" t="b">
        <v>1</v>
      </c>
      <c r="O2212">
        <v>50</v>
      </c>
      <c r="P2212" t="s">
        <v>1752</v>
      </c>
      <c r="Q2212" t="s">
        <v>1753</v>
      </c>
      <c r="R2212" t="s">
        <v>1759</v>
      </c>
    </row>
    <row r="2213" spans="1:18" x14ac:dyDescent="0.25">
      <c r="A2213" t="s">
        <v>5139</v>
      </c>
      <c r="B2213" t="s">
        <v>2854</v>
      </c>
      <c r="C2213" t="s">
        <v>6</v>
      </c>
      <c r="D2213" t="s">
        <v>5138</v>
      </c>
      <c r="E2213" s="2">
        <v>39870</v>
      </c>
      <c r="F2213">
        <v>5741</v>
      </c>
      <c r="G2213" t="s">
        <v>1746</v>
      </c>
      <c r="H2213" t="s">
        <v>1798</v>
      </c>
      <c r="I2213" t="b">
        <v>0</v>
      </c>
      <c r="J2213" t="s">
        <v>1748</v>
      </c>
      <c r="K2213" t="s">
        <v>1880</v>
      </c>
      <c r="L2213" t="s">
        <v>1750</v>
      </c>
      <c r="M2213">
        <v>30</v>
      </c>
      <c r="N2213" t="b">
        <v>0</v>
      </c>
      <c r="O2213">
        <v>200</v>
      </c>
      <c r="P2213" t="s">
        <v>1752</v>
      </c>
      <c r="Q2213" t="s">
        <v>1753</v>
      </c>
      <c r="R2213" t="s">
        <v>1828</v>
      </c>
    </row>
    <row r="2214" spans="1:18" x14ac:dyDescent="0.25">
      <c r="A2214" t="s">
        <v>5141</v>
      </c>
      <c r="B2214" t="s">
        <v>2173</v>
      </c>
      <c r="C2214" t="s">
        <v>6</v>
      </c>
      <c r="D2214" t="s">
        <v>5140</v>
      </c>
      <c r="E2214" s="2">
        <v>43889</v>
      </c>
      <c r="F2214">
        <v>1722</v>
      </c>
      <c r="G2214" t="s">
        <v>1746</v>
      </c>
      <c r="H2214" t="s">
        <v>2231</v>
      </c>
      <c r="I2214" t="b">
        <v>0</v>
      </c>
      <c r="J2214" t="s">
        <v>1748</v>
      </c>
      <c r="K2214" t="s">
        <v>1857</v>
      </c>
      <c r="L2214" t="s">
        <v>1817</v>
      </c>
      <c r="M2214">
        <v>30</v>
      </c>
      <c r="N2214" t="b">
        <v>1</v>
      </c>
      <c r="O2214">
        <v>802</v>
      </c>
      <c r="P2214" t="s">
        <v>1819</v>
      </c>
      <c r="Q2214" t="s">
        <v>1753</v>
      </c>
      <c r="R2214" t="s">
        <v>1772</v>
      </c>
    </row>
    <row r="2215" spans="1:18" x14ac:dyDescent="0.25">
      <c r="A2215" t="s">
        <v>5143</v>
      </c>
      <c r="B2215" t="s">
        <v>1785</v>
      </c>
      <c r="C2215" t="s">
        <v>6</v>
      </c>
      <c r="D2215" t="s">
        <v>5142</v>
      </c>
      <c r="E2215" s="2">
        <v>40672</v>
      </c>
      <c r="F2215">
        <v>4939</v>
      </c>
      <c r="G2215" t="s">
        <v>1746</v>
      </c>
      <c r="H2215" t="s">
        <v>1747</v>
      </c>
      <c r="I2215" t="b">
        <v>0</v>
      </c>
      <c r="J2215" t="s">
        <v>1748</v>
      </c>
      <c r="K2215" t="s">
        <v>1757</v>
      </c>
      <c r="L2215" t="s">
        <v>1766</v>
      </c>
      <c r="M2215">
        <v>30</v>
      </c>
      <c r="N2215" t="b">
        <v>0</v>
      </c>
      <c r="P2215" t="s">
        <v>1752</v>
      </c>
      <c r="Q2215" t="s">
        <v>1753</v>
      </c>
      <c r="R2215" t="s">
        <v>5066</v>
      </c>
    </row>
    <row r="2216" spans="1:18" x14ac:dyDescent="0.25">
      <c r="A2216" t="s">
        <v>5144</v>
      </c>
      <c r="B2216" t="s">
        <v>1810</v>
      </c>
      <c r="C2216" t="s">
        <v>4</v>
      </c>
      <c r="D2216" t="s">
        <v>1013</v>
      </c>
      <c r="E2216" s="2">
        <v>41955</v>
      </c>
      <c r="F2216">
        <v>3656</v>
      </c>
      <c r="G2216" t="s">
        <v>1746</v>
      </c>
      <c r="H2216" t="s">
        <v>1747</v>
      </c>
      <c r="I2216" t="b">
        <v>1</v>
      </c>
      <c r="J2216" t="s">
        <v>1761</v>
      </c>
      <c r="K2216" t="s">
        <v>1818</v>
      </c>
      <c r="L2216" t="s">
        <v>1817</v>
      </c>
      <c r="M2216">
        <v>30</v>
      </c>
      <c r="N2216" t="b">
        <v>0</v>
      </c>
      <c r="O2216">
        <v>216</v>
      </c>
      <c r="P2216" t="s">
        <v>1819</v>
      </c>
      <c r="Q2216" t="s">
        <v>1753</v>
      </c>
      <c r="R2216" t="s">
        <v>1772</v>
      </c>
    </row>
    <row r="2217" spans="1:18" x14ac:dyDescent="0.25">
      <c r="A2217" t="s">
        <v>5146</v>
      </c>
      <c r="B2217" t="s">
        <v>2150</v>
      </c>
      <c r="C2217" t="s">
        <v>4</v>
      </c>
      <c r="D2217" t="s">
        <v>5145</v>
      </c>
      <c r="E2217" s="2">
        <v>39903</v>
      </c>
      <c r="F2217">
        <v>5708</v>
      </c>
      <c r="G2217" t="s">
        <v>1746</v>
      </c>
      <c r="H2217" t="s">
        <v>1805</v>
      </c>
      <c r="I2217" t="b">
        <v>0</v>
      </c>
      <c r="J2217" t="s">
        <v>1748</v>
      </c>
      <c r="K2217" t="s">
        <v>1863</v>
      </c>
      <c r="L2217" t="s">
        <v>1766</v>
      </c>
      <c r="M2217">
        <v>30</v>
      </c>
      <c r="N2217" t="b">
        <v>0</v>
      </c>
      <c r="P2217" t="s">
        <v>1752</v>
      </c>
      <c r="Q2217" t="s">
        <v>1753</v>
      </c>
    </row>
    <row r="2218" spans="1:18" x14ac:dyDescent="0.25">
      <c r="A2218" t="s">
        <v>5148</v>
      </c>
      <c r="B2218" t="s">
        <v>2177</v>
      </c>
      <c r="C2218" t="s">
        <v>4</v>
      </c>
      <c r="D2218" t="s">
        <v>5147</v>
      </c>
      <c r="E2218" s="2">
        <v>42675</v>
      </c>
      <c r="F2218">
        <v>2936</v>
      </c>
      <c r="G2218" t="s">
        <v>1746</v>
      </c>
      <c r="H2218" t="s">
        <v>1747</v>
      </c>
      <c r="I2218" t="b">
        <v>0</v>
      </c>
      <c r="J2218" t="s">
        <v>1748</v>
      </c>
      <c r="K2218" t="s">
        <v>1807</v>
      </c>
      <c r="L2218" t="s">
        <v>1750</v>
      </c>
      <c r="M2218">
        <v>30</v>
      </c>
      <c r="N2218" t="b">
        <v>1</v>
      </c>
      <c r="O2218">
        <v>139</v>
      </c>
      <c r="P2218" t="s">
        <v>1752</v>
      </c>
      <c r="Q2218" t="s">
        <v>1753</v>
      </c>
      <c r="R2218" t="s">
        <v>1828</v>
      </c>
    </row>
    <row r="2219" spans="1:18" x14ac:dyDescent="0.25">
      <c r="A2219" t="s">
        <v>5150</v>
      </c>
      <c r="B2219" t="s">
        <v>2857</v>
      </c>
      <c r="C2219" t="s">
        <v>4</v>
      </c>
      <c r="D2219" t="s">
        <v>5149</v>
      </c>
      <c r="E2219" s="2">
        <v>42062</v>
      </c>
      <c r="F2219">
        <v>3549</v>
      </c>
      <c r="G2219" t="s">
        <v>1746</v>
      </c>
      <c r="H2219" t="s">
        <v>2231</v>
      </c>
      <c r="I2219" t="b">
        <v>1</v>
      </c>
      <c r="J2219" t="s">
        <v>1748</v>
      </c>
      <c r="K2219" t="s">
        <v>1755</v>
      </c>
      <c r="L2219" t="s">
        <v>1750</v>
      </c>
      <c r="M2219">
        <v>30</v>
      </c>
      <c r="N2219" t="b">
        <v>0</v>
      </c>
      <c r="O2219">
        <v>502</v>
      </c>
      <c r="P2219" t="s">
        <v>1752</v>
      </c>
      <c r="Q2219" t="s">
        <v>1753</v>
      </c>
    </row>
    <row r="2220" spans="1:18" x14ac:dyDescent="0.25">
      <c r="A2220" t="s">
        <v>5151</v>
      </c>
      <c r="B2220" t="s">
        <v>2269</v>
      </c>
      <c r="C2220" t="s">
        <v>4</v>
      </c>
      <c r="D2220" t="s">
        <v>991</v>
      </c>
      <c r="E2220" s="2">
        <v>41976</v>
      </c>
      <c r="F2220">
        <v>3635</v>
      </c>
      <c r="G2220" t="s">
        <v>1746</v>
      </c>
      <c r="H2220" t="s">
        <v>1798</v>
      </c>
      <c r="I2220" t="b">
        <v>1</v>
      </c>
      <c r="J2220" t="s">
        <v>1761</v>
      </c>
      <c r="K2220" t="s">
        <v>1824</v>
      </c>
      <c r="L2220" t="s">
        <v>1817</v>
      </c>
      <c r="M2220">
        <v>30</v>
      </c>
      <c r="N2220" t="b">
        <v>0</v>
      </c>
      <c r="O2220">
        <v>71</v>
      </c>
      <c r="P2220" t="s">
        <v>1819</v>
      </c>
      <c r="Q2220" t="s">
        <v>1753</v>
      </c>
      <c r="R2220" t="s">
        <v>1828</v>
      </c>
    </row>
    <row r="2221" spans="1:18" x14ac:dyDescent="0.25">
      <c r="A2221" t="s">
        <v>5153</v>
      </c>
      <c r="B2221" t="s">
        <v>1873</v>
      </c>
      <c r="C2221" t="s">
        <v>4</v>
      </c>
      <c r="D2221" t="s">
        <v>5152</v>
      </c>
      <c r="E2221" s="2">
        <v>40597</v>
      </c>
      <c r="F2221">
        <v>5014</v>
      </c>
      <c r="G2221" t="s">
        <v>1746</v>
      </c>
      <c r="H2221" t="s">
        <v>1747</v>
      </c>
      <c r="I2221" t="b">
        <v>1</v>
      </c>
      <c r="J2221" t="s">
        <v>1761</v>
      </c>
      <c r="K2221" t="s">
        <v>1880</v>
      </c>
      <c r="L2221" t="s">
        <v>1750</v>
      </c>
      <c r="M2221">
        <v>30</v>
      </c>
      <c r="N2221" t="b">
        <v>0</v>
      </c>
      <c r="O2221">
        <v>86</v>
      </c>
      <c r="P2221" t="s">
        <v>1752</v>
      </c>
      <c r="Q2221" t="s">
        <v>1753</v>
      </c>
    </row>
    <row r="2222" spans="1:18" x14ac:dyDescent="0.25">
      <c r="A2222" t="s">
        <v>5155</v>
      </c>
      <c r="B2222" t="s">
        <v>1907</v>
      </c>
      <c r="C2222" t="s">
        <v>6</v>
      </c>
      <c r="D2222" t="s">
        <v>5154</v>
      </c>
      <c r="E2222" s="2">
        <v>44091</v>
      </c>
      <c r="F2222">
        <v>1520</v>
      </c>
      <c r="G2222" t="s">
        <v>1746</v>
      </c>
      <c r="H2222" t="s">
        <v>1798</v>
      </c>
      <c r="I2222" t="b">
        <v>1</v>
      </c>
      <c r="J2222" t="s">
        <v>1761</v>
      </c>
      <c r="K2222" t="s">
        <v>1824</v>
      </c>
      <c r="L2222" t="s">
        <v>1750</v>
      </c>
      <c r="M2222">
        <v>30</v>
      </c>
      <c r="N2222" t="b">
        <v>0</v>
      </c>
      <c r="O2222">
        <v>59</v>
      </c>
      <c r="P2222" t="s">
        <v>1819</v>
      </c>
      <c r="Q2222" t="s">
        <v>1753</v>
      </c>
      <c r="R2222" t="s">
        <v>1828</v>
      </c>
    </row>
    <row r="2223" spans="1:18" x14ac:dyDescent="0.25">
      <c r="A2223" t="s">
        <v>5156</v>
      </c>
      <c r="B2223" t="s">
        <v>2384</v>
      </c>
      <c r="C2223" t="s">
        <v>4</v>
      </c>
      <c r="D2223" t="s">
        <v>1278</v>
      </c>
      <c r="E2223" s="2">
        <v>44845</v>
      </c>
      <c r="F2223">
        <v>766</v>
      </c>
      <c r="G2223" t="s">
        <v>1746</v>
      </c>
      <c r="H2223" t="s">
        <v>1747</v>
      </c>
      <c r="I2223" t="b">
        <v>0</v>
      </c>
      <c r="J2223" t="s">
        <v>1748</v>
      </c>
      <c r="K2223" t="s">
        <v>1825</v>
      </c>
      <c r="L2223" t="s">
        <v>1750</v>
      </c>
      <c r="M2223">
        <v>30</v>
      </c>
      <c r="N2223" t="b">
        <v>1</v>
      </c>
      <c r="O2223">
        <v>2042</v>
      </c>
      <c r="P2223" t="s">
        <v>1752</v>
      </c>
      <c r="Q2223" t="s">
        <v>1753</v>
      </c>
      <c r="R2223" t="s">
        <v>2028</v>
      </c>
    </row>
    <row r="2224" spans="1:18" x14ac:dyDescent="0.25">
      <c r="A2224" t="s">
        <v>5157</v>
      </c>
      <c r="B2224" t="s">
        <v>2353</v>
      </c>
      <c r="C2224" t="s">
        <v>186</v>
      </c>
      <c r="D2224" t="s">
        <v>193</v>
      </c>
      <c r="E2224" s="2">
        <v>41096</v>
      </c>
      <c r="F2224">
        <v>4515</v>
      </c>
      <c r="G2224" t="s">
        <v>1746</v>
      </c>
      <c r="H2224" t="s">
        <v>1798</v>
      </c>
      <c r="I2224" t="b">
        <v>0</v>
      </c>
      <c r="J2224" t="s">
        <v>1748</v>
      </c>
      <c r="K2224" t="s">
        <v>1830</v>
      </c>
      <c r="L2224" t="s">
        <v>2102</v>
      </c>
      <c r="M2224">
        <v>30</v>
      </c>
      <c r="N2224" t="b">
        <v>0</v>
      </c>
      <c r="P2224" t="s">
        <v>1778</v>
      </c>
      <c r="Q2224" t="s">
        <v>1779</v>
      </c>
    </row>
    <row r="2225" spans="1:18" x14ac:dyDescent="0.25">
      <c r="A2225" t="s">
        <v>5159</v>
      </c>
      <c r="B2225" t="s">
        <v>1704</v>
      </c>
      <c r="C2225" t="s">
        <v>6</v>
      </c>
      <c r="D2225" t="s">
        <v>5158</v>
      </c>
      <c r="E2225" s="2">
        <v>45474</v>
      </c>
      <c r="F2225">
        <v>137</v>
      </c>
      <c r="G2225" t="s">
        <v>1746</v>
      </c>
      <c r="H2225" t="s">
        <v>1798</v>
      </c>
      <c r="I2225" t="b">
        <v>0</v>
      </c>
      <c r="J2225" t="s">
        <v>1748</v>
      </c>
      <c r="K2225" t="s">
        <v>1834</v>
      </c>
      <c r="L2225" t="s">
        <v>1756</v>
      </c>
      <c r="M2225">
        <v>29</v>
      </c>
      <c r="N2225" t="b">
        <v>1</v>
      </c>
      <c r="P2225" t="s">
        <v>1752</v>
      </c>
      <c r="Q2225" t="s">
        <v>1753</v>
      </c>
      <c r="R2225" t="s">
        <v>1759</v>
      </c>
    </row>
    <row r="2226" spans="1:18" x14ac:dyDescent="0.25">
      <c r="A2226" t="s">
        <v>5161</v>
      </c>
      <c r="B2226" t="s">
        <v>2011</v>
      </c>
      <c r="C2226" t="s">
        <v>4</v>
      </c>
      <c r="D2226" t="s">
        <v>5160</v>
      </c>
      <c r="E2226" s="2">
        <v>45488</v>
      </c>
      <c r="F2226">
        <v>123</v>
      </c>
      <c r="G2226" t="s">
        <v>1746</v>
      </c>
      <c r="H2226" t="s">
        <v>1747</v>
      </c>
      <c r="I2226" t="b">
        <v>0</v>
      </c>
      <c r="J2226" t="s">
        <v>1748</v>
      </c>
      <c r="K2226" t="s">
        <v>1988</v>
      </c>
      <c r="L2226" t="s">
        <v>1756</v>
      </c>
      <c r="M2226">
        <v>29</v>
      </c>
      <c r="N2226" t="b">
        <v>1</v>
      </c>
      <c r="P2226" t="s">
        <v>1752</v>
      </c>
      <c r="Q2226" t="s">
        <v>1753</v>
      </c>
      <c r="R2226" t="s">
        <v>1772</v>
      </c>
    </row>
    <row r="2227" spans="1:18" x14ac:dyDescent="0.25">
      <c r="A2227" t="s">
        <v>5163</v>
      </c>
      <c r="B2227" t="s">
        <v>2269</v>
      </c>
      <c r="C2227" t="s">
        <v>6</v>
      </c>
      <c r="D2227" t="s">
        <v>5162</v>
      </c>
      <c r="E2227" s="2">
        <v>43088</v>
      </c>
      <c r="F2227">
        <v>2523</v>
      </c>
      <c r="G2227" t="s">
        <v>1746</v>
      </c>
      <c r="H2227" t="s">
        <v>1798</v>
      </c>
      <c r="I2227" t="b">
        <v>1</v>
      </c>
      <c r="J2227" t="s">
        <v>1761</v>
      </c>
      <c r="K2227" t="s">
        <v>1863</v>
      </c>
      <c r="L2227" t="s">
        <v>1817</v>
      </c>
      <c r="M2227">
        <v>29</v>
      </c>
      <c r="N2227" t="b">
        <v>0</v>
      </c>
      <c r="O2227">
        <v>407</v>
      </c>
      <c r="P2227" t="s">
        <v>1819</v>
      </c>
      <c r="Q2227" t="s">
        <v>1753</v>
      </c>
      <c r="R2227" t="s">
        <v>1828</v>
      </c>
    </row>
    <row r="2228" spans="1:18" x14ac:dyDescent="0.25">
      <c r="A2228" t="s">
        <v>5164</v>
      </c>
      <c r="B2228" t="s">
        <v>1781</v>
      </c>
      <c r="C2228" t="s">
        <v>4</v>
      </c>
      <c r="D2228" t="s">
        <v>1415</v>
      </c>
      <c r="E2228" s="2">
        <v>43523</v>
      </c>
      <c r="F2228">
        <v>2088</v>
      </c>
      <c r="G2228" t="s">
        <v>1746</v>
      </c>
      <c r="H2228" t="s">
        <v>1747</v>
      </c>
      <c r="I2228" t="b">
        <v>0</v>
      </c>
      <c r="J2228" t="s">
        <v>1748</v>
      </c>
      <c r="K2228" t="s">
        <v>2021</v>
      </c>
      <c r="L2228" t="s">
        <v>2102</v>
      </c>
      <c r="M2228">
        <v>29</v>
      </c>
      <c r="N2228" t="b">
        <v>0</v>
      </c>
      <c r="P2228" t="s">
        <v>2070</v>
      </c>
      <c r="Q2228" t="s">
        <v>1779</v>
      </c>
    </row>
    <row r="2229" spans="1:18" x14ac:dyDescent="0.25">
      <c r="A2229" t="s">
        <v>5165</v>
      </c>
      <c r="B2229" t="s">
        <v>2180</v>
      </c>
      <c r="C2229" t="s">
        <v>6</v>
      </c>
      <c r="D2229" t="s">
        <v>947</v>
      </c>
      <c r="E2229" s="2">
        <v>38954</v>
      </c>
      <c r="F2229">
        <v>6657</v>
      </c>
      <c r="G2229" t="s">
        <v>1746</v>
      </c>
      <c r="H2229" t="s">
        <v>1798</v>
      </c>
      <c r="I2229" t="b">
        <v>0</v>
      </c>
      <c r="J2229" t="s">
        <v>1748</v>
      </c>
      <c r="K2229" t="s">
        <v>1853</v>
      </c>
      <c r="L2229" t="s">
        <v>1766</v>
      </c>
      <c r="M2229">
        <v>29</v>
      </c>
      <c r="N2229" t="b">
        <v>0</v>
      </c>
      <c r="P2229" t="s">
        <v>1752</v>
      </c>
      <c r="Q2229" t="s">
        <v>1753</v>
      </c>
      <c r="R2229" t="s">
        <v>1828</v>
      </c>
    </row>
    <row r="2230" spans="1:18" x14ac:dyDescent="0.25">
      <c r="A2230" t="s">
        <v>5167</v>
      </c>
      <c r="B2230" t="s">
        <v>2342</v>
      </c>
      <c r="C2230" t="s">
        <v>6</v>
      </c>
      <c r="D2230" t="s">
        <v>5166</v>
      </c>
      <c r="E2230" s="2">
        <v>42405</v>
      </c>
      <c r="F2230">
        <v>3206</v>
      </c>
      <c r="G2230" t="s">
        <v>1746</v>
      </c>
      <c r="H2230" t="s">
        <v>1798</v>
      </c>
      <c r="I2230" t="b">
        <v>0</v>
      </c>
      <c r="J2230" t="s">
        <v>1761</v>
      </c>
      <c r="K2230" t="s">
        <v>1857</v>
      </c>
      <c r="L2230" t="s">
        <v>1750</v>
      </c>
      <c r="M2230">
        <v>29</v>
      </c>
      <c r="N2230" t="b">
        <v>0</v>
      </c>
      <c r="O2230">
        <v>104</v>
      </c>
      <c r="P2230" t="s">
        <v>2266</v>
      </c>
      <c r="Q2230" t="s">
        <v>1753</v>
      </c>
      <c r="R2230" t="s">
        <v>1828</v>
      </c>
    </row>
    <row r="2231" spans="1:18" x14ac:dyDescent="0.25">
      <c r="A2231" t="s">
        <v>5169</v>
      </c>
      <c r="B2231" t="s">
        <v>2173</v>
      </c>
      <c r="C2231" t="s">
        <v>6</v>
      </c>
      <c r="D2231" t="s">
        <v>5168</v>
      </c>
      <c r="E2231" s="2">
        <v>42297</v>
      </c>
      <c r="F2231">
        <v>3314</v>
      </c>
      <c r="G2231" t="s">
        <v>1746</v>
      </c>
      <c r="H2231" t="s">
        <v>2231</v>
      </c>
      <c r="I2231" t="b">
        <v>0</v>
      </c>
      <c r="J2231" t="s">
        <v>1748</v>
      </c>
      <c r="K2231" t="s">
        <v>1846</v>
      </c>
      <c r="L2231" t="s">
        <v>1750</v>
      </c>
      <c r="M2231">
        <v>29</v>
      </c>
      <c r="N2231" t="b">
        <v>1</v>
      </c>
      <c r="O2231">
        <v>59</v>
      </c>
      <c r="P2231" t="s">
        <v>1752</v>
      </c>
      <c r="Q2231" t="s">
        <v>1753</v>
      </c>
      <c r="R2231" t="s">
        <v>1828</v>
      </c>
    </row>
    <row r="2232" spans="1:18" x14ac:dyDescent="0.25">
      <c r="A2232" t="s">
        <v>5171</v>
      </c>
      <c r="B2232" t="s">
        <v>2836</v>
      </c>
      <c r="C2232" t="s">
        <v>4</v>
      </c>
      <c r="D2232" t="s">
        <v>5170</v>
      </c>
      <c r="E2232" s="2">
        <v>45559</v>
      </c>
      <c r="F2232">
        <v>52</v>
      </c>
      <c r="G2232" t="s">
        <v>1746</v>
      </c>
      <c r="H2232" t="s">
        <v>1747</v>
      </c>
      <c r="I2232" t="b">
        <v>0</v>
      </c>
      <c r="J2232" t="s">
        <v>1748</v>
      </c>
      <c r="K2232" t="s">
        <v>1808</v>
      </c>
      <c r="L2232" t="s">
        <v>1817</v>
      </c>
      <c r="M2232">
        <v>29</v>
      </c>
      <c r="N2232" t="b">
        <v>1</v>
      </c>
      <c r="P2232" t="s">
        <v>1819</v>
      </c>
      <c r="Q2232" t="s">
        <v>1753</v>
      </c>
      <c r="R2232" t="s">
        <v>1772</v>
      </c>
    </row>
    <row r="2233" spans="1:18" x14ac:dyDescent="0.25">
      <c r="A2233" t="s">
        <v>5172</v>
      </c>
      <c r="B2233" t="s">
        <v>2353</v>
      </c>
      <c r="C2233" t="s">
        <v>4</v>
      </c>
      <c r="D2233" t="s">
        <v>1309</v>
      </c>
      <c r="E2233" s="2">
        <v>43861</v>
      </c>
      <c r="F2233">
        <v>1750</v>
      </c>
      <c r="G2233" t="s">
        <v>1746</v>
      </c>
      <c r="H2233" t="s">
        <v>1798</v>
      </c>
      <c r="I2233" t="b">
        <v>1</v>
      </c>
      <c r="J2233" t="s">
        <v>1748</v>
      </c>
      <c r="K2233" t="s">
        <v>1755</v>
      </c>
      <c r="L2233" t="s">
        <v>1750</v>
      </c>
      <c r="M2233">
        <v>29</v>
      </c>
      <c r="N2233" t="b">
        <v>0</v>
      </c>
      <c r="O2233">
        <v>495</v>
      </c>
      <c r="P2233" t="s">
        <v>1752</v>
      </c>
      <c r="Q2233" t="s">
        <v>1753</v>
      </c>
    </row>
    <row r="2234" spans="1:18" x14ac:dyDescent="0.25">
      <c r="A2234" t="s">
        <v>5174</v>
      </c>
      <c r="B2234" t="s">
        <v>2032</v>
      </c>
      <c r="C2234" t="s">
        <v>4</v>
      </c>
      <c r="D2234" t="s">
        <v>5173</v>
      </c>
      <c r="E2234" s="2">
        <v>44204</v>
      </c>
      <c r="F2234">
        <v>1407</v>
      </c>
      <c r="G2234" t="s">
        <v>1746</v>
      </c>
      <c r="H2234" t="s">
        <v>1747</v>
      </c>
      <c r="I2234" t="b">
        <v>0</v>
      </c>
      <c r="J2234" t="s">
        <v>1748</v>
      </c>
      <c r="K2234" t="s">
        <v>1809</v>
      </c>
      <c r="L2234" t="s">
        <v>1750</v>
      </c>
      <c r="M2234">
        <v>29</v>
      </c>
      <c r="N2234" t="b">
        <v>1</v>
      </c>
      <c r="O2234">
        <v>96</v>
      </c>
      <c r="P2234" t="s">
        <v>1752</v>
      </c>
      <c r="Q2234" t="s">
        <v>1753</v>
      </c>
      <c r="R2234" t="s">
        <v>2028</v>
      </c>
    </row>
    <row r="2235" spans="1:18" x14ac:dyDescent="0.25">
      <c r="A2235" t="s">
        <v>5176</v>
      </c>
      <c r="B2235" t="s">
        <v>2173</v>
      </c>
      <c r="C2235" t="s">
        <v>4</v>
      </c>
      <c r="D2235" t="s">
        <v>5175</v>
      </c>
      <c r="E2235" s="2">
        <v>43089</v>
      </c>
      <c r="F2235">
        <v>2522</v>
      </c>
      <c r="G2235" t="s">
        <v>1746</v>
      </c>
      <c r="H2235" t="s">
        <v>2231</v>
      </c>
      <c r="I2235" t="b">
        <v>0</v>
      </c>
      <c r="J2235" t="s">
        <v>1761</v>
      </c>
      <c r="K2235" t="s">
        <v>1846</v>
      </c>
      <c r="L2235" t="s">
        <v>1750</v>
      </c>
      <c r="M2235">
        <v>29</v>
      </c>
      <c r="N2235" t="b">
        <v>1</v>
      </c>
      <c r="O2235">
        <v>609</v>
      </c>
      <c r="P2235" t="s">
        <v>1752</v>
      </c>
      <c r="Q2235" t="s">
        <v>1753</v>
      </c>
      <c r="R2235" t="s">
        <v>1759</v>
      </c>
    </row>
    <row r="2236" spans="1:18" x14ac:dyDescent="0.25">
      <c r="A2236" t="s">
        <v>5178</v>
      </c>
      <c r="B2236" t="s">
        <v>2611</v>
      </c>
      <c r="C2236" t="s">
        <v>4</v>
      </c>
      <c r="D2236" t="s">
        <v>5177</v>
      </c>
      <c r="E2236" s="2">
        <v>45266</v>
      </c>
      <c r="F2236">
        <v>345</v>
      </c>
      <c r="G2236" t="s">
        <v>1746</v>
      </c>
      <c r="H2236" t="s">
        <v>1747</v>
      </c>
      <c r="I2236" t="b">
        <v>0</v>
      </c>
      <c r="J2236" t="s">
        <v>1748</v>
      </c>
      <c r="K2236" t="s">
        <v>1749</v>
      </c>
      <c r="L2236" t="s">
        <v>1750</v>
      </c>
      <c r="M2236">
        <v>29</v>
      </c>
      <c r="N2236" t="b">
        <v>0</v>
      </c>
      <c r="O2236">
        <v>9</v>
      </c>
      <c r="P2236" t="s">
        <v>1827</v>
      </c>
      <c r="Q2236" t="s">
        <v>1753</v>
      </c>
    </row>
    <row r="2237" spans="1:18" x14ac:dyDescent="0.25">
      <c r="A2237" t="s">
        <v>5179</v>
      </c>
      <c r="B2237" t="s">
        <v>4797</v>
      </c>
      <c r="C2237" t="s">
        <v>1249</v>
      </c>
      <c r="D2237" t="s">
        <v>1255</v>
      </c>
      <c r="E2237" s="2">
        <v>40647</v>
      </c>
      <c r="F2237">
        <v>4964</v>
      </c>
      <c r="G2237" t="s">
        <v>1746</v>
      </c>
      <c r="H2237" t="s">
        <v>1798</v>
      </c>
      <c r="I2237" t="b">
        <v>0</v>
      </c>
      <c r="J2237" t="s">
        <v>1761</v>
      </c>
      <c r="K2237" t="s">
        <v>1824</v>
      </c>
      <c r="L2237" t="s">
        <v>1750</v>
      </c>
      <c r="M2237">
        <v>29</v>
      </c>
      <c r="N2237" t="b">
        <v>0</v>
      </c>
      <c r="O2237">
        <v>25</v>
      </c>
      <c r="P2237" t="s">
        <v>1819</v>
      </c>
      <c r="Q2237" t="s">
        <v>1753</v>
      </c>
      <c r="R2237" t="s">
        <v>1828</v>
      </c>
    </row>
    <row r="2238" spans="1:18" x14ac:dyDescent="0.25">
      <c r="A2238" t="s">
        <v>5180</v>
      </c>
      <c r="B2238" t="s">
        <v>1876</v>
      </c>
      <c r="C2238" t="s">
        <v>4</v>
      </c>
      <c r="D2238" t="s">
        <v>233</v>
      </c>
      <c r="E2238" s="2">
        <v>43370</v>
      </c>
      <c r="F2238">
        <v>2241</v>
      </c>
      <c r="G2238" t="s">
        <v>1746</v>
      </c>
      <c r="H2238" t="s">
        <v>1747</v>
      </c>
      <c r="I2238" t="b">
        <v>0</v>
      </c>
      <c r="J2238" t="s">
        <v>1748</v>
      </c>
      <c r="K2238" t="s">
        <v>1934</v>
      </c>
      <c r="L2238" t="s">
        <v>1750</v>
      </c>
      <c r="M2238">
        <v>29</v>
      </c>
      <c r="N2238" t="b">
        <v>0</v>
      </c>
      <c r="O2238">
        <v>710</v>
      </c>
      <c r="P2238" t="s">
        <v>1752</v>
      </c>
      <c r="Q2238" t="s">
        <v>1753</v>
      </c>
      <c r="R2238" t="s">
        <v>2028</v>
      </c>
    </row>
    <row r="2239" spans="1:18" x14ac:dyDescent="0.25">
      <c r="A2239" t="s">
        <v>5182</v>
      </c>
      <c r="B2239" t="s">
        <v>1785</v>
      </c>
      <c r="C2239" t="s">
        <v>6</v>
      </c>
      <c r="D2239" t="s">
        <v>5181</v>
      </c>
      <c r="E2239" s="2">
        <v>40353</v>
      </c>
      <c r="F2239">
        <v>5258</v>
      </c>
      <c r="G2239" t="s">
        <v>1746</v>
      </c>
      <c r="H2239" t="s">
        <v>1747</v>
      </c>
      <c r="I2239" t="b">
        <v>1</v>
      </c>
      <c r="J2239" t="s">
        <v>1748</v>
      </c>
      <c r="K2239" t="s">
        <v>1868</v>
      </c>
      <c r="L2239" t="s">
        <v>1750</v>
      </c>
      <c r="M2239">
        <v>29</v>
      </c>
      <c r="N2239" t="b">
        <v>0</v>
      </c>
      <c r="O2239">
        <v>33</v>
      </c>
      <c r="P2239" t="s">
        <v>1752</v>
      </c>
      <c r="Q2239" t="s">
        <v>1753</v>
      </c>
    </row>
    <row r="2240" spans="1:18" x14ac:dyDescent="0.25">
      <c r="A2240" t="s">
        <v>5184</v>
      </c>
      <c r="B2240" t="s">
        <v>2269</v>
      </c>
      <c r="C2240" t="s">
        <v>6</v>
      </c>
      <c r="D2240" t="s">
        <v>5183</v>
      </c>
      <c r="E2240" s="2">
        <v>40183</v>
      </c>
      <c r="F2240">
        <v>5428</v>
      </c>
      <c r="G2240" t="s">
        <v>1746</v>
      </c>
      <c r="H2240" t="s">
        <v>1798</v>
      </c>
      <c r="I2240" t="b">
        <v>1</v>
      </c>
      <c r="J2240" t="s">
        <v>1761</v>
      </c>
      <c r="K2240" t="s">
        <v>1824</v>
      </c>
      <c r="L2240" t="s">
        <v>1817</v>
      </c>
      <c r="M2240">
        <v>28</v>
      </c>
      <c r="N2240" t="b">
        <v>0</v>
      </c>
      <c r="O2240">
        <v>15</v>
      </c>
      <c r="P2240" t="s">
        <v>1819</v>
      </c>
      <c r="Q2240" t="s">
        <v>1753</v>
      </c>
    </row>
    <row r="2241" spans="1:18" x14ac:dyDescent="0.25">
      <c r="A2241" t="s">
        <v>5186</v>
      </c>
      <c r="B2241" t="s">
        <v>1907</v>
      </c>
      <c r="C2241" t="s">
        <v>4</v>
      </c>
      <c r="D2241" t="s">
        <v>5185</v>
      </c>
      <c r="E2241" s="2">
        <v>44547</v>
      </c>
      <c r="F2241">
        <v>1064</v>
      </c>
      <c r="G2241" t="s">
        <v>1833</v>
      </c>
      <c r="H2241" t="s">
        <v>1798</v>
      </c>
      <c r="I2241" t="b">
        <v>0</v>
      </c>
      <c r="J2241" t="s">
        <v>1761</v>
      </c>
      <c r="K2241" t="s">
        <v>1848</v>
      </c>
      <c r="L2241" t="s">
        <v>1750</v>
      </c>
      <c r="M2241">
        <v>28</v>
      </c>
      <c r="N2241" t="b">
        <v>1</v>
      </c>
      <c r="O2241">
        <v>131</v>
      </c>
      <c r="P2241" t="s">
        <v>1752</v>
      </c>
      <c r="Q2241" t="s">
        <v>1753</v>
      </c>
      <c r="R2241" t="s">
        <v>1828</v>
      </c>
    </row>
    <row r="2242" spans="1:18" x14ac:dyDescent="0.25">
      <c r="A2242" t="s">
        <v>5187</v>
      </c>
      <c r="B2242" t="s">
        <v>1810</v>
      </c>
      <c r="C2242" t="s">
        <v>4</v>
      </c>
      <c r="D2242" t="s">
        <v>134</v>
      </c>
      <c r="E2242" s="2">
        <v>43588</v>
      </c>
      <c r="F2242">
        <v>2023</v>
      </c>
      <c r="G2242" t="s">
        <v>1746</v>
      </c>
      <c r="H2242" t="s">
        <v>1747</v>
      </c>
      <c r="I2242" t="b">
        <v>0</v>
      </c>
      <c r="J2242" t="s">
        <v>1748</v>
      </c>
      <c r="K2242" t="s">
        <v>1749</v>
      </c>
      <c r="L2242" t="s">
        <v>1817</v>
      </c>
      <c r="M2242">
        <v>28</v>
      </c>
      <c r="N2242" t="b">
        <v>0</v>
      </c>
      <c r="O2242">
        <v>112</v>
      </c>
      <c r="P2242" t="s">
        <v>1819</v>
      </c>
      <c r="Q2242" t="s">
        <v>1753</v>
      </c>
    </row>
    <row r="2243" spans="1:18" x14ac:dyDescent="0.25">
      <c r="A2243" t="s">
        <v>5188</v>
      </c>
      <c r="B2243" t="s">
        <v>1810</v>
      </c>
      <c r="C2243" t="s">
        <v>4</v>
      </c>
      <c r="D2243" t="s">
        <v>1242</v>
      </c>
      <c r="E2243" s="2">
        <v>43179</v>
      </c>
      <c r="F2243">
        <v>2432</v>
      </c>
      <c r="G2243" t="s">
        <v>1746</v>
      </c>
      <c r="H2243" t="s">
        <v>1747</v>
      </c>
      <c r="I2243" t="b">
        <v>0</v>
      </c>
      <c r="J2243" t="s">
        <v>1748</v>
      </c>
      <c r="K2243" t="s">
        <v>2021</v>
      </c>
      <c r="L2243" t="s">
        <v>1817</v>
      </c>
      <c r="M2243">
        <v>28</v>
      </c>
      <c r="N2243" t="b">
        <v>0</v>
      </c>
      <c r="O2243">
        <v>353</v>
      </c>
      <c r="P2243" t="s">
        <v>1819</v>
      </c>
      <c r="Q2243" t="s">
        <v>1753</v>
      </c>
      <c r="R2243" t="s">
        <v>1772</v>
      </c>
    </row>
    <row r="2244" spans="1:18" x14ac:dyDescent="0.25">
      <c r="A2244" t="s">
        <v>5190</v>
      </c>
      <c r="B2244" t="s">
        <v>2133</v>
      </c>
      <c r="C2244" t="s">
        <v>4</v>
      </c>
      <c r="D2244" t="s">
        <v>5189</v>
      </c>
      <c r="E2244" s="2">
        <v>44957</v>
      </c>
      <c r="F2244">
        <v>654</v>
      </c>
      <c r="G2244" t="s">
        <v>1746</v>
      </c>
      <c r="H2244" t="s">
        <v>1747</v>
      </c>
      <c r="I2244" t="b">
        <v>0</v>
      </c>
      <c r="J2244" t="s">
        <v>1748</v>
      </c>
      <c r="K2244" t="s">
        <v>1809</v>
      </c>
      <c r="L2244" t="s">
        <v>1750</v>
      </c>
      <c r="M2244">
        <v>28</v>
      </c>
      <c r="N2244" t="b">
        <v>1</v>
      </c>
      <c r="O2244">
        <v>1055</v>
      </c>
      <c r="P2244" t="s">
        <v>1752</v>
      </c>
      <c r="Q2244" t="s">
        <v>1753</v>
      </c>
      <c r="R2244" t="s">
        <v>1759</v>
      </c>
    </row>
    <row r="2245" spans="1:18" x14ac:dyDescent="0.25">
      <c r="A2245" t="s">
        <v>5192</v>
      </c>
      <c r="B2245" t="s">
        <v>2150</v>
      </c>
      <c r="C2245" t="s">
        <v>4</v>
      </c>
      <c r="D2245" t="s">
        <v>5191</v>
      </c>
      <c r="E2245" s="2">
        <v>44592</v>
      </c>
      <c r="F2245">
        <v>1019</v>
      </c>
      <c r="G2245" t="s">
        <v>1746</v>
      </c>
      <c r="H2245" t="s">
        <v>1805</v>
      </c>
      <c r="I2245" t="b">
        <v>1</v>
      </c>
      <c r="J2245" t="s">
        <v>1761</v>
      </c>
      <c r="K2245" t="s">
        <v>1913</v>
      </c>
      <c r="L2245" t="s">
        <v>1817</v>
      </c>
      <c r="M2245">
        <v>28</v>
      </c>
      <c r="N2245" t="b">
        <v>0</v>
      </c>
      <c r="O2245">
        <v>340</v>
      </c>
      <c r="P2245" t="s">
        <v>1819</v>
      </c>
      <c r="Q2245" t="s">
        <v>1753</v>
      </c>
      <c r="R2245" t="s">
        <v>1759</v>
      </c>
    </row>
    <row r="2246" spans="1:18" x14ac:dyDescent="0.25">
      <c r="A2246" t="s">
        <v>5193</v>
      </c>
      <c r="B2246" t="s">
        <v>4980</v>
      </c>
      <c r="C2246" t="s">
        <v>1249</v>
      </c>
      <c r="D2246" t="s">
        <v>1275</v>
      </c>
      <c r="E2246" s="2">
        <v>40161</v>
      </c>
      <c r="F2246">
        <v>5450</v>
      </c>
      <c r="G2246" t="s">
        <v>1746</v>
      </c>
      <c r="H2246" t="s">
        <v>1798</v>
      </c>
      <c r="I2246" t="b">
        <v>0</v>
      </c>
      <c r="J2246" t="s">
        <v>1761</v>
      </c>
      <c r="K2246" t="s">
        <v>1879</v>
      </c>
      <c r="L2246" t="s">
        <v>1756</v>
      </c>
      <c r="M2246">
        <v>28</v>
      </c>
      <c r="N2246" t="b">
        <v>1</v>
      </c>
      <c r="O2246">
        <v>238</v>
      </c>
      <c r="P2246" t="s">
        <v>1752</v>
      </c>
      <c r="Q2246" t="s">
        <v>1753</v>
      </c>
      <c r="R2246" t="s">
        <v>1759</v>
      </c>
    </row>
    <row r="2247" spans="1:18" x14ac:dyDescent="0.25">
      <c r="A2247" t="s">
        <v>5194</v>
      </c>
      <c r="B2247" t="s">
        <v>1814</v>
      </c>
      <c r="C2247" t="s">
        <v>4</v>
      </c>
      <c r="D2247" t="s">
        <v>414</v>
      </c>
      <c r="E2247" s="2">
        <v>42375</v>
      </c>
      <c r="F2247">
        <v>3236</v>
      </c>
      <c r="G2247" t="s">
        <v>1746</v>
      </c>
      <c r="H2247" t="s">
        <v>1798</v>
      </c>
      <c r="I2247" t="b">
        <v>0</v>
      </c>
      <c r="J2247" t="s">
        <v>1761</v>
      </c>
      <c r="K2247" t="s">
        <v>1853</v>
      </c>
      <c r="L2247" t="s">
        <v>1750</v>
      </c>
      <c r="M2247">
        <v>28</v>
      </c>
      <c r="N2247" t="b">
        <v>0</v>
      </c>
      <c r="O2247">
        <v>50</v>
      </c>
      <c r="P2247" t="s">
        <v>1752</v>
      </c>
      <c r="Q2247" t="s">
        <v>1753</v>
      </c>
      <c r="R2247" t="s">
        <v>1828</v>
      </c>
    </row>
    <row r="2248" spans="1:18" x14ac:dyDescent="0.25">
      <c r="A2248" t="s">
        <v>5196</v>
      </c>
      <c r="B2248" t="s">
        <v>3294</v>
      </c>
      <c r="C2248" t="s">
        <v>4</v>
      </c>
      <c r="D2248" t="s">
        <v>5195</v>
      </c>
      <c r="E2248" s="2">
        <v>45215</v>
      </c>
      <c r="F2248">
        <v>396</v>
      </c>
      <c r="G2248" t="s">
        <v>1746</v>
      </c>
      <c r="H2248" t="s">
        <v>1747</v>
      </c>
      <c r="I2248" t="b">
        <v>0</v>
      </c>
      <c r="J2248" t="s">
        <v>1748</v>
      </c>
      <c r="K2248" t="s">
        <v>1913</v>
      </c>
      <c r="L2248" t="s">
        <v>1750</v>
      </c>
      <c r="M2248">
        <v>28</v>
      </c>
      <c r="N2248" t="b">
        <v>0</v>
      </c>
      <c r="P2248" t="s">
        <v>1752</v>
      </c>
      <c r="Q2248" t="s">
        <v>1753</v>
      </c>
    </row>
    <row r="2249" spans="1:18" x14ac:dyDescent="0.25">
      <c r="A2249" t="s">
        <v>5197</v>
      </c>
      <c r="B2249" t="s">
        <v>1876</v>
      </c>
      <c r="C2249" t="s">
        <v>4</v>
      </c>
      <c r="D2249" t="s">
        <v>1702</v>
      </c>
      <c r="E2249" s="2">
        <v>44609</v>
      </c>
      <c r="F2249">
        <v>1002</v>
      </c>
      <c r="G2249" t="s">
        <v>1746</v>
      </c>
      <c r="H2249" t="s">
        <v>1747</v>
      </c>
      <c r="I2249" t="b">
        <v>0</v>
      </c>
      <c r="J2249" t="s">
        <v>1748</v>
      </c>
      <c r="K2249" t="s">
        <v>1809</v>
      </c>
      <c r="L2249" t="s">
        <v>1750</v>
      </c>
      <c r="M2249">
        <v>28</v>
      </c>
      <c r="N2249" t="b">
        <v>1</v>
      </c>
      <c r="O2249">
        <v>1050</v>
      </c>
      <c r="P2249" t="s">
        <v>1752</v>
      </c>
      <c r="Q2249" t="s">
        <v>1753</v>
      </c>
      <c r="R2249" t="s">
        <v>1759</v>
      </c>
    </row>
    <row r="2250" spans="1:18" x14ac:dyDescent="0.25">
      <c r="A2250" t="s">
        <v>5199</v>
      </c>
      <c r="B2250" t="s">
        <v>2611</v>
      </c>
      <c r="C2250" t="s">
        <v>4</v>
      </c>
      <c r="D2250" t="s">
        <v>5198</v>
      </c>
      <c r="E2250" s="2">
        <v>45210</v>
      </c>
      <c r="F2250">
        <v>401</v>
      </c>
      <c r="G2250" t="s">
        <v>1833</v>
      </c>
      <c r="H2250" t="s">
        <v>1747</v>
      </c>
      <c r="I2250" t="b">
        <v>0</v>
      </c>
      <c r="J2250" t="s">
        <v>1748</v>
      </c>
      <c r="K2250" t="s">
        <v>1853</v>
      </c>
      <c r="L2250" t="s">
        <v>1750</v>
      </c>
      <c r="M2250">
        <v>28</v>
      </c>
      <c r="N2250" t="b">
        <v>1</v>
      </c>
      <c r="O2250">
        <v>369</v>
      </c>
      <c r="P2250" t="s">
        <v>1819</v>
      </c>
      <c r="Q2250" t="s">
        <v>1753</v>
      </c>
      <c r="R2250" t="s">
        <v>1759</v>
      </c>
    </row>
    <row r="2251" spans="1:18" x14ac:dyDescent="0.25">
      <c r="A2251" t="s">
        <v>5200</v>
      </c>
      <c r="B2251" t="s">
        <v>2997</v>
      </c>
      <c r="C2251" t="s">
        <v>6</v>
      </c>
      <c r="D2251" t="s">
        <v>1158</v>
      </c>
      <c r="E2251" s="2">
        <v>43921</v>
      </c>
      <c r="F2251">
        <v>1690</v>
      </c>
      <c r="G2251" t="s">
        <v>1746</v>
      </c>
      <c r="H2251" t="s">
        <v>1798</v>
      </c>
      <c r="I2251" t="b">
        <v>0</v>
      </c>
      <c r="J2251" t="s">
        <v>1748</v>
      </c>
      <c r="K2251" t="s">
        <v>1986</v>
      </c>
      <c r="L2251" t="s">
        <v>1750</v>
      </c>
      <c r="M2251">
        <v>28</v>
      </c>
      <c r="N2251" t="b">
        <v>0</v>
      </c>
      <c r="O2251">
        <v>15</v>
      </c>
      <c r="P2251" t="s">
        <v>1819</v>
      </c>
      <c r="Q2251" t="s">
        <v>1753</v>
      </c>
    </row>
    <row r="2252" spans="1:18" x14ac:dyDescent="0.25">
      <c r="A2252" t="s">
        <v>5202</v>
      </c>
      <c r="B2252" t="s">
        <v>2014</v>
      </c>
      <c r="C2252" t="s">
        <v>6</v>
      </c>
      <c r="D2252" t="s">
        <v>5201</v>
      </c>
      <c r="E2252" s="2">
        <v>40346</v>
      </c>
      <c r="F2252">
        <v>5265</v>
      </c>
      <c r="G2252" t="s">
        <v>1746</v>
      </c>
      <c r="H2252" t="s">
        <v>1747</v>
      </c>
      <c r="I2252" t="b">
        <v>0</v>
      </c>
      <c r="J2252" t="s">
        <v>1748</v>
      </c>
      <c r="K2252" t="s">
        <v>1755</v>
      </c>
      <c r="L2252" t="s">
        <v>1750</v>
      </c>
      <c r="M2252">
        <v>28</v>
      </c>
      <c r="N2252" t="b">
        <v>1</v>
      </c>
      <c r="O2252">
        <v>26</v>
      </c>
      <c r="P2252" t="s">
        <v>1752</v>
      </c>
      <c r="Q2252" t="s">
        <v>1753</v>
      </c>
      <c r="R2252" t="s">
        <v>2028</v>
      </c>
    </row>
    <row r="2253" spans="1:18" x14ac:dyDescent="0.25">
      <c r="A2253" t="s">
        <v>5203</v>
      </c>
      <c r="B2253" t="s">
        <v>1876</v>
      </c>
      <c r="C2253" t="s">
        <v>4</v>
      </c>
      <c r="D2253" t="s">
        <v>451</v>
      </c>
      <c r="E2253" s="2">
        <v>43780</v>
      </c>
      <c r="F2253">
        <v>1831</v>
      </c>
      <c r="G2253" t="s">
        <v>1746</v>
      </c>
      <c r="H2253" t="s">
        <v>1747</v>
      </c>
      <c r="I2253" t="b">
        <v>0</v>
      </c>
      <c r="J2253" t="s">
        <v>1761</v>
      </c>
      <c r="K2253" t="s">
        <v>1765</v>
      </c>
      <c r="L2253" t="s">
        <v>1766</v>
      </c>
      <c r="M2253">
        <v>28</v>
      </c>
      <c r="N2253" t="b">
        <v>0</v>
      </c>
      <c r="P2253" t="s">
        <v>1752</v>
      </c>
      <c r="Q2253" t="s">
        <v>1753</v>
      </c>
    </row>
    <row r="2254" spans="1:18" x14ac:dyDescent="0.25">
      <c r="A2254" t="s">
        <v>5205</v>
      </c>
      <c r="B2254" t="s">
        <v>2085</v>
      </c>
      <c r="C2254" t="s">
        <v>4</v>
      </c>
      <c r="D2254" t="s">
        <v>5204</v>
      </c>
      <c r="E2254" s="2">
        <v>43154</v>
      </c>
      <c r="F2254">
        <v>2457</v>
      </c>
      <c r="G2254" t="s">
        <v>1746</v>
      </c>
      <c r="H2254" t="s">
        <v>1798</v>
      </c>
      <c r="I2254" t="b">
        <v>1</v>
      </c>
      <c r="J2254" t="s">
        <v>1761</v>
      </c>
      <c r="K2254" t="s">
        <v>1776</v>
      </c>
      <c r="L2254" t="s">
        <v>1756</v>
      </c>
      <c r="M2254">
        <v>27</v>
      </c>
      <c r="N2254" t="b">
        <v>0</v>
      </c>
      <c r="O2254">
        <v>122</v>
      </c>
      <c r="P2254" t="s">
        <v>1752</v>
      </c>
      <c r="Q2254" t="s">
        <v>1753</v>
      </c>
      <c r="R2254" t="s">
        <v>1828</v>
      </c>
    </row>
    <row r="2255" spans="1:18" x14ac:dyDescent="0.25">
      <c r="A2255" t="s">
        <v>5206</v>
      </c>
      <c r="B2255" t="s">
        <v>1874</v>
      </c>
      <c r="C2255" t="s">
        <v>6</v>
      </c>
      <c r="D2255" t="s">
        <v>841</v>
      </c>
      <c r="E2255" s="2">
        <v>44420</v>
      </c>
      <c r="F2255">
        <v>1191</v>
      </c>
      <c r="G2255" t="s">
        <v>1746</v>
      </c>
      <c r="H2255" t="s">
        <v>1798</v>
      </c>
      <c r="I2255" t="b">
        <v>0</v>
      </c>
      <c r="J2255" t="s">
        <v>1748</v>
      </c>
      <c r="K2255" t="s">
        <v>1755</v>
      </c>
      <c r="L2255" t="s">
        <v>1817</v>
      </c>
      <c r="M2255">
        <v>27</v>
      </c>
      <c r="N2255" t="b">
        <v>1</v>
      </c>
      <c r="O2255">
        <v>276</v>
      </c>
      <c r="P2255" t="s">
        <v>1819</v>
      </c>
      <c r="Q2255" t="s">
        <v>1753</v>
      </c>
      <c r="R2255" t="s">
        <v>1759</v>
      </c>
    </row>
    <row r="2256" spans="1:18" x14ac:dyDescent="0.25">
      <c r="A2256" t="s">
        <v>5207</v>
      </c>
      <c r="B2256" t="s">
        <v>1876</v>
      </c>
      <c r="C2256" t="s">
        <v>4</v>
      </c>
      <c r="D2256" t="s">
        <v>1404</v>
      </c>
      <c r="E2256" s="2">
        <v>41933</v>
      </c>
      <c r="F2256">
        <v>3678</v>
      </c>
      <c r="G2256" t="s">
        <v>1746</v>
      </c>
      <c r="H2256" t="s">
        <v>1798</v>
      </c>
      <c r="I2256" t="b">
        <v>0</v>
      </c>
      <c r="J2256" t="s">
        <v>1761</v>
      </c>
      <c r="K2256" t="s">
        <v>1800</v>
      </c>
      <c r="L2256" t="s">
        <v>1750</v>
      </c>
      <c r="M2256">
        <v>27</v>
      </c>
      <c r="N2256" t="b">
        <v>1</v>
      </c>
      <c r="O2256">
        <v>281</v>
      </c>
      <c r="P2256" t="s">
        <v>1752</v>
      </c>
      <c r="Q2256" t="s">
        <v>1753</v>
      </c>
      <c r="R2256" t="s">
        <v>1828</v>
      </c>
    </row>
    <row r="2257" spans="1:18" x14ac:dyDescent="0.25">
      <c r="A2257" t="s">
        <v>5208</v>
      </c>
      <c r="B2257" t="s">
        <v>2353</v>
      </c>
      <c r="C2257" t="s">
        <v>186</v>
      </c>
      <c r="D2257" t="s">
        <v>195</v>
      </c>
      <c r="E2257" s="2">
        <v>40983</v>
      </c>
      <c r="F2257">
        <v>4628</v>
      </c>
      <c r="G2257" t="s">
        <v>1746</v>
      </c>
      <c r="H2257" t="s">
        <v>1798</v>
      </c>
      <c r="I2257" t="b">
        <v>0</v>
      </c>
      <c r="J2257" t="s">
        <v>1748</v>
      </c>
      <c r="K2257" t="s">
        <v>1830</v>
      </c>
      <c r="L2257" t="s">
        <v>2102</v>
      </c>
      <c r="M2257">
        <v>27</v>
      </c>
      <c r="N2257" t="b">
        <v>0</v>
      </c>
      <c r="P2257" t="s">
        <v>2070</v>
      </c>
      <c r="Q2257" t="s">
        <v>1779</v>
      </c>
    </row>
    <row r="2258" spans="1:18" x14ac:dyDescent="0.25">
      <c r="A2258" t="s">
        <v>5210</v>
      </c>
      <c r="B2258" t="s">
        <v>1803</v>
      </c>
      <c r="C2258" t="s">
        <v>6</v>
      </c>
      <c r="D2258" t="s">
        <v>5209</v>
      </c>
      <c r="E2258" s="2">
        <v>40779</v>
      </c>
      <c r="F2258">
        <v>4832</v>
      </c>
      <c r="G2258" t="s">
        <v>1746</v>
      </c>
      <c r="H2258" t="s">
        <v>1798</v>
      </c>
      <c r="I2258" t="b">
        <v>1</v>
      </c>
      <c r="J2258" t="s">
        <v>1761</v>
      </c>
      <c r="K2258" t="s">
        <v>1824</v>
      </c>
      <c r="L2258" t="s">
        <v>1817</v>
      </c>
      <c r="M2258">
        <v>27</v>
      </c>
      <c r="N2258" t="b">
        <v>0</v>
      </c>
      <c r="O2258">
        <v>25</v>
      </c>
      <c r="P2258" t="s">
        <v>1819</v>
      </c>
      <c r="Q2258" t="s">
        <v>1753</v>
      </c>
      <c r="R2258" t="s">
        <v>1828</v>
      </c>
    </row>
    <row r="2259" spans="1:18" x14ac:dyDescent="0.25">
      <c r="A2259" t="s">
        <v>5212</v>
      </c>
      <c r="B2259" t="s">
        <v>2620</v>
      </c>
      <c r="C2259" t="s">
        <v>4</v>
      </c>
      <c r="D2259" t="s">
        <v>5211</v>
      </c>
      <c r="E2259" s="2">
        <v>44404</v>
      </c>
      <c r="F2259">
        <v>1207</v>
      </c>
      <c r="G2259" t="s">
        <v>1746</v>
      </c>
      <c r="H2259" t="s">
        <v>1798</v>
      </c>
      <c r="I2259" t="b">
        <v>0</v>
      </c>
      <c r="J2259" t="s">
        <v>1761</v>
      </c>
      <c r="K2259" t="s">
        <v>1824</v>
      </c>
      <c r="L2259" t="s">
        <v>1750</v>
      </c>
      <c r="M2259">
        <v>27</v>
      </c>
      <c r="N2259" t="b">
        <v>1</v>
      </c>
      <c r="O2259">
        <v>276</v>
      </c>
      <c r="P2259" t="s">
        <v>1752</v>
      </c>
      <c r="Q2259" t="s">
        <v>1753</v>
      </c>
      <c r="R2259" t="s">
        <v>1828</v>
      </c>
    </row>
    <row r="2260" spans="1:18" x14ac:dyDescent="0.25">
      <c r="A2260" t="s">
        <v>5214</v>
      </c>
      <c r="B2260" t="s">
        <v>1803</v>
      </c>
      <c r="C2260" t="s">
        <v>4</v>
      </c>
      <c r="D2260" t="s">
        <v>5213</v>
      </c>
      <c r="E2260" s="2">
        <v>40002</v>
      </c>
      <c r="F2260">
        <v>5609</v>
      </c>
      <c r="G2260" t="s">
        <v>1746</v>
      </c>
      <c r="H2260" t="s">
        <v>1798</v>
      </c>
      <c r="I2260" t="b">
        <v>0</v>
      </c>
      <c r="J2260" t="s">
        <v>1748</v>
      </c>
      <c r="K2260" t="s">
        <v>1755</v>
      </c>
      <c r="L2260" t="s">
        <v>1766</v>
      </c>
      <c r="M2260">
        <v>27</v>
      </c>
      <c r="N2260" t="b">
        <v>0</v>
      </c>
      <c r="P2260" t="s">
        <v>1752</v>
      </c>
      <c r="Q2260" t="s">
        <v>1753</v>
      </c>
      <c r="R2260" t="s">
        <v>1828</v>
      </c>
    </row>
    <row r="2261" spans="1:18" x14ac:dyDescent="0.25">
      <c r="A2261" t="s">
        <v>1417</v>
      </c>
      <c r="B2261" t="s">
        <v>1860</v>
      </c>
      <c r="C2261" t="s">
        <v>4</v>
      </c>
      <c r="D2261" t="s">
        <v>1418</v>
      </c>
      <c r="E2261" s="2">
        <v>42311</v>
      </c>
      <c r="F2261">
        <v>3300</v>
      </c>
      <c r="G2261" t="s">
        <v>1746</v>
      </c>
      <c r="H2261" t="s">
        <v>1798</v>
      </c>
      <c r="I2261" t="b">
        <v>0</v>
      </c>
      <c r="J2261" t="s">
        <v>1748</v>
      </c>
      <c r="K2261" t="s">
        <v>1856</v>
      </c>
      <c r="L2261" t="s">
        <v>1756</v>
      </c>
      <c r="M2261">
        <v>27</v>
      </c>
      <c r="N2261" t="b">
        <v>1</v>
      </c>
      <c r="O2261">
        <v>496</v>
      </c>
      <c r="P2261" t="s">
        <v>1752</v>
      </c>
      <c r="Q2261" t="s">
        <v>1753</v>
      </c>
    </row>
    <row r="2262" spans="1:18" x14ac:dyDescent="0.25">
      <c r="A2262" t="s">
        <v>5216</v>
      </c>
      <c r="B2262" t="s">
        <v>2177</v>
      </c>
      <c r="C2262" t="s">
        <v>6</v>
      </c>
      <c r="D2262" t="s">
        <v>5215</v>
      </c>
      <c r="E2262" s="2">
        <v>42947</v>
      </c>
      <c r="F2262">
        <v>2664</v>
      </c>
      <c r="G2262" t="s">
        <v>1746</v>
      </c>
      <c r="H2262" t="s">
        <v>1805</v>
      </c>
      <c r="I2262" t="b">
        <v>1</v>
      </c>
      <c r="J2262" t="s">
        <v>1748</v>
      </c>
      <c r="K2262" t="s">
        <v>1824</v>
      </c>
      <c r="L2262" t="s">
        <v>1750</v>
      </c>
      <c r="M2262">
        <v>27</v>
      </c>
      <c r="N2262" t="b">
        <v>0</v>
      </c>
      <c r="O2262">
        <v>221</v>
      </c>
      <c r="P2262" t="s">
        <v>1752</v>
      </c>
      <c r="Q2262" t="s">
        <v>1753</v>
      </c>
      <c r="R2262" t="s">
        <v>1828</v>
      </c>
    </row>
    <row r="2263" spans="1:18" x14ac:dyDescent="0.25">
      <c r="A2263" t="s">
        <v>5218</v>
      </c>
      <c r="B2263" t="s">
        <v>1907</v>
      </c>
      <c r="C2263" t="s">
        <v>6</v>
      </c>
      <c r="D2263" t="s">
        <v>5217</v>
      </c>
      <c r="E2263" s="2">
        <v>44077</v>
      </c>
      <c r="F2263">
        <v>1534</v>
      </c>
      <c r="G2263" t="s">
        <v>1746</v>
      </c>
      <c r="H2263" t="s">
        <v>1798</v>
      </c>
      <c r="I2263" t="b">
        <v>0</v>
      </c>
      <c r="J2263" t="s">
        <v>1761</v>
      </c>
      <c r="K2263" t="s">
        <v>1853</v>
      </c>
      <c r="L2263" t="s">
        <v>1766</v>
      </c>
      <c r="M2263">
        <v>27</v>
      </c>
      <c r="N2263" t="b">
        <v>0</v>
      </c>
      <c r="P2263" t="s">
        <v>1752</v>
      </c>
      <c r="Q2263" t="s">
        <v>1753</v>
      </c>
      <c r="R2263" t="s">
        <v>1828</v>
      </c>
    </row>
    <row r="2264" spans="1:18" x14ac:dyDescent="0.25">
      <c r="A2264" t="s">
        <v>5220</v>
      </c>
      <c r="B2264" t="s">
        <v>2085</v>
      </c>
      <c r="C2264" t="s">
        <v>4</v>
      </c>
      <c r="D2264" t="s">
        <v>5219</v>
      </c>
      <c r="E2264" s="2">
        <v>43284</v>
      </c>
      <c r="F2264">
        <v>2327</v>
      </c>
      <c r="G2264" t="s">
        <v>1746</v>
      </c>
      <c r="H2264" t="s">
        <v>1747</v>
      </c>
      <c r="I2264" t="b">
        <v>1</v>
      </c>
      <c r="J2264" t="s">
        <v>1748</v>
      </c>
      <c r="K2264" t="s">
        <v>1755</v>
      </c>
      <c r="L2264" t="s">
        <v>1817</v>
      </c>
      <c r="M2264">
        <v>27</v>
      </c>
      <c r="N2264" t="b">
        <v>0</v>
      </c>
      <c r="O2264">
        <v>758</v>
      </c>
      <c r="P2264" t="s">
        <v>1819</v>
      </c>
      <c r="Q2264" t="s">
        <v>1753</v>
      </c>
      <c r="R2264" t="s">
        <v>1759</v>
      </c>
    </row>
    <row r="2265" spans="1:18" x14ac:dyDescent="0.25">
      <c r="A2265" t="s">
        <v>5221</v>
      </c>
      <c r="B2265" t="s">
        <v>2599</v>
      </c>
      <c r="C2265" t="s">
        <v>4</v>
      </c>
      <c r="D2265" t="s">
        <v>1079</v>
      </c>
      <c r="E2265" s="2">
        <v>44350</v>
      </c>
      <c r="F2265">
        <v>1261</v>
      </c>
      <c r="G2265" t="s">
        <v>1746</v>
      </c>
      <c r="H2265" t="s">
        <v>1747</v>
      </c>
      <c r="I2265" t="b">
        <v>0</v>
      </c>
      <c r="J2265" t="s">
        <v>1761</v>
      </c>
      <c r="K2265" t="s">
        <v>1880</v>
      </c>
      <c r="L2265" t="s">
        <v>1750</v>
      </c>
      <c r="M2265">
        <v>27</v>
      </c>
      <c r="N2265" t="b">
        <v>1</v>
      </c>
      <c r="O2265">
        <v>86</v>
      </c>
      <c r="P2265" t="s">
        <v>1752</v>
      </c>
      <c r="Q2265" t="s">
        <v>1753</v>
      </c>
    </row>
    <row r="2266" spans="1:18" x14ac:dyDescent="0.25">
      <c r="A2266" t="s">
        <v>5223</v>
      </c>
      <c r="B2266" t="s">
        <v>2085</v>
      </c>
      <c r="C2266" t="s">
        <v>4</v>
      </c>
      <c r="D2266" t="s">
        <v>5222</v>
      </c>
      <c r="E2266" s="2">
        <v>40641</v>
      </c>
      <c r="F2266">
        <v>4970</v>
      </c>
      <c r="G2266" t="s">
        <v>1746</v>
      </c>
      <c r="H2266" t="s">
        <v>1747</v>
      </c>
      <c r="I2266" t="b">
        <v>0</v>
      </c>
      <c r="J2266" t="s">
        <v>1748</v>
      </c>
      <c r="K2266" t="s">
        <v>1755</v>
      </c>
      <c r="L2266" t="s">
        <v>1775</v>
      </c>
      <c r="M2266">
        <v>27</v>
      </c>
      <c r="N2266" t="b">
        <v>0</v>
      </c>
      <c r="P2266" t="s">
        <v>1778</v>
      </c>
      <c r="Q2266" t="s">
        <v>1779</v>
      </c>
    </row>
    <row r="2267" spans="1:18" x14ac:dyDescent="0.25">
      <c r="A2267" t="s">
        <v>477</v>
      </c>
      <c r="B2267" t="s">
        <v>2071</v>
      </c>
      <c r="C2267" t="s">
        <v>4</v>
      </c>
      <c r="D2267" t="s">
        <v>478</v>
      </c>
      <c r="E2267" s="2">
        <v>44391</v>
      </c>
      <c r="F2267">
        <v>1220</v>
      </c>
      <c r="G2267" t="s">
        <v>1746</v>
      </c>
      <c r="H2267" t="s">
        <v>1747</v>
      </c>
      <c r="I2267" t="b">
        <v>0</v>
      </c>
      <c r="J2267" t="s">
        <v>1748</v>
      </c>
      <c r="K2267" t="s">
        <v>1776</v>
      </c>
      <c r="L2267" t="s">
        <v>1750</v>
      </c>
      <c r="M2267">
        <v>27</v>
      </c>
      <c r="N2267" t="b">
        <v>0</v>
      </c>
      <c r="O2267">
        <v>100</v>
      </c>
      <c r="P2267" t="s">
        <v>1752</v>
      </c>
      <c r="Q2267" t="s">
        <v>1753</v>
      </c>
    </row>
    <row r="2268" spans="1:18" x14ac:dyDescent="0.25">
      <c r="A2268" t="s">
        <v>5225</v>
      </c>
      <c r="B2268" t="s">
        <v>2235</v>
      </c>
      <c r="C2268" t="s">
        <v>2338</v>
      </c>
      <c r="D2268" t="s">
        <v>5224</v>
      </c>
      <c r="E2268" s="2">
        <v>44824</v>
      </c>
      <c r="F2268">
        <v>787</v>
      </c>
      <c r="G2268" t="s">
        <v>1746</v>
      </c>
      <c r="H2268" t="s">
        <v>1747</v>
      </c>
      <c r="I2268" t="b">
        <v>0</v>
      </c>
      <c r="J2268" t="s">
        <v>1748</v>
      </c>
      <c r="K2268" t="s">
        <v>1943</v>
      </c>
      <c r="L2268" t="s">
        <v>1775</v>
      </c>
      <c r="M2268">
        <v>27</v>
      </c>
      <c r="N2268" t="b">
        <v>0</v>
      </c>
      <c r="P2268" t="s">
        <v>2283</v>
      </c>
      <c r="Q2268" t="s">
        <v>1705</v>
      </c>
    </row>
    <row r="2269" spans="1:18" x14ac:dyDescent="0.25">
      <c r="A2269" t="s">
        <v>5226</v>
      </c>
      <c r="B2269" t="s">
        <v>2096</v>
      </c>
      <c r="C2269" t="s">
        <v>6</v>
      </c>
      <c r="D2269" t="s">
        <v>150</v>
      </c>
      <c r="E2269" s="2">
        <v>44959</v>
      </c>
      <c r="F2269">
        <v>652</v>
      </c>
      <c r="G2269" t="s">
        <v>1746</v>
      </c>
      <c r="H2269" t="s">
        <v>1798</v>
      </c>
      <c r="I2269" t="b">
        <v>0</v>
      </c>
      <c r="J2269" t="s">
        <v>1761</v>
      </c>
      <c r="K2269" t="s">
        <v>1824</v>
      </c>
      <c r="L2269" t="s">
        <v>1750</v>
      </c>
      <c r="M2269">
        <v>27</v>
      </c>
      <c r="N2269" t="b">
        <v>1</v>
      </c>
      <c r="O2269">
        <v>1197</v>
      </c>
      <c r="P2269" t="s">
        <v>1819</v>
      </c>
      <c r="Q2269" t="s">
        <v>1753</v>
      </c>
      <c r="R2269" t="s">
        <v>1759</v>
      </c>
    </row>
    <row r="2270" spans="1:18" x14ac:dyDescent="0.25">
      <c r="A2270" t="s">
        <v>5227</v>
      </c>
      <c r="B2270" t="s">
        <v>1876</v>
      </c>
      <c r="C2270" t="s">
        <v>4</v>
      </c>
      <c r="D2270" t="s">
        <v>745</v>
      </c>
      <c r="E2270" s="2">
        <v>44607</v>
      </c>
      <c r="F2270">
        <v>1004</v>
      </c>
      <c r="G2270" t="s">
        <v>1833</v>
      </c>
      <c r="H2270" t="s">
        <v>1747</v>
      </c>
      <c r="I2270" t="b">
        <v>0</v>
      </c>
      <c r="J2270" t="s">
        <v>1748</v>
      </c>
      <c r="K2270" t="s">
        <v>2021</v>
      </c>
      <c r="L2270" t="s">
        <v>1750</v>
      </c>
      <c r="M2270">
        <v>27</v>
      </c>
      <c r="N2270" t="b">
        <v>1</v>
      </c>
      <c r="O2270">
        <v>305</v>
      </c>
      <c r="P2270" t="s">
        <v>1752</v>
      </c>
      <c r="Q2270" t="s">
        <v>1753</v>
      </c>
    </row>
    <row r="2271" spans="1:18" x14ac:dyDescent="0.25">
      <c r="A2271" t="s">
        <v>5229</v>
      </c>
      <c r="B2271" t="s">
        <v>3629</v>
      </c>
      <c r="C2271" t="s">
        <v>6</v>
      </c>
      <c r="D2271" t="s">
        <v>5228</v>
      </c>
      <c r="E2271" s="2">
        <v>44540</v>
      </c>
      <c r="F2271">
        <v>1071</v>
      </c>
      <c r="G2271" t="s">
        <v>1746</v>
      </c>
      <c r="H2271" t="s">
        <v>1798</v>
      </c>
      <c r="I2271" t="b">
        <v>0</v>
      </c>
      <c r="J2271" t="s">
        <v>1761</v>
      </c>
      <c r="K2271" t="s">
        <v>1776</v>
      </c>
      <c r="L2271" t="s">
        <v>1750</v>
      </c>
      <c r="M2271">
        <v>26</v>
      </c>
      <c r="N2271" t="b">
        <v>1</v>
      </c>
      <c r="O2271">
        <v>597</v>
      </c>
      <c r="P2271" t="s">
        <v>1819</v>
      </c>
      <c r="Q2271" t="s">
        <v>1753</v>
      </c>
      <c r="R2271" t="s">
        <v>1759</v>
      </c>
    </row>
    <row r="2272" spans="1:18" x14ac:dyDescent="0.25">
      <c r="A2272" t="s">
        <v>5230</v>
      </c>
      <c r="B2272" t="s">
        <v>2269</v>
      </c>
      <c r="C2272" t="s">
        <v>4</v>
      </c>
      <c r="D2272" t="s">
        <v>441</v>
      </c>
      <c r="E2272" s="2">
        <v>43488</v>
      </c>
      <c r="F2272">
        <v>2123</v>
      </c>
      <c r="G2272" t="s">
        <v>1746</v>
      </c>
      <c r="H2272" t="s">
        <v>1798</v>
      </c>
      <c r="I2272" t="b">
        <v>0</v>
      </c>
      <c r="J2272" t="s">
        <v>1761</v>
      </c>
      <c r="K2272" t="s">
        <v>1853</v>
      </c>
      <c r="L2272" t="s">
        <v>1756</v>
      </c>
      <c r="M2272">
        <v>26</v>
      </c>
      <c r="N2272" t="b">
        <v>1</v>
      </c>
      <c r="O2272">
        <v>233</v>
      </c>
      <c r="P2272" t="s">
        <v>1752</v>
      </c>
      <c r="Q2272" t="s">
        <v>1753</v>
      </c>
      <c r="R2272" t="s">
        <v>1828</v>
      </c>
    </row>
    <row r="2273" spans="1:18" x14ac:dyDescent="0.25">
      <c r="A2273" t="s">
        <v>5231</v>
      </c>
      <c r="B2273" t="s">
        <v>1781</v>
      </c>
      <c r="C2273" t="s">
        <v>6</v>
      </c>
      <c r="D2273" t="s">
        <v>97</v>
      </c>
      <c r="E2273" s="2">
        <v>43718</v>
      </c>
      <c r="F2273">
        <v>1893</v>
      </c>
      <c r="G2273" t="s">
        <v>1746</v>
      </c>
      <c r="H2273" t="s">
        <v>1747</v>
      </c>
      <c r="I2273" t="b">
        <v>0</v>
      </c>
      <c r="J2273" t="s">
        <v>1761</v>
      </c>
      <c r="K2273" t="s">
        <v>1749</v>
      </c>
      <c r="L2273" t="s">
        <v>1817</v>
      </c>
      <c r="M2273">
        <v>26</v>
      </c>
      <c r="N2273" t="b">
        <v>0</v>
      </c>
      <c r="O2273">
        <v>2419</v>
      </c>
      <c r="P2273" t="s">
        <v>1819</v>
      </c>
      <c r="Q2273" t="s">
        <v>1753</v>
      </c>
      <c r="R2273" t="s">
        <v>1759</v>
      </c>
    </row>
    <row r="2274" spans="1:18" x14ac:dyDescent="0.25">
      <c r="A2274" t="s">
        <v>5233</v>
      </c>
      <c r="B2274" t="s">
        <v>3117</v>
      </c>
      <c r="C2274" t="s">
        <v>6</v>
      </c>
      <c r="D2274" t="s">
        <v>5232</v>
      </c>
      <c r="E2274" s="2">
        <v>42159</v>
      </c>
      <c r="F2274">
        <v>3452</v>
      </c>
      <c r="G2274" t="s">
        <v>1746</v>
      </c>
      <c r="H2274" t="s">
        <v>3183</v>
      </c>
      <c r="I2274" t="b">
        <v>1</v>
      </c>
      <c r="J2274" t="s">
        <v>1761</v>
      </c>
      <c r="K2274" t="s">
        <v>1856</v>
      </c>
      <c r="L2274" t="s">
        <v>1750</v>
      </c>
      <c r="M2274">
        <v>26</v>
      </c>
      <c r="N2274" t="b">
        <v>0</v>
      </c>
      <c r="O2274">
        <v>27</v>
      </c>
      <c r="P2274" t="s">
        <v>1752</v>
      </c>
      <c r="Q2274" t="s">
        <v>1753</v>
      </c>
    </row>
    <row r="2275" spans="1:18" x14ac:dyDescent="0.25">
      <c r="A2275" t="s">
        <v>5235</v>
      </c>
      <c r="B2275" t="s">
        <v>2284</v>
      </c>
      <c r="C2275" t="s">
        <v>2338</v>
      </c>
      <c r="D2275" t="s">
        <v>5234</v>
      </c>
      <c r="E2275" s="2">
        <v>44153</v>
      </c>
      <c r="F2275">
        <v>1458</v>
      </c>
      <c r="G2275" t="s">
        <v>1746</v>
      </c>
      <c r="H2275" t="s">
        <v>1747</v>
      </c>
      <c r="I2275" t="b">
        <v>0</v>
      </c>
      <c r="J2275" t="s">
        <v>1748</v>
      </c>
      <c r="K2275" t="s">
        <v>1884</v>
      </c>
      <c r="L2275" t="s">
        <v>1775</v>
      </c>
      <c r="M2275">
        <v>26</v>
      </c>
      <c r="N2275" t="b">
        <v>0</v>
      </c>
      <c r="P2275" t="s">
        <v>2283</v>
      </c>
      <c r="Q2275" t="s">
        <v>1705</v>
      </c>
    </row>
    <row r="2276" spans="1:18" x14ac:dyDescent="0.25">
      <c r="A2276" t="s">
        <v>5236</v>
      </c>
      <c r="B2276" t="s">
        <v>1915</v>
      </c>
      <c r="C2276" t="s">
        <v>4</v>
      </c>
      <c r="D2276" t="s">
        <v>1289</v>
      </c>
      <c r="E2276" s="2">
        <v>44789</v>
      </c>
      <c r="F2276">
        <v>822</v>
      </c>
      <c r="G2276" t="s">
        <v>1746</v>
      </c>
      <c r="H2276" t="s">
        <v>1747</v>
      </c>
      <c r="I2276" t="b">
        <v>0</v>
      </c>
      <c r="J2276" t="s">
        <v>1761</v>
      </c>
      <c r="K2276" t="s">
        <v>1774</v>
      </c>
      <c r="L2276" t="s">
        <v>1756</v>
      </c>
      <c r="M2276">
        <v>26</v>
      </c>
      <c r="N2276" t="b">
        <v>1</v>
      </c>
      <c r="O2276">
        <v>1471</v>
      </c>
      <c r="P2276" t="s">
        <v>1752</v>
      </c>
      <c r="Q2276" t="s">
        <v>1753</v>
      </c>
      <c r="R2276" t="s">
        <v>2092</v>
      </c>
    </row>
    <row r="2277" spans="1:18" x14ac:dyDescent="0.25">
      <c r="A2277" t="s">
        <v>5238</v>
      </c>
      <c r="B2277" t="s">
        <v>1983</v>
      </c>
      <c r="C2277" t="s">
        <v>6</v>
      </c>
      <c r="D2277" t="s">
        <v>5237</v>
      </c>
      <c r="E2277" s="2">
        <v>44916</v>
      </c>
      <c r="F2277">
        <v>695</v>
      </c>
      <c r="G2277" t="s">
        <v>1746</v>
      </c>
      <c r="H2277" t="s">
        <v>1747</v>
      </c>
      <c r="I2277" t="b">
        <v>0</v>
      </c>
      <c r="J2277" t="s">
        <v>1748</v>
      </c>
      <c r="K2277" t="s">
        <v>1757</v>
      </c>
      <c r="L2277" t="s">
        <v>2102</v>
      </c>
      <c r="M2277">
        <v>26</v>
      </c>
      <c r="N2277" t="b">
        <v>0</v>
      </c>
      <c r="P2277" t="s">
        <v>1752</v>
      </c>
      <c r="Q2277" t="s">
        <v>1753</v>
      </c>
      <c r="R2277" t="s">
        <v>1759</v>
      </c>
    </row>
    <row r="2278" spans="1:18" x14ac:dyDescent="0.25">
      <c r="A2278" t="s">
        <v>5240</v>
      </c>
      <c r="B2278" t="s">
        <v>2060</v>
      </c>
      <c r="C2278" t="s">
        <v>6</v>
      </c>
      <c r="D2278" t="s">
        <v>5239</v>
      </c>
      <c r="E2278" s="2">
        <v>39266</v>
      </c>
      <c r="F2278">
        <v>6345</v>
      </c>
      <c r="G2278" t="s">
        <v>1746</v>
      </c>
      <c r="H2278" t="s">
        <v>1798</v>
      </c>
      <c r="I2278" t="b">
        <v>0</v>
      </c>
      <c r="J2278" t="s">
        <v>1748</v>
      </c>
      <c r="K2278" t="s">
        <v>1825</v>
      </c>
      <c r="L2278" t="s">
        <v>1750</v>
      </c>
      <c r="M2278">
        <v>26</v>
      </c>
      <c r="N2278" t="b">
        <v>1</v>
      </c>
      <c r="O2278">
        <v>76</v>
      </c>
      <c r="P2278" t="s">
        <v>1752</v>
      </c>
      <c r="Q2278" t="s">
        <v>1753</v>
      </c>
      <c r="R2278" t="s">
        <v>1828</v>
      </c>
    </row>
    <row r="2279" spans="1:18" x14ac:dyDescent="0.25">
      <c r="A2279" t="s">
        <v>5242</v>
      </c>
      <c r="B2279" t="s">
        <v>2150</v>
      </c>
      <c r="C2279" t="s">
        <v>4</v>
      </c>
      <c r="D2279" t="s">
        <v>5241</v>
      </c>
      <c r="E2279" s="2">
        <v>44747</v>
      </c>
      <c r="F2279">
        <v>864</v>
      </c>
      <c r="G2279" t="s">
        <v>1746</v>
      </c>
      <c r="H2279" t="s">
        <v>1805</v>
      </c>
      <c r="I2279" t="b">
        <v>0</v>
      </c>
      <c r="J2279" t="s">
        <v>1748</v>
      </c>
      <c r="K2279" t="s">
        <v>1776</v>
      </c>
      <c r="L2279" t="s">
        <v>1775</v>
      </c>
      <c r="M2279">
        <v>26</v>
      </c>
      <c r="N2279" t="b">
        <v>0</v>
      </c>
      <c r="P2279" t="s">
        <v>1778</v>
      </c>
      <c r="Q2279" t="s">
        <v>1779</v>
      </c>
    </row>
    <row r="2280" spans="1:18" x14ac:dyDescent="0.25">
      <c r="A2280" t="s">
        <v>5244</v>
      </c>
      <c r="B2280" t="s">
        <v>2150</v>
      </c>
      <c r="C2280" t="s">
        <v>4</v>
      </c>
      <c r="D2280" t="s">
        <v>5243</v>
      </c>
      <c r="E2280" s="2">
        <v>43851</v>
      </c>
      <c r="F2280">
        <v>1760</v>
      </c>
      <c r="G2280" t="s">
        <v>1746</v>
      </c>
      <c r="H2280" t="s">
        <v>1747</v>
      </c>
      <c r="I2280" t="b">
        <v>1</v>
      </c>
      <c r="J2280" t="s">
        <v>1748</v>
      </c>
      <c r="K2280" t="s">
        <v>1985</v>
      </c>
      <c r="L2280" t="s">
        <v>1817</v>
      </c>
      <c r="M2280">
        <v>26</v>
      </c>
      <c r="N2280" t="b">
        <v>0</v>
      </c>
      <c r="O2280">
        <v>51</v>
      </c>
      <c r="P2280" t="s">
        <v>1819</v>
      </c>
      <c r="Q2280" t="s">
        <v>1753</v>
      </c>
    </row>
    <row r="2281" spans="1:18" x14ac:dyDescent="0.25">
      <c r="A2281" t="s">
        <v>5245</v>
      </c>
      <c r="B2281" t="s">
        <v>2384</v>
      </c>
      <c r="C2281" t="s">
        <v>4</v>
      </c>
      <c r="D2281" t="s">
        <v>1291</v>
      </c>
      <c r="E2281" s="2">
        <v>44880</v>
      </c>
      <c r="F2281">
        <v>731</v>
      </c>
      <c r="G2281" t="s">
        <v>1746</v>
      </c>
      <c r="H2281" t="s">
        <v>1747</v>
      </c>
      <c r="I2281" t="b">
        <v>0</v>
      </c>
      <c r="J2281" t="s">
        <v>1748</v>
      </c>
      <c r="K2281" t="s">
        <v>1784</v>
      </c>
      <c r="L2281" t="s">
        <v>1817</v>
      </c>
      <c r="M2281">
        <v>26</v>
      </c>
      <c r="N2281" t="b">
        <v>1</v>
      </c>
      <c r="O2281">
        <v>1801</v>
      </c>
      <c r="P2281" t="s">
        <v>1819</v>
      </c>
      <c r="Q2281" t="s">
        <v>1753</v>
      </c>
      <c r="R2281" t="s">
        <v>1759</v>
      </c>
    </row>
    <row r="2282" spans="1:18" x14ac:dyDescent="0.25">
      <c r="A2282" t="s">
        <v>5247</v>
      </c>
      <c r="B2282" t="s">
        <v>1907</v>
      </c>
      <c r="C2282" t="s">
        <v>4</v>
      </c>
      <c r="D2282" t="s">
        <v>5246</v>
      </c>
      <c r="E2282" s="2">
        <v>45013</v>
      </c>
      <c r="F2282">
        <v>598</v>
      </c>
      <c r="G2282" t="s">
        <v>1746</v>
      </c>
      <c r="H2282" t="s">
        <v>1798</v>
      </c>
      <c r="I2282" t="b">
        <v>0</v>
      </c>
      <c r="J2282" t="s">
        <v>1748</v>
      </c>
      <c r="K2282" t="s">
        <v>1793</v>
      </c>
      <c r="L2282" t="s">
        <v>1817</v>
      </c>
      <c r="M2282">
        <v>26</v>
      </c>
      <c r="N2282" t="b">
        <v>0</v>
      </c>
      <c r="O2282">
        <v>1885</v>
      </c>
      <c r="P2282" t="s">
        <v>1819</v>
      </c>
      <c r="Q2282" t="s">
        <v>1753</v>
      </c>
      <c r="R2282" t="s">
        <v>1759</v>
      </c>
    </row>
    <row r="2283" spans="1:18" x14ac:dyDescent="0.25">
      <c r="A2283" t="s">
        <v>5249</v>
      </c>
      <c r="B2283" t="s">
        <v>2173</v>
      </c>
      <c r="C2283" t="s">
        <v>4</v>
      </c>
      <c r="D2283" t="s">
        <v>5248</v>
      </c>
      <c r="E2283" s="2">
        <v>40639</v>
      </c>
      <c r="F2283">
        <v>4972</v>
      </c>
      <c r="G2283" t="s">
        <v>1746</v>
      </c>
      <c r="H2283" t="s">
        <v>1798</v>
      </c>
      <c r="I2283" t="b">
        <v>0</v>
      </c>
      <c r="J2283" t="s">
        <v>1748</v>
      </c>
      <c r="K2283" t="s">
        <v>1809</v>
      </c>
      <c r="L2283" t="s">
        <v>2102</v>
      </c>
      <c r="M2283">
        <v>26</v>
      </c>
      <c r="N2283" t="b">
        <v>0</v>
      </c>
      <c r="P2283" t="s">
        <v>2070</v>
      </c>
      <c r="Q2283" t="s">
        <v>1753</v>
      </c>
    </row>
    <row r="2284" spans="1:18" x14ac:dyDescent="0.25">
      <c r="A2284" t="s">
        <v>5251</v>
      </c>
      <c r="B2284" t="s">
        <v>2150</v>
      </c>
      <c r="C2284" t="s">
        <v>6</v>
      </c>
      <c r="D2284" t="s">
        <v>5250</v>
      </c>
      <c r="E2284" s="2">
        <v>44867</v>
      </c>
      <c r="F2284">
        <v>744</v>
      </c>
      <c r="G2284" t="s">
        <v>1746</v>
      </c>
      <c r="H2284" t="s">
        <v>1805</v>
      </c>
      <c r="I2284" t="b">
        <v>1</v>
      </c>
      <c r="J2284" t="s">
        <v>1761</v>
      </c>
      <c r="K2284" t="s">
        <v>1985</v>
      </c>
      <c r="L2284" t="s">
        <v>1750</v>
      </c>
      <c r="M2284">
        <v>26</v>
      </c>
      <c r="N2284" t="b">
        <v>0</v>
      </c>
      <c r="O2284">
        <v>95</v>
      </c>
      <c r="P2284" t="s">
        <v>1819</v>
      </c>
      <c r="Q2284" t="s">
        <v>1753</v>
      </c>
    </row>
    <row r="2285" spans="1:18" x14ac:dyDescent="0.25">
      <c r="A2285" t="s">
        <v>5253</v>
      </c>
      <c r="B2285" t="s">
        <v>1907</v>
      </c>
      <c r="C2285" t="s">
        <v>572</v>
      </c>
      <c r="D2285" t="s">
        <v>5252</v>
      </c>
      <c r="E2285" s="2">
        <v>44313</v>
      </c>
      <c r="F2285">
        <v>1298</v>
      </c>
      <c r="G2285" t="s">
        <v>1746</v>
      </c>
      <c r="H2285" t="s">
        <v>1798</v>
      </c>
      <c r="I2285" t="b">
        <v>0</v>
      </c>
      <c r="J2285" t="s">
        <v>1761</v>
      </c>
      <c r="K2285" t="s">
        <v>1826</v>
      </c>
      <c r="L2285" t="s">
        <v>1750</v>
      </c>
      <c r="M2285">
        <v>26</v>
      </c>
      <c r="N2285" t="b">
        <v>0</v>
      </c>
      <c r="O2285">
        <v>40</v>
      </c>
      <c r="P2285" t="s">
        <v>1752</v>
      </c>
      <c r="Q2285" t="s">
        <v>1753</v>
      </c>
    </row>
    <row r="2286" spans="1:18" x14ac:dyDescent="0.25">
      <c r="A2286" t="s">
        <v>5255</v>
      </c>
      <c r="B2286" t="s">
        <v>2150</v>
      </c>
      <c r="C2286" t="s">
        <v>4</v>
      </c>
      <c r="D2286" t="s">
        <v>5254</v>
      </c>
      <c r="E2286" s="2">
        <v>44740</v>
      </c>
      <c r="F2286">
        <v>871</v>
      </c>
      <c r="G2286" t="s">
        <v>1746</v>
      </c>
      <c r="H2286" t="s">
        <v>1747</v>
      </c>
      <c r="I2286" t="b">
        <v>0</v>
      </c>
      <c r="J2286" t="s">
        <v>1761</v>
      </c>
      <c r="K2286" t="s">
        <v>1770</v>
      </c>
      <c r="L2286" t="s">
        <v>1750</v>
      </c>
      <c r="M2286">
        <v>26</v>
      </c>
      <c r="N2286" t="b">
        <v>1</v>
      </c>
      <c r="O2286">
        <v>683</v>
      </c>
      <c r="P2286" t="s">
        <v>1752</v>
      </c>
      <c r="Q2286" t="s">
        <v>1753</v>
      </c>
      <c r="R2286" t="s">
        <v>1772</v>
      </c>
    </row>
    <row r="2287" spans="1:18" x14ac:dyDescent="0.25">
      <c r="A2287" t="s">
        <v>5256</v>
      </c>
      <c r="B2287" t="s">
        <v>1876</v>
      </c>
      <c r="C2287" t="s">
        <v>4</v>
      </c>
      <c r="D2287" t="s">
        <v>267</v>
      </c>
      <c r="E2287" s="2">
        <v>44582</v>
      </c>
      <c r="F2287">
        <v>1029</v>
      </c>
      <c r="G2287" t="s">
        <v>1746</v>
      </c>
      <c r="H2287" t="s">
        <v>1747</v>
      </c>
      <c r="I2287" t="b">
        <v>0</v>
      </c>
      <c r="J2287" t="s">
        <v>1748</v>
      </c>
      <c r="K2287" t="s">
        <v>1868</v>
      </c>
      <c r="L2287" t="s">
        <v>1750</v>
      </c>
      <c r="M2287">
        <v>26</v>
      </c>
      <c r="N2287" t="b">
        <v>0</v>
      </c>
      <c r="O2287">
        <v>19</v>
      </c>
      <c r="P2287" t="s">
        <v>1752</v>
      </c>
      <c r="Q2287" t="s">
        <v>1753</v>
      </c>
      <c r="R2287" t="s">
        <v>1759</v>
      </c>
    </row>
    <row r="2288" spans="1:18" x14ac:dyDescent="0.25">
      <c r="A2288" t="s">
        <v>5258</v>
      </c>
      <c r="B2288" t="s">
        <v>1907</v>
      </c>
      <c r="C2288" t="s">
        <v>6</v>
      </c>
      <c r="D2288" t="s">
        <v>5257</v>
      </c>
      <c r="E2288" s="2">
        <v>44091</v>
      </c>
      <c r="F2288">
        <v>1520</v>
      </c>
      <c r="G2288" t="s">
        <v>1746</v>
      </c>
      <c r="H2288" t="s">
        <v>1798</v>
      </c>
      <c r="I2288" t="b">
        <v>1</v>
      </c>
      <c r="J2288" t="s">
        <v>1761</v>
      </c>
      <c r="K2288" t="s">
        <v>1824</v>
      </c>
      <c r="L2288" t="s">
        <v>1750</v>
      </c>
      <c r="M2288">
        <v>25</v>
      </c>
      <c r="N2288" t="b">
        <v>0</v>
      </c>
      <c r="O2288">
        <v>78</v>
      </c>
      <c r="P2288" t="s">
        <v>1819</v>
      </c>
      <c r="Q2288" t="s">
        <v>1753</v>
      </c>
      <c r="R2288" t="s">
        <v>1828</v>
      </c>
    </row>
    <row r="2289" spans="1:18" x14ac:dyDescent="0.25">
      <c r="A2289" t="s">
        <v>5259</v>
      </c>
      <c r="B2289" t="s">
        <v>1874</v>
      </c>
      <c r="C2289" t="s">
        <v>4</v>
      </c>
      <c r="D2289" t="s">
        <v>356</v>
      </c>
      <c r="E2289" s="2">
        <v>44411</v>
      </c>
      <c r="F2289">
        <v>1200</v>
      </c>
      <c r="G2289" t="s">
        <v>1746</v>
      </c>
      <c r="H2289" t="s">
        <v>1747</v>
      </c>
      <c r="I2289" t="b">
        <v>0</v>
      </c>
      <c r="J2289" t="s">
        <v>1748</v>
      </c>
      <c r="K2289" t="s">
        <v>1774</v>
      </c>
      <c r="L2289" t="s">
        <v>1750</v>
      </c>
      <c r="M2289">
        <v>25</v>
      </c>
      <c r="N2289" t="b">
        <v>1</v>
      </c>
      <c r="O2289">
        <v>253</v>
      </c>
      <c r="P2289" t="s">
        <v>1752</v>
      </c>
      <c r="Q2289" t="s">
        <v>1753</v>
      </c>
    </row>
    <row r="2290" spans="1:18" x14ac:dyDescent="0.25">
      <c r="A2290" t="s">
        <v>5261</v>
      </c>
      <c r="B2290" t="s">
        <v>1785</v>
      </c>
      <c r="C2290" t="s">
        <v>4</v>
      </c>
      <c r="D2290" t="s">
        <v>5260</v>
      </c>
      <c r="E2290" s="2">
        <v>39493</v>
      </c>
      <c r="F2290">
        <v>6118</v>
      </c>
      <c r="G2290" t="s">
        <v>1746</v>
      </c>
      <c r="H2290" t="s">
        <v>1747</v>
      </c>
      <c r="I2290" t="b">
        <v>1</v>
      </c>
      <c r="J2290" t="s">
        <v>1761</v>
      </c>
      <c r="K2290" t="s">
        <v>1835</v>
      </c>
      <c r="L2290" t="s">
        <v>1750</v>
      </c>
      <c r="M2290">
        <v>25</v>
      </c>
      <c r="N2290" t="b">
        <v>0</v>
      </c>
      <c r="O2290">
        <v>31</v>
      </c>
      <c r="P2290" t="s">
        <v>1752</v>
      </c>
      <c r="Q2290" t="s">
        <v>1753</v>
      </c>
      <c r="R2290" t="s">
        <v>1772</v>
      </c>
    </row>
    <row r="2291" spans="1:18" x14ac:dyDescent="0.25">
      <c r="A2291" t="s">
        <v>5263</v>
      </c>
      <c r="B2291" t="s">
        <v>1866</v>
      </c>
      <c r="C2291" t="s">
        <v>572</v>
      </c>
      <c r="D2291" t="s">
        <v>5262</v>
      </c>
      <c r="E2291" s="2">
        <v>43166</v>
      </c>
      <c r="F2291">
        <v>2445</v>
      </c>
      <c r="G2291" t="s">
        <v>1833</v>
      </c>
      <c r="H2291" t="s">
        <v>1798</v>
      </c>
      <c r="I2291" t="b">
        <v>0</v>
      </c>
      <c r="J2291" t="s">
        <v>1761</v>
      </c>
      <c r="K2291" t="s">
        <v>1800</v>
      </c>
      <c r="L2291" t="s">
        <v>1750</v>
      </c>
      <c r="M2291">
        <v>25</v>
      </c>
      <c r="N2291" t="b">
        <v>0</v>
      </c>
      <c r="O2291">
        <v>1458</v>
      </c>
      <c r="P2291" t="s">
        <v>1752</v>
      </c>
      <c r="Q2291" t="s">
        <v>1753</v>
      </c>
      <c r="R2291" t="s">
        <v>1759</v>
      </c>
    </row>
    <row r="2292" spans="1:18" x14ac:dyDescent="0.25">
      <c r="A2292" t="s">
        <v>5265</v>
      </c>
      <c r="B2292" t="s">
        <v>2150</v>
      </c>
      <c r="C2292" t="s">
        <v>4</v>
      </c>
      <c r="D2292" t="s">
        <v>5264</v>
      </c>
      <c r="E2292" s="2">
        <v>44839</v>
      </c>
      <c r="F2292">
        <v>772</v>
      </c>
      <c r="G2292" t="s">
        <v>1746</v>
      </c>
      <c r="H2292" t="s">
        <v>1798</v>
      </c>
      <c r="I2292" t="b">
        <v>0</v>
      </c>
      <c r="J2292" t="s">
        <v>1761</v>
      </c>
      <c r="K2292" t="s">
        <v>1770</v>
      </c>
      <c r="L2292" t="s">
        <v>1750</v>
      </c>
      <c r="M2292">
        <v>25</v>
      </c>
      <c r="N2292" t="b">
        <v>0</v>
      </c>
      <c r="O2292">
        <v>12</v>
      </c>
      <c r="P2292" t="s">
        <v>1752</v>
      </c>
      <c r="Q2292" t="s">
        <v>1753</v>
      </c>
      <c r="R2292" t="s">
        <v>1828</v>
      </c>
    </row>
    <row r="2293" spans="1:18" x14ac:dyDescent="0.25">
      <c r="A2293" t="s">
        <v>5267</v>
      </c>
      <c r="B2293" t="s">
        <v>2620</v>
      </c>
      <c r="C2293" t="s">
        <v>4</v>
      </c>
      <c r="D2293" t="s">
        <v>5266</v>
      </c>
      <c r="E2293" s="2">
        <v>43948</v>
      </c>
      <c r="F2293">
        <v>1663</v>
      </c>
      <c r="G2293" t="s">
        <v>1746</v>
      </c>
      <c r="H2293" t="s">
        <v>1747</v>
      </c>
      <c r="I2293" t="b">
        <v>1</v>
      </c>
      <c r="J2293" t="s">
        <v>1761</v>
      </c>
      <c r="K2293" t="s">
        <v>1846</v>
      </c>
      <c r="L2293" t="s">
        <v>1750</v>
      </c>
      <c r="M2293">
        <v>25</v>
      </c>
      <c r="N2293" t="b">
        <v>0</v>
      </c>
      <c r="O2293">
        <v>598</v>
      </c>
      <c r="P2293" t="s">
        <v>1752</v>
      </c>
      <c r="Q2293" t="s">
        <v>1753</v>
      </c>
    </row>
    <row r="2294" spans="1:18" x14ac:dyDescent="0.25">
      <c r="A2294" t="s">
        <v>5268</v>
      </c>
      <c r="B2294" t="s">
        <v>2220</v>
      </c>
      <c r="C2294" t="s">
        <v>4</v>
      </c>
      <c r="D2294" t="s">
        <v>434</v>
      </c>
      <c r="E2294" s="2">
        <v>40163</v>
      </c>
      <c r="F2294">
        <v>5448</v>
      </c>
      <c r="G2294" t="s">
        <v>1746</v>
      </c>
      <c r="H2294" t="s">
        <v>1747</v>
      </c>
      <c r="I2294" t="b">
        <v>0</v>
      </c>
      <c r="J2294" t="s">
        <v>1748</v>
      </c>
      <c r="K2294" t="s">
        <v>1934</v>
      </c>
      <c r="L2294" t="s">
        <v>1766</v>
      </c>
      <c r="M2294">
        <v>25</v>
      </c>
      <c r="N2294" t="b">
        <v>0</v>
      </c>
      <c r="P2294" t="s">
        <v>1752</v>
      </c>
      <c r="Q2294" t="s">
        <v>1753</v>
      </c>
    </row>
    <row r="2295" spans="1:18" x14ac:dyDescent="0.25">
      <c r="A2295" t="s">
        <v>5270</v>
      </c>
      <c r="B2295" t="s">
        <v>1907</v>
      </c>
      <c r="C2295" t="s">
        <v>4</v>
      </c>
      <c r="D2295" t="s">
        <v>5269</v>
      </c>
      <c r="E2295" s="2">
        <v>44071</v>
      </c>
      <c r="F2295">
        <v>1540</v>
      </c>
      <c r="G2295" t="s">
        <v>1746</v>
      </c>
      <c r="H2295" t="s">
        <v>1798</v>
      </c>
      <c r="I2295" t="b">
        <v>0</v>
      </c>
      <c r="J2295" t="s">
        <v>1748</v>
      </c>
      <c r="K2295" t="s">
        <v>1774</v>
      </c>
      <c r="L2295" t="s">
        <v>1817</v>
      </c>
      <c r="M2295">
        <v>25</v>
      </c>
      <c r="N2295" t="b">
        <v>0</v>
      </c>
      <c r="O2295">
        <v>61</v>
      </c>
      <c r="P2295" t="s">
        <v>1819</v>
      </c>
      <c r="Q2295" t="s">
        <v>1753</v>
      </c>
    </row>
    <row r="2296" spans="1:18" x14ac:dyDescent="0.25">
      <c r="A2296" t="s">
        <v>5272</v>
      </c>
      <c r="B2296" t="s">
        <v>2173</v>
      </c>
      <c r="C2296" t="s">
        <v>4</v>
      </c>
      <c r="D2296" t="s">
        <v>5271</v>
      </c>
      <c r="E2296" s="2">
        <v>42984</v>
      </c>
      <c r="F2296">
        <v>2627</v>
      </c>
      <c r="G2296" t="s">
        <v>1746</v>
      </c>
      <c r="H2296" t="s">
        <v>2231</v>
      </c>
      <c r="I2296" t="b">
        <v>1</v>
      </c>
      <c r="J2296" t="s">
        <v>1748</v>
      </c>
      <c r="K2296" t="s">
        <v>1846</v>
      </c>
      <c r="L2296" t="s">
        <v>1756</v>
      </c>
      <c r="M2296">
        <v>25</v>
      </c>
      <c r="N2296" t="b">
        <v>0</v>
      </c>
      <c r="O2296">
        <v>1959</v>
      </c>
      <c r="P2296" t="s">
        <v>1752</v>
      </c>
      <c r="Q2296" t="s">
        <v>1753</v>
      </c>
    </row>
    <row r="2297" spans="1:18" x14ac:dyDescent="0.25">
      <c r="A2297" t="s">
        <v>5273</v>
      </c>
      <c r="B2297" t="s">
        <v>1876</v>
      </c>
      <c r="C2297" t="s">
        <v>4</v>
      </c>
      <c r="D2297" t="s">
        <v>1405</v>
      </c>
      <c r="E2297" s="2">
        <v>42677</v>
      </c>
      <c r="F2297">
        <v>2934</v>
      </c>
      <c r="G2297" t="s">
        <v>1746</v>
      </c>
      <c r="H2297" t="s">
        <v>1798</v>
      </c>
      <c r="I2297" t="b">
        <v>0</v>
      </c>
      <c r="J2297" t="s">
        <v>1748</v>
      </c>
      <c r="K2297" t="s">
        <v>1800</v>
      </c>
      <c r="L2297" t="s">
        <v>1750</v>
      </c>
      <c r="M2297">
        <v>25</v>
      </c>
      <c r="N2297" t="b">
        <v>1</v>
      </c>
      <c r="O2297">
        <v>281</v>
      </c>
      <c r="P2297" t="s">
        <v>1752</v>
      </c>
      <c r="Q2297" t="s">
        <v>1753</v>
      </c>
      <c r="R2297" t="s">
        <v>1828</v>
      </c>
    </row>
    <row r="2298" spans="1:18" x14ac:dyDescent="0.25">
      <c r="A2298" t="s">
        <v>5274</v>
      </c>
      <c r="B2298" t="s">
        <v>1876</v>
      </c>
      <c r="C2298" t="s">
        <v>4</v>
      </c>
      <c r="D2298" t="s">
        <v>761</v>
      </c>
      <c r="E2298" s="2">
        <v>44980</v>
      </c>
      <c r="F2298">
        <v>631</v>
      </c>
      <c r="G2298" t="s">
        <v>1833</v>
      </c>
      <c r="H2298" t="s">
        <v>1747</v>
      </c>
      <c r="I2298" t="b">
        <v>0</v>
      </c>
      <c r="J2298" t="s">
        <v>1748</v>
      </c>
      <c r="K2298" t="s">
        <v>1879</v>
      </c>
      <c r="L2298" t="s">
        <v>1750</v>
      </c>
      <c r="M2298">
        <v>25</v>
      </c>
      <c r="N2298" t="b">
        <v>1</v>
      </c>
      <c r="O2298">
        <v>164</v>
      </c>
      <c r="P2298" t="s">
        <v>1819</v>
      </c>
      <c r="Q2298" t="s">
        <v>1753</v>
      </c>
      <c r="R2298" t="s">
        <v>1759</v>
      </c>
    </row>
    <row r="2299" spans="1:18" x14ac:dyDescent="0.25">
      <c r="A2299" t="s">
        <v>5275</v>
      </c>
      <c r="B2299" t="s">
        <v>3874</v>
      </c>
      <c r="C2299" t="s">
        <v>4</v>
      </c>
      <c r="D2299" t="s">
        <v>701</v>
      </c>
      <c r="E2299" s="2">
        <v>44658</v>
      </c>
      <c r="F2299">
        <v>953</v>
      </c>
      <c r="G2299" t="s">
        <v>1746</v>
      </c>
      <c r="H2299" t="s">
        <v>1747</v>
      </c>
      <c r="I2299" t="b">
        <v>0</v>
      </c>
      <c r="J2299" t="s">
        <v>1761</v>
      </c>
      <c r="K2299" t="s">
        <v>1770</v>
      </c>
      <c r="L2299" t="s">
        <v>1750</v>
      </c>
      <c r="M2299">
        <v>25</v>
      </c>
      <c r="N2299" t="b">
        <v>1</v>
      </c>
      <c r="O2299">
        <v>95</v>
      </c>
      <c r="P2299" t="s">
        <v>1752</v>
      </c>
      <c r="Q2299" t="s">
        <v>1753</v>
      </c>
      <c r="R2299" t="s">
        <v>1759</v>
      </c>
    </row>
    <row r="2300" spans="1:18" x14ac:dyDescent="0.25">
      <c r="A2300" t="s">
        <v>5276</v>
      </c>
      <c r="B2300" t="s">
        <v>2810</v>
      </c>
      <c r="C2300" t="s">
        <v>4</v>
      </c>
      <c r="D2300" t="s">
        <v>1317</v>
      </c>
      <c r="E2300" s="2">
        <v>44173</v>
      </c>
      <c r="F2300">
        <v>1438</v>
      </c>
      <c r="G2300" t="s">
        <v>1833</v>
      </c>
      <c r="H2300" t="s">
        <v>1798</v>
      </c>
      <c r="I2300" t="b">
        <v>0</v>
      </c>
      <c r="J2300" t="s">
        <v>1761</v>
      </c>
      <c r="K2300" t="s">
        <v>1776</v>
      </c>
      <c r="L2300" t="s">
        <v>1750</v>
      </c>
      <c r="M2300">
        <v>25</v>
      </c>
      <c r="N2300" t="b">
        <v>0</v>
      </c>
      <c r="O2300">
        <v>14545</v>
      </c>
      <c r="P2300" t="s">
        <v>1752</v>
      </c>
      <c r="Q2300" t="s">
        <v>1753</v>
      </c>
      <c r="R2300" t="s">
        <v>1759</v>
      </c>
    </row>
    <row r="2301" spans="1:18" x14ac:dyDescent="0.25">
      <c r="A2301" t="s">
        <v>5278</v>
      </c>
      <c r="B2301" t="s">
        <v>2370</v>
      </c>
      <c r="C2301" t="s">
        <v>4</v>
      </c>
      <c r="D2301" t="s">
        <v>5277</v>
      </c>
      <c r="E2301" s="2">
        <v>45421</v>
      </c>
      <c r="F2301">
        <v>190</v>
      </c>
      <c r="G2301" t="s">
        <v>1746</v>
      </c>
      <c r="H2301" t="s">
        <v>1747</v>
      </c>
      <c r="I2301" t="b">
        <v>0</v>
      </c>
      <c r="J2301" t="s">
        <v>1761</v>
      </c>
      <c r="K2301" t="s">
        <v>1774</v>
      </c>
      <c r="L2301" t="s">
        <v>1817</v>
      </c>
      <c r="M2301">
        <v>25</v>
      </c>
      <c r="N2301" t="b">
        <v>1</v>
      </c>
      <c r="O2301">
        <v>396</v>
      </c>
      <c r="P2301" t="s">
        <v>1819</v>
      </c>
      <c r="Q2301" t="s">
        <v>1753</v>
      </c>
      <c r="R2301" t="s">
        <v>1759</v>
      </c>
    </row>
    <row r="2302" spans="1:18" x14ac:dyDescent="0.25">
      <c r="A2302" t="s">
        <v>5280</v>
      </c>
      <c r="B2302" t="s">
        <v>2144</v>
      </c>
      <c r="C2302" t="s">
        <v>4</v>
      </c>
      <c r="D2302" t="s">
        <v>5279</v>
      </c>
      <c r="E2302" s="2">
        <v>45133</v>
      </c>
      <c r="F2302">
        <v>478</v>
      </c>
      <c r="G2302" t="s">
        <v>1746</v>
      </c>
      <c r="H2302" t="s">
        <v>1798</v>
      </c>
      <c r="I2302" t="b">
        <v>0</v>
      </c>
      <c r="J2302" t="s">
        <v>1748</v>
      </c>
      <c r="K2302" t="s">
        <v>1822</v>
      </c>
      <c r="L2302" t="s">
        <v>1750</v>
      </c>
      <c r="M2302">
        <v>25</v>
      </c>
      <c r="N2302" t="b">
        <v>1</v>
      </c>
      <c r="O2302">
        <v>51</v>
      </c>
      <c r="P2302" t="s">
        <v>1752</v>
      </c>
      <c r="Q2302" t="s">
        <v>1753</v>
      </c>
      <c r="R2302" t="s">
        <v>1828</v>
      </c>
    </row>
    <row r="2303" spans="1:18" x14ac:dyDescent="0.25">
      <c r="A2303" t="s">
        <v>5281</v>
      </c>
      <c r="B2303" t="s">
        <v>2269</v>
      </c>
      <c r="C2303" t="s">
        <v>4</v>
      </c>
      <c r="D2303" t="s">
        <v>1050</v>
      </c>
      <c r="E2303" s="2">
        <v>42338</v>
      </c>
      <c r="F2303">
        <v>3273</v>
      </c>
      <c r="G2303" t="s">
        <v>1746</v>
      </c>
      <c r="H2303" t="s">
        <v>1798</v>
      </c>
      <c r="I2303" t="b">
        <v>1</v>
      </c>
      <c r="J2303" t="s">
        <v>1748</v>
      </c>
      <c r="K2303" t="s">
        <v>1825</v>
      </c>
      <c r="L2303" t="s">
        <v>1756</v>
      </c>
      <c r="M2303">
        <v>25</v>
      </c>
      <c r="N2303" t="b">
        <v>0</v>
      </c>
      <c r="O2303">
        <v>198</v>
      </c>
      <c r="P2303" t="s">
        <v>1752</v>
      </c>
      <c r="Q2303" t="s">
        <v>1753</v>
      </c>
    </row>
    <row r="2304" spans="1:18" x14ac:dyDescent="0.25">
      <c r="A2304" t="s">
        <v>5283</v>
      </c>
      <c r="B2304" t="s">
        <v>2150</v>
      </c>
      <c r="C2304" t="s">
        <v>4</v>
      </c>
      <c r="D2304" t="s">
        <v>5282</v>
      </c>
      <c r="E2304" s="2">
        <v>42663</v>
      </c>
      <c r="F2304">
        <v>2948</v>
      </c>
      <c r="G2304" t="s">
        <v>1746</v>
      </c>
      <c r="H2304" t="s">
        <v>1747</v>
      </c>
      <c r="I2304" t="b">
        <v>0</v>
      </c>
      <c r="J2304" t="s">
        <v>1761</v>
      </c>
      <c r="K2304" t="s">
        <v>2042</v>
      </c>
      <c r="L2304" t="s">
        <v>1750</v>
      </c>
      <c r="M2304">
        <v>25</v>
      </c>
      <c r="N2304" t="b">
        <v>0</v>
      </c>
      <c r="O2304">
        <v>313</v>
      </c>
      <c r="P2304" t="s">
        <v>1752</v>
      </c>
      <c r="Q2304" t="s">
        <v>1753</v>
      </c>
      <c r="R2304" t="s">
        <v>1759</v>
      </c>
    </row>
    <row r="2305" spans="1:18" x14ac:dyDescent="0.25">
      <c r="A2305" t="s">
        <v>5284</v>
      </c>
      <c r="B2305" t="s">
        <v>2060</v>
      </c>
      <c r="C2305" t="s">
        <v>6</v>
      </c>
      <c r="D2305" t="s">
        <v>1533</v>
      </c>
      <c r="E2305" s="2">
        <v>42193</v>
      </c>
      <c r="F2305">
        <v>3418</v>
      </c>
      <c r="G2305" t="s">
        <v>1746</v>
      </c>
      <c r="H2305" t="s">
        <v>1747</v>
      </c>
      <c r="I2305" t="b">
        <v>0</v>
      </c>
      <c r="J2305" t="s">
        <v>1761</v>
      </c>
      <c r="K2305" t="s">
        <v>1755</v>
      </c>
      <c r="L2305" t="s">
        <v>1817</v>
      </c>
      <c r="M2305">
        <v>24</v>
      </c>
      <c r="N2305" t="b">
        <v>0</v>
      </c>
      <c r="O2305">
        <v>94</v>
      </c>
      <c r="P2305" t="s">
        <v>1819</v>
      </c>
      <c r="Q2305" t="s">
        <v>1753</v>
      </c>
    </row>
    <row r="2306" spans="1:18" x14ac:dyDescent="0.25">
      <c r="A2306" t="s">
        <v>5285</v>
      </c>
      <c r="B2306" t="s">
        <v>1860</v>
      </c>
      <c r="C2306" t="s">
        <v>4</v>
      </c>
      <c r="D2306" t="s">
        <v>966</v>
      </c>
      <c r="E2306" s="2">
        <v>43945</v>
      </c>
      <c r="F2306">
        <v>1666</v>
      </c>
      <c r="G2306" t="s">
        <v>1746</v>
      </c>
      <c r="H2306" t="s">
        <v>1798</v>
      </c>
      <c r="I2306" t="b">
        <v>0</v>
      </c>
      <c r="J2306" t="s">
        <v>1748</v>
      </c>
      <c r="K2306" t="s">
        <v>1757</v>
      </c>
      <c r="L2306" t="s">
        <v>1750</v>
      </c>
      <c r="M2306">
        <v>24</v>
      </c>
      <c r="N2306" t="b">
        <v>1</v>
      </c>
      <c r="O2306">
        <v>84</v>
      </c>
      <c r="P2306" t="s">
        <v>1752</v>
      </c>
      <c r="Q2306" t="s">
        <v>1753</v>
      </c>
    </row>
    <row r="2307" spans="1:18" x14ac:dyDescent="0.25">
      <c r="A2307" t="s">
        <v>507</v>
      </c>
      <c r="B2307" t="s">
        <v>1876</v>
      </c>
      <c r="C2307" t="s">
        <v>4</v>
      </c>
      <c r="D2307" t="s">
        <v>508</v>
      </c>
      <c r="E2307" s="2">
        <v>43851</v>
      </c>
      <c r="F2307">
        <v>1760</v>
      </c>
      <c r="G2307" t="s">
        <v>1746</v>
      </c>
      <c r="H2307" t="s">
        <v>1747</v>
      </c>
      <c r="I2307" t="b">
        <v>1</v>
      </c>
      <c r="J2307" t="s">
        <v>1761</v>
      </c>
      <c r="K2307" t="s">
        <v>1985</v>
      </c>
      <c r="L2307" t="s">
        <v>1817</v>
      </c>
      <c r="M2307">
        <v>24</v>
      </c>
      <c r="N2307" t="b">
        <v>0</v>
      </c>
      <c r="O2307">
        <v>51</v>
      </c>
      <c r="P2307" t="s">
        <v>1819</v>
      </c>
      <c r="Q2307" t="s">
        <v>1753</v>
      </c>
    </row>
    <row r="2308" spans="1:18" x14ac:dyDescent="0.25">
      <c r="A2308" t="s">
        <v>5287</v>
      </c>
      <c r="B2308" t="s">
        <v>2040</v>
      </c>
      <c r="C2308" t="s">
        <v>6</v>
      </c>
      <c r="D2308" t="s">
        <v>5286</v>
      </c>
      <c r="E2308" s="2">
        <v>44377</v>
      </c>
      <c r="F2308">
        <v>1234</v>
      </c>
      <c r="G2308" t="s">
        <v>1746</v>
      </c>
      <c r="H2308" t="s">
        <v>1747</v>
      </c>
      <c r="I2308" t="b">
        <v>0</v>
      </c>
      <c r="J2308" t="s">
        <v>1748</v>
      </c>
      <c r="K2308" t="s">
        <v>1879</v>
      </c>
      <c r="L2308" t="s">
        <v>1750</v>
      </c>
      <c r="M2308">
        <v>24</v>
      </c>
      <c r="N2308" t="b">
        <v>1</v>
      </c>
      <c r="O2308">
        <v>108</v>
      </c>
      <c r="P2308" t="s">
        <v>1752</v>
      </c>
      <c r="Q2308" t="s">
        <v>1753</v>
      </c>
    </row>
    <row r="2309" spans="1:18" x14ac:dyDescent="0.25">
      <c r="A2309" t="s">
        <v>5289</v>
      </c>
      <c r="B2309" t="s">
        <v>2173</v>
      </c>
      <c r="C2309" t="s">
        <v>4</v>
      </c>
      <c r="D2309" t="s">
        <v>5288</v>
      </c>
      <c r="E2309" s="2">
        <v>44004</v>
      </c>
      <c r="F2309">
        <v>1607</v>
      </c>
      <c r="G2309" t="s">
        <v>1746</v>
      </c>
      <c r="H2309" t="s">
        <v>2231</v>
      </c>
      <c r="I2309" t="b">
        <v>0</v>
      </c>
      <c r="J2309" t="s">
        <v>1761</v>
      </c>
      <c r="K2309" t="s">
        <v>1856</v>
      </c>
      <c r="L2309" t="s">
        <v>1750</v>
      </c>
      <c r="M2309">
        <v>24</v>
      </c>
      <c r="N2309" t="b">
        <v>0</v>
      </c>
      <c r="O2309">
        <v>226</v>
      </c>
      <c r="P2309" t="s">
        <v>1752</v>
      </c>
      <c r="Q2309" t="s">
        <v>1753</v>
      </c>
      <c r="R2309" t="s">
        <v>1759</v>
      </c>
    </row>
    <row r="2310" spans="1:18" x14ac:dyDescent="0.25">
      <c r="A2310" t="s">
        <v>5291</v>
      </c>
      <c r="B2310" t="s">
        <v>2173</v>
      </c>
      <c r="C2310" t="s">
        <v>6</v>
      </c>
      <c r="D2310" t="s">
        <v>5290</v>
      </c>
      <c r="E2310" s="2">
        <v>45251</v>
      </c>
      <c r="F2310">
        <v>360</v>
      </c>
      <c r="G2310" t="s">
        <v>1746</v>
      </c>
      <c r="H2310" t="s">
        <v>2231</v>
      </c>
      <c r="I2310" t="b">
        <v>0</v>
      </c>
      <c r="J2310" t="s">
        <v>1748</v>
      </c>
      <c r="K2310" t="s">
        <v>1755</v>
      </c>
      <c r="L2310" t="s">
        <v>1817</v>
      </c>
      <c r="M2310">
        <v>24</v>
      </c>
      <c r="N2310" t="b">
        <v>1</v>
      </c>
      <c r="O2310">
        <v>113</v>
      </c>
      <c r="P2310" t="s">
        <v>1819</v>
      </c>
      <c r="Q2310" t="s">
        <v>1753</v>
      </c>
    </row>
    <row r="2311" spans="1:18" x14ac:dyDescent="0.25">
      <c r="A2311" t="s">
        <v>5293</v>
      </c>
      <c r="B2311" t="s">
        <v>1803</v>
      </c>
      <c r="C2311" t="s">
        <v>6</v>
      </c>
      <c r="D2311" t="s">
        <v>5292</v>
      </c>
      <c r="E2311" s="2">
        <v>39252</v>
      </c>
      <c r="F2311">
        <v>6359</v>
      </c>
      <c r="G2311" t="s">
        <v>1746</v>
      </c>
      <c r="H2311" t="s">
        <v>1798</v>
      </c>
      <c r="I2311" t="b">
        <v>0</v>
      </c>
      <c r="J2311" t="s">
        <v>1761</v>
      </c>
      <c r="K2311" t="s">
        <v>1898</v>
      </c>
      <c r="L2311" t="s">
        <v>1817</v>
      </c>
      <c r="M2311">
        <v>24</v>
      </c>
      <c r="N2311" t="b">
        <v>1</v>
      </c>
      <c r="O2311">
        <v>268</v>
      </c>
      <c r="P2311" t="s">
        <v>1819</v>
      </c>
      <c r="Q2311" t="s">
        <v>1753</v>
      </c>
      <c r="R2311" t="s">
        <v>1759</v>
      </c>
    </row>
    <row r="2312" spans="1:18" x14ac:dyDescent="0.25">
      <c r="A2312" t="s">
        <v>5295</v>
      </c>
      <c r="B2312" t="s">
        <v>1803</v>
      </c>
      <c r="C2312" t="s">
        <v>6</v>
      </c>
      <c r="D2312" t="s">
        <v>5294</v>
      </c>
      <c r="E2312" s="2">
        <v>39365</v>
      </c>
      <c r="F2312">
        <v>6246</v>
      </c>
      <c r="G2312" t="s">
        <v>1746</v>
      </c>
      <c r="H2312" t="s">
        <v>1798</v>
      </c>
      <c r="I2312" t="b">
        <v>0</v>
      </c>
      <c r="J2312" t="s">
        <v>1748</v>
      </c>
      <c r="K2312" t="s">
        <v>1824</v>
      </c>
      <c r="L2312" t="s">
        <v>1766</v>
      </c>
      <c r="M2312">
        <v>24</v>
      </c>
      <c r="N2312" t="b">
        <v>0</v>
      </c>
      <c r="P2312" t="s">
        <v>1819</v>
      </c>
      <c r="Q2312" t="s">
        <v>1753</v>
      </c>
    </row>
    <row r="2313" spans="1:18" x14ac:dyDescent="0.25">
      <c r="A2313" t="s">
        <v>5296</v>
      </c>
      <c r="B2313" t="s">
        <v>2060</v>
      </c>
      <c r="C2313" t="s">
        <v>6</v>
      </c>
      <c r="D2313" t="s">
        <v>1562</v>
      </c>
      <c r="E2313" s="2">
        <v>39252</v>
      </c>
      <c r="F2313">
        <v>6359</v>
      </c>
      <c r="G2313" t="s">
        <v>1746</v>
      </c>
      <c r="H2313" t="s">
        <v>1747</v>
      </c>
      <c r="I2313" t="b">
        <v>0</v>
      </c>
      <c r="J2313" t="s">
        <v>1748</v>
      </c>
      <c r="K2313" t="s">
        <v>1757</v>
      </c>
      <c r="L2313" t="s">
        <v>1766</v>
      </c>
      <c r="M2313">
        <v>24</v>
      </c>
      <c r="N2313" t="b">
        <v>1</v>
      </c>
      <c r="P2313" t="s">
        <v>1752</v>
      </c>
      <c r="Q2313" t="s">
        <v>1753</v>
      </c>
      <c r="R2313" t="s">
        <v>1772</v>
      </c>
    </row>
    <row r="2314" spans="1:18" x14ac:dyDescent="0.25">
      <c r="A2314" t="s">
        <v>5298</v>
      </c>
      <c r="B2314" t="s">
        <v>2611</v>
      </c>
      <c r="C2314" t="s">
        <v>4</v>
      </c>
      <c r="D2314" t="s">
        <v>5297</v>
      </c>
      <c r="E2314" s="2">
        <v>45170</v>
      </c>
      <c r="F2314">
        <v>441</v>
      </c>
      <c r="G2314" t="s">
        <v>1746</v>
      </c>
      <c r="H2314" t="s">
        <v>1747</v>
      </c>
      <c r="I2314" t="b">
        <v>0</v>
      </c>
      <c r="J2314" t="s">
        <v>1748</v>
      </c>
      <c r="K2314" t="s">
        <v>1880</v>
      </c>
      <c r="L2314" t="s">
        <v>1756</v>
      </c>
      <c r="M2314">
        <v>24</v>
      </c>
      <c r="N2314" t="b">
        <v>0</v>
      </c>
      <c r="O2314">
        <v>121</v>
      </c>
      <c r="P2314" t="s">
        <v>1819</v>
      </c>
      <c r="Q2314" t="s">
        <v>1753</v>
      </c>
    </row>
    <row r="2315" spans="1:18" x14ac:dyDescent="0.25">
      <c r="A2315" t="s">
        <v>5300</v>
      </c>
      <c r="B2315" t="s">
        <v>2353</v>
      </c>
      <c r="C2315" t="s">
        <v>4</v>
      </c>
      <c r="D2315" t="s">
        <v>5299</v>
      </c>
      <c r="E2315" s="2">
        <v>44082</v>
      </c>
      <c r="F2315">
        <v>1529</v>
      </c>
      <c r="G2315" t="s">
        <v>1833</v>
      </c>
      <c r="H2315" t="s">
        <v>1798</v>
      </c>
      <c r="I2315" t="b">
        <v>0</v>
      </c>
      <c r="J2315" t="s">
        <v>1748</v>
      </c>
      <c r="K2315" t="s">
        <v>1776</v>
      </c>
      <c r="L2315" t="s">
        <v>1750</v>
      </c>
      <c r="M2315">
        <v>24</v>
      </c>
      <c r="N2315" t="b">
        <v>1</v>
      </c>
      <c r="O2315">
        <v>14673</v>
      </c>
      <c r="P2315" t="s">
        <v>1752</v>
      </c>
      <c r="Q2315" t="s">
        <v>1753</v>
      </c>
      <c r="R2315" t="s">
        <v>1759</v>
      </c>
    </row>
    <row r="2316" spans="1:18" x14ac:dyDescent="0.25">
      <c r="A2316" t="s">
        <v>5302</v>
      </c>
      <c r="B2316" t="s">
        <v>2494</v>
      </c>
      <c r="C2316" t="s">
        <v>6</v>
      </c>
      <c r="D2316" t="s">
        <v>5301</v>
      </c>
      <c r="E2316" s="2">
        <v>42276</v>
      </c>
      <c r="F2316">
        <v>3335</v>
      </c>
      <c r="G2316" t="s">
        <v>1746</v>
      </c>
      <c r="H2316" t="s">
        <v>1747</v>
      </c>
      <c r="I2316" t="b">
        <v>0</v>
      </c>
      <c r="J2316" t="s">
        <v>1748</v>
      </c>
      <c r="K2316" t="s">
        <v>1950</v>
      </c>
      <c r="L2316" t="s">
        <v>1766</v>
      </c>
      <c r="M2316">
        <v>24</v>
      </c>
      <c r="N2316" t="b">
        <v>0</v>
      </c>
      <c r="P2316" t="s">
        <v>1752</v>
      </c>
      <c r="Q2316" t="s">
        <v>1753</v>
      </c>
    </row>
    <row r="2317" spans="1:18" x14ac:dyDescent="0.25">
      <c r="A2317" t="s">
        <v>5303</v>
      </c>
      <c r="B2317" t="s">
        <v>3874</v>
      </c>
      <c r="C2317" t="s">
        <v>4</v>
      </c>
      <c r="D2317" t="s">
        <v>1101</v>
      </c>
      <c r="E2317" s="2">
        <v>42335</v>
      </c>
      <c r="F2317">
        <v>3276</v>
      </c>
      <c r="G2317" t="s">
        <v>1746</v>
      </c>
      <c r="H2317" t="s">
        <v>1798</v>
      </c>
      <c r="I2317" t="b">
        <v>1</v>
      </c>
      <c r="J2317" t="s">
        <v>1748</v>
      </c>
      <c r="K2317" t="s">
        <v>1857</v>
      </c>
      <c r="L2317" t="s">
        <v>1750</v>
      </c>
      <c r="M2317">
        <v>24</v>
      </c>
      <c r="N2317" t="b">
        <v>0</v>
      </c>
      <c r="O2317">
        <v>57</v>
      </c>
      <c r="P2317" t="s">
        <v>1752</v>
      </c>
      <c r="Q2317" t="s">
        <v>1753</v>
      </c>
    </row>
    <row r="2318" spans="1:18" x14ac:dyDescent="0.25">
      <c r="A2318" t="s">
        <v>5305</v>
      </c>
      <c r="B2318" t="s">
        <v>1785</v>
      </c>
      <c r="C2318" t="s">
        <v>4</v>
      </c>
      <c r="D2318" t="s">
        <v>5304</v>
      </c>
      <c r="E2318" s="2">
        <v>42040</v>
      </c>
      <c r="F2318">
        <v>3571</v>
      </c>
      <c r="G2318" t="s">
        <v>1746</v>
      </c>
      <c r="H2318" t="s">
        <v>1747</v>
      </c>
      <c r="I2318" t="b">
        <v>0</v>
      </c>
      <c r="J2318" t="s">
        <v>1748</v>
      </c>
      <c r="K2318" t="s">
        <v>1757</v>
      </c>
      <c r="L2318" t="s">
        <v>1766</v>
      </c>
      <c r="M2318">
        <v>24</v>
      </c>
      <c r="N2318" t="b">
        <v>0</v>
      </c>
      <c r="P2318" t="s">
        <v>1752</v>
      </c>
      <c r="Q2318" t="s">
        <v>1753</v>
      </c>
      <c r="R2318" t="s">
        <v>1772</v>
      </c>
    </row>
    <row r="2319" spans="1:18" x14ac:dyDescent="0.25">
      <c r="A2319" t="s">
        <v>5306</v>
      </c>
      <c r="B2319" t="s">
        <v>1998</v>
      </c>
      <c r="C2319" t="s">
        <v>6</v>
      </c>
      <c r="D2319" t="s">
        <v>830</v>
      </c>
      <c r="E2319" s="2">
        <v>43488</v>
      </c>
      <c r="F2319">
        <v>2123</v>
      </c>
      <c r="G2319" t="s">
        <v>1746</v>
      </c>
      <c r="H2319" t="s">
        <v>1747</v>
      </c>
      <c r="I2319" t="b">
        <v>0</v>
      </c>
      <c r="J2319" t="s">
        <v>1761</v>
      </c>
      <c r="K2319" t="s">
        <v>1863</v>
      </c>
      <c r="L2319" t="s">
        <v>1817</v>
      </c>
      <c r="M2319">
        <v>24</v>
      </c>
      <c r="N2319" t="b">
        <v>0</v>
      </c>
      <c r="O2319">
        <v>88</v>
      </c>
      <c r="P2319" t="s">
        <v>1819</v>
      </c>
      <c r="Q2319" t="s">
        <v>1753</v>
      </c>
      <c r="R2319" t="s">
        <v>1759</v>
      </c>
    </row>
    <row r="2320" spans="1:18" x14ac:dyDescent="0.25">
      <c r="A2320" t="s">
        <v>5308</v>
      </c>
      <c r="B2320" t="s">
        <v>1907</v>
      </c>
      <c r="C2320" t="s">
        <v>4</v>
      </c>
      <c r="D2320" t="s">
        <v>5307</v>
      </c>
      <c r="E2320" s="2">
        <v>44159</v>
      </c>
      <c r="F2320">
        <v>1452</v>
      </c>
      <c r="G2320" t="s">
        <v>1746</v>
      </c>
      <c r="H2320" t="s">
        <v>1798</v>
      </c>
      <c r="I2320" t="b">
        <v>0</v>
      </c>
      <c r="J2320" t="s">
        <v>1748</v>
      </c>
      <c r="K2320" t="s">
        <v>1943</v>
      </c>
      <c r="L2320" t="s">
        <v>1817</v>
      </c>
      <c r="M2320">
        <v>24</v>
      </c>
      <c r="N2320" t="b">
        <v>1</v>
      </c>
      <c r="O2320">
        <v>1915</v>
      </c>
      <c r="P2320" t="s">
        <v>1819</v>
      </c>
      <c r="Q2320" t="s">
        <v>1753</v>
      </c>
      <c r="R2320" t="s">
        <v>1759</v>
      </c>
    </row>
    <row r="2321" spans="1:18" x14ac:dyDescent="0.25">
      <c r="A2321" t="s">
        <v>5309</v>
      </c>
      <c r="B2321" t="s">
        <v>1860</v>
      </c>
      <c r="C2321" t="s">
        <v>4</v>
      </c>
      <c r="D2321" t="s">
        <v>1098</v>
      </c>
      <c r="E2321" s="2">
        <v>43088</v>
      </c>
      <c r="F2321">
        <v>2523</v>
      </c>
      <c r="G2321" t="s">
        <v>1746</v>
      </c>
      <c r="H2321" t="s">
        <v>1798</v>
      </c>
      <c r="I2321" t="b">
        <v>0</v>
      </c>
      <c r="J2321" t="s">
        <v>1748</v>
      </c>
      <c r="K2321" t="s">
        <v>1891</v>
      </c>
      <c r="L2321" t="s">
        <v>1750</v>
      </c>
      <c r="M2321">
        <v>24</v>
      </c>
      <c r="N2321" t="b">
        <v>1</v>
      </c>
      <c r="O2321">
        <v>114</v>
      </c>
      <c r="P2321" t="s">
        <v>1752</v>
      </c>
      <c r="Q2321" t="s">
        <v>1753</v>
      </c>
      <c r="R2321" t="s">
        <v>1759</v>
      </c>
    </row>
    <row r="2322" spans="1:18" x14ac:dyDescent="0.25">
      <c r="A2322" t="s">
        <v>5311</v>
      </c>
      <c r="B2322" t="s">
        <v>2836</v>
      </c>
      <c r="C2322" t="s">
        <v>4</v>
      </c>
      <c r="D2322" t="s">
        <v>5310</v>
      </c>
      <c r="E2322" s="2">
        <v>45559</v>
      </c>
      <c r="F2322">
        <v>52</v>
      </c>
      <c r="G2322" t="s">
        <v>1746</v>
      </c>
      <c r="H2322" t="s">
        <v>1747</v>
      </c>
      <c r="I2322" t="b">
        <v>0</v>
      </c>
      <c r="J2322" t="s">
        <v>1761</v>
      </c>
      <c r="K2322" t="s">
        <v>1808</v>
      </c>
      <c r="L2322" t="s">
        <v>1817</v>
      </c>
      <c r="M2322">
        <v>24</v>
      </c>
      <c r="N2322" t="b">
        <v>1</v>
      </c>
      <c r="P2322" t="s">
        <v>1819</v>
      </c>
      <c r="Q2322" t="s">
        <v>1753</v>
      </c>
      <c r="R2322" t="s">
        <v>1772</v>
      </c>
    </row>
    <row r="2323" spans="1:18" x14ac:dyDescent="0.25">
      <c r="A2323" t="s">
        <v>5312</v>
      </c>
      <c r="B2323" t="s">
        <v>1876</v>
      </c>
      <c r="C2323" t="s">
        <v>4</v>
      </c>
      <c r="D2323" t="s">
        <v>818</v>
      </c>
      <c r="E2323" s="2">
        <v>44301</v>
      </c>
      <c r="F2323">
        <v>1310</v>
      </c>
      <c r="G2323" t="s">
        <v>1746</v>
      </c>
      <c r="H2323" t="s">
        <v>1747</v>
      </c>
      <c r="I2323" t="b">
        <v>0</v>
      </c>
      <c r="J2323" t="s">
        <v>1761</v>
      </c>
      <c r="K2323" t="s">
        <v>2021</v>
      </c>
      <c r="L2323" t="s">
        <v>1756</v>
      </c>
      <c r="M2323">
        <v>23</v>
      </c>
      <c r="N2323" t="b">
        <v>1</v>
      </c>
      <c r="O2323">
        <v>99</v>
      </c>
      <c r="P2323" t="s">
        <v>1752</v>
      </c>
      <c r="Q2323" t="s">
        <v>1753</v>
      </c>
      <c r="R2323" t="s">
        <v>2028</v>
      </c>
    </row>
    <row r="2324" spans="1:18" x14ac:dyDescent="0.25">
      <c r="A2324" t="s">
        <v>5313</v>
      </c>
      <c r="B2324" t="s">
        <v>2046</v>
      </c>
      <c r="C2324" t="s">
        <v>6</v>
      </c>
      <c r="D2324" t="s">
        <v>1162</v>
      </c>
      <c r="E2324" s="2">
        <v>44075</v>
      </c>
      <c r="F2324">
        <v>1536</v>
      </c>
      <c r="G2324" t="s">
        <v>1746</v>
      </c>
      <c r="H2324" t="s">
        <v>1798</v>
      </c>
      <c r="I2324" t="b">
        <v>0</v>
      </c>
      <c r="J2324" t="s">
        <v>1748</v>
      </c>
      <c r="K2324" t="s">
        <v>1825</v>
      </c>
      <c r="L2324" t="s">
        <v>1817</v>
      </c>
      <c r="M2324">
        <v>23</v>
      </c>
      <c r="N2324" t="b">
        <v>1</v>
      </c>
      <c r="O2324">
        <v>341</v>
      </c>
      <c r="P2324" t="s">
        <v>1819</v>
      </c>
      <c r="Q2324" t="s">
        <v>1753</v>
      </c>
      <c r="R2324" t="s">
        <v>1828</v>
      </c>
    </row>
    <row r="2325" spans="1:18" x14ac:dyDescent="0.25">
      <c r="A2325" t="s">
        <v>5315</v>
      </c>
      <c r="B2325" t="s">
        <v>2150</v>
      </c>
      <c r="C2325" t="s">
        <v>4</v>
      </c>
      <c r="D2325" t="s">
        <v>5314</v>
      </c>
      <c r="E2325" s="2">
        <v>40897</v>
      </c>
      <c r="F2325">
        <v>4714</v>
      </c>
      <c r="G2325" t="s">
        <v>1746</v>
      </c>
      <c r="H2325" t="s">
        <v>1747</v>
      </c>
      <c r="I2325" t="b">
        <v>0</v>
      </c>
      <c r="J2325" t="s">
        <v>1748</v>
      </c>
      <c r="K2325" t="s">
        <v>2021</v>
      </c>
      <c r="L2325" t="s">
        <v>1766</v>
      </c>
      <c r="M2325">
        <v>23</v>
      </c>
      <c r="N2325" t="b">
        <v>0</v>
      </c>
      <c r="P2325" t="s">
        <v>2070</v>
      </c>
      <c r="Q2325" t="s">
        <v>1753</v>
      </c>
    </row>
    <row r="2326" spans="1:18" x14ac:dyDescent="0.25">
      <c r="A2326" t="s">
        <v>5317</v>
      </c>
      <c r="B2326" t="s">
        <v>3294</v>
      </c>
      <c r="C2326" t="s">
        <v>186</v>
      </c>
      <c r="D2326" t="s">
        <v>5316</v>
      </c>
      <c r="E2326" s="2">
        <v>38987</v>
      </c>
      <c r="F2326">
        <v>6624</v>
      </c>
      <c r="G2326" t="s">
        <v>1746</v>
      </c>
      <c r="H2326" t="s">
        <v>1747</v>
      </c>
      <c r="I2326" t="b">
        <v>0</v>
      </c>
      <c r="J2326" t="s">
        <v>1748</v>
      </c>
      <c r="K2326" t="s">
        <v>1830</v>
      </c>
      <c r="L2326" t="s">
        <v>2102</v>
      </c>
      <c r="M2326">
        <v>23</v>
      </c>
      <c r="N2326" t="b">
        <v>0</v>
      </c>
      <c r="P2326" t="s">
        <v>2070</v>
      </c>
      <c r="Q2326" t="s">
        <v>1779</v>
      </c>
    </row>
    <row r="2327" spans="1:18" x14ac:dyDescent="0.25">
      <c r="A2327" t="s">
        <v>5319</v>
      </c>
      <c r="B2327" t="s">
        <v>2173</v>
      </c>
      <c r="C2327" t="s">
        <v>4</v>
      </c>
      <c r="D2327" t="s">
        <v>5318</v>
      </c>
      <c r="E2327" s="2">
        <v>44336</v>
      </c>
      <c r="F2327">
        <v>1275</v>
      </c>
      <c r="G2327" t="s">
        <v>1746</v>
      </c>
      <c r="H2327" t="s">
        <v>2231</v>
      </c>
      <c r="I2327" t="b">
        <v>0</v>
      </c>
      <c r="J2327" t="s">
        <v>1761</v>
      </c>
      <c r="K2327" t="s">
        <v>1824</v>
      </c>
      <c r="L2327" t="s">
        <v>1817</v>
      </c>
      <c r="M2327">
        <v>23</v>
      </c>
      <c r="N2327" t="b">
        <v>1</v>
      </c>
      <c r="O2327">
        <v>4040</v>
      </c>
      <c r="P2327" t="s">
        <v>1819</v>
      </c>
      <c r="Q2327" t="s">
        <v>1753</v>
      </c>
      <c r="R2327" t="s">
        <v>1759</v>
      </c>
    </row>
    <row r="2328" spans="1:18" x14ac:dyDescent="0.25">
      <c r="A2328" t="s">
        <v>321</v>
      </c>
      <c r="B2328" t="s">
        <v>2532</v>
      </c>
      <c r="C2328" t="s">
        <v>4</v>
      </c>
      <c r="D2328" t="s">
        <v>322</v>
      </c>
      <c r="E2328" s="2">
        <v>43986</v>
      </c>
      <c r="F2328">
        <v>1625</v>
      </c>
      <c r="G2328" t="s">
        <v>1746</v>
      </c>
      <c r="H2328" t="s">
        <v>1798</v>
      </c>
      <c r="I2328" t="b">
        <v>0</v>
      </c>
      <c r="J2328" t="s">
        <v>1748</v>
      </c>
      <c r="K2328" t="s">
        <v>1824</v>
      </c>
      <c r="L2328" t="s">
        <v>1750</v>
      </c>
      <c r="M2328">
        <v>23</v>
      </c>
      <c r="N2328" t="b">
        <v>1</v>
      </c>
      <c r="O2328">
        <v>246</v>
      </c>
      <c r="P2328" t="s">
        <v>1752</v>
      </c>
      <c r="Q2328" t="s">
        <v>1753</v>
      </c>
      <c r="R2328" t="s">
        <v>1828</v>
      </c>
    </row>
    <row r="2329" spans="1:18" x14ac:dyDescent="0.25">
      <c r="A2329" t="s">
        <v>5321</v>
      </c>
      <c r="B2329" t="s">
        <v>2085</v>
      </c>
      <c r="C2329" t="s">
        <v>4</v>
      </c>
      <c r="D2329" t="s">
        <v>5320</v>
      </c>
      <c r="E2329" s="2">
        <v>43437</v>
      </c>
      <c r="F2329">
        <v>2174</v>
      </c>
      <c r="G2329" t="s">
        <v>1746</v>
      </c>
      <c r="H2329" t="s">
        <v>1747</v>
      </c>
      <c r="I2329" t="b">
        <v>1</v>
      </c>
      <c r="J2329" t="s">
        <v>1761</v>
      </c>
      <c r="K2329" t="s">
        <v>1774</v>
      </c>
      <c r="L2329" t="s">
        <v>1750</v>
      </c>
      <c r="M2329">
        <v>23</v>
      </c>
      <c r="N2329" t="b">
        <v>0</v>
      </c>
      <c r="O2329">
        <v>14</v>
      </c>
      <c r="P2329" t="s">
        <v>1752</v>
      </c>
      <c r="Q2329" t="s">
        <v>1753</v>
      </c>
    </row>
    <row r="2330" spans="1:18" x14ac:dyDescent="0.25">
      <c r="A2330" t="s">
        <v>5323</v>
      </c>
      <c r="B2330" t="s">
        <v>2284</v>
      </c>
      <c r="C2330" t="s">
        <v>2338</v>
      </c>
      <c r="D2330" t="s">
        <v>5322</v>
      </c>
      <c r="E2330" s="2">
        <v>44518</v>
      </c>
      <c r="F2330">
        <v>1093</v>
      </c>
      <c r="G2330" t="s">
        <v>1746</v>
      </c>
      <c r="H2330" t="s">
        <v>1747</v>
      </c>
      <c r="I2330" t="b">
        <v>0</v>
      </c>
      <c r="J2330" t="s">
        <v>1748</v>
      </c>
      <c r="K2330" t="s">
        <v>1935</v>
      </c>
      <c r="L2330" t="s">
        <v>1775</v>
      </c>
      <c r="M2330">
        <v>23</v>
      </c>
      <c r="N2330" t="b">
        <v>0</v>
      </c>
      <c r="P2330" t="s">
        <v>2283</v>
      </c>
      <c r="Q2330" t="s">
        <v>1705</v>
      </c>
    </row>
    <row r="2331" spans="1:18" x14ac:dyDescent="0.25">
      <c r="A2331" t="s">
        <v>5325</v>
      </c>
      <c r="B2331" t="s">
        <v>2503</v>
      </c>
      <c r="C2331" t="s">
        <v>4</v>
      </c>
      <c r="D2331" t="s">
        <v>5324</v>
      </c>
      <c r="E2331" s="2">
        <v>44404</v>
      </c>
      <c r="F2331">
        <v>1207</v>
      </c>
      <c r="G2331" t="s">
        <v>1746</v>
      </c>
      <c r="H2331" t="s">
        <v>1798</v>
      </c>
      <c r="I2331" t="b">
        <v>0</v>
      </c>
      <c r="J2331" t="s">
        <v>1748</v>
      </c>
      <c r="K2331" t="s">
        <v>1824</v>
      </c>
      <c r="L2331" t="s">
        <v>1750</v>
      </c>
      <c r="M2331">
        <v>23</v>
      </c>
      <c r="N2331" t="b">
        <v>1</v>
      </c>
      <c r="O2331">
        <v>276</v>
      </c>
      <c r="P2331" t="s">
        <v>1752</v>
      </c>
      <c r="Q2331" t="s">
        <v>1753</v>
      </c>
      <c r="R2331" t="s">
        <v>1828</v>
      </c>
    </row>
    <row r="2332" spans="1:18" x14ac:dyDescent="0.25">
      <c r="A2332" t="s">
        <v>5327</v>
      </c>
      <c r="B2332" t="s">
        <v>1820</v>
      </c>
      <c r="C2332" t="s">
        <v>6</v>
      </c>
      <c r="D2332" t="s">
        <v>5326</v>
      </c>
      <c r="E2332" s="2">
        <v>42094</v>
      </c>
      <c r="F2332">
        <v>3517</v>
      </c>
      <c r="G2332" t="s">
        <v>1746</v>
      </c>
      <c r="H2332" t="s">
        <v>1805</v>
      </c>
      <c r="I2332" t="b">
        <v>1</v>
      </c>
      <c r="J2332" t="s">
        <v>1748</v>
      </c>
      <c r="K2332" t="s">
        <v>1825</v>
      </c>
      <c r="L2332" t="s">
        <v>1750</v>
      </c>
      <c r="M2332">
        <v>23</v>
      </c>
      <c r="N2332" t="b">
        <v>0</v>
      </c>
      <c r="O2332">
        <v>220</v>
      </c>
      <c r="P2332" t="s">
        <v>1752</v>
      </c>
      <c r="Q2332" t="s">
        <v>1753</v>
      </c>
      <c r="R2332" t="s">
        <v>1828</v>
      </c>
    </row>
    <row r="2333" spans="1:18" x14ac:dyDescent="0.25">
      <c r="A2333" t="s">
        <v>5328</v>
      </c>
      <c r="B2333" t="s">
        <v>1874</v>
      </c>
      <c r="C2333" t="s">
        <v>4</v>
      </c>
      <c r="D2333" t="s">
        <v>1095</v>
      </c>
      <c r="E2333" s="2">
        <v>44348</v>
      </c>
      <c r="F2333">
        <v>1263</v>
      </c>
      <c r="G2333" t="s">
        <v>1746</v>
      </c>
      <c r="H2333" t="s">
        <v>1747</v>
      </c>
      <c r="I2333" t="b">
        <v>1</v>
      </c>
      <c r="J2333" t="s">
        <v>1748</v>
      </c>
      <c r="K2333" t="s">
        <v>1906</v>
      </c>
      <c r="L2333" t="s">
        <v>1750</v>
      </c>
      <c r="M2333">
        <v>22</v>
      </c>
      <c r="N2333" t="b">
        <v>1</v>
      </c>
      <c r="O2333">
        <v>66</v>
      </c>
      <c r="P2333" t="s">
        <v>1752</v>
      </c>
      <c r="Q2333" t="s">
        <v>1753</v>
      </c>
      <c r="R2333" t="s">
        <v>1759</v>
      </c>
    </row>
    <row r="2334" spans="1:18" x14ac:dyDescent="0.25">
      <c r="A2334" t="s">
        <v>5330</v>
      </c>
      <c r="B2334" t="s">
        <v>2150</v>
      </c>
      <c r="C2334" t="s">
        <v>4</v>
      </c>
      <c r="D2334" t="s">
        <v>5329</v>
      </c>
      <c r="E2334" s="2">
        <v>43545</v>
      </c>
      <c r="F2334">
        <v>2066</v>
      </c>
      <c r="G2334" t="s">
        <v>1746</v>
      </c>
      <c r="H2334" t="s">
        <v>1747</v>
      </c>
      <c r="I2334" t="b">
        <v>0</v>
      </c>
      <c r="J2334" t="s">
        <v>1761</v>
      </c>
      <c r="K2334" t="s">
        <v>1824</v>
      </c>
      <c r="L2334" t="s">
        <v>1750</v>
      </c>
      <c r="M2334">
        <v>22</v>
      </c>
      <c r="N2334" t="b">
        <v>0</v>
      </c>
      <c r="O2334">
        <v>8</v>
      </c>
      <c r="P2334" t="s">
        <v>1819</v>
      </c>
      <c r="Q2334" t="s">
        <v>1753</v>
      </c>
    </row>
    <row r="2335" spans="1:18" x14ac:dyDescent="0.25">
      <c r="A2335" t="s">
        <v>5331</v>
      </c>
      <c r="B2335" t="s">
        <v>1876</v>
      </c>
      <c r="C2335" t="s">
        <v>4</v>
      </c>
      <c r="D2335" t="s">
        <v>1263</v>
      </c>
      <c r="E2335" s="2">
        <v>45016</v>
      </c>
      <c r="F2335">
        <v>595</v>
      </c>
      <c r="G2335" t="s">
        <v>1746</v>
      </c>
      <c r="H2335" t="s">
        <v>1747</v>
      </c>
      <c r="I2335" t="b">
        <v>0</v>
      </c>
      <c r="J2335" t="s">
        <v>1748</v>
      </c>
      <c r="K2335" t="s">
        <v>1880</v>
      </c>
      <c r="L2335" t="s">
        <v>1750</v>
      </c>
      <c r="M2335">
        <v>22</v>
      </c>
      <c r="N2335" t="b">
        <v>0</v>
      </c>
      <c r="O2335">
        <v>25</v>
      </c>
      <c r="P2335" t="s">
        <v>1752</v>
      </c>
      <c r="Q2335" t="s">
        <v>1753</v>
      </c>
    </row>
    <row r="2336" spans="1:18" x14ac:dyDescent="0.25">
      <c r="A2336" t="s">
        <v>5332</v>
      </c>
      <c r="B2336" t="s">
        <v>1876</v>
      </c>
      <c r="C2336" t="s">
        <v>6</v>
      </c>
      <c r="D2336" t="s">
        <v>1142</v>
      </c>
      <c r="E2336" s="2">
        <v>44260</v>
      </c>
      <c r="F2336">
        <v>1351</v>
      </c>
      <c r="G2336" t="s">
        <v>1746</v>
      </c>
      <c r="H2336" t="s">
        <v>1747</v>
      </c>
      <c r="I2336" t="b">
        <v>1</v>
      </c>
      <c r="J2336" t="s">
        <v>1748</v>
      </c>
      <c r="K2336" t="s">
        <v>2053</v>
      </c>
      <c r="L2336" t="s">
        <v>1750</v>
      </c>
      <c r="M2336">
        <v>22</v>
      </c>
      <c r="N2336" t="b">
        <v>0</v>
      </c>
      <c r="O2336">
        <v>100</v>
      </c>
      <c r="P2336" t="s">
        <v>1752</v>
      </c>
      <c r="Q2336" t="s">
        <v>1753</v>
      </c>
    </row>
    <row r="2337" spans="1:18" x14ac:dyDescent="0.25">
      <c r="A2337" t="s">
        <v>5334</v>
      </c>
      <c r="B2337" t="s">
        <v>1704</v>
      </c>
      <c r="C2337" t="s">
        <v>2338</v>
      </c>
      <c r="D2337" t="s">
        <v>5333</v>
      </c>
      <c r="E2337" s="2">
        <v>45376</v>
      </c>
      <c r="F2337">
        <v>235</v>
      </c>
      <c r="G2337" t="s">
        <v>1746</v>
      </c>
      <c r="H2337" t="s">
        <v>1747</v>
      </c>
      <c r="I2337" t="b">
        <v>0</v>
      </c>
      <c r="J2337" t="s">
        <v>1748</v>
      </c>
      <c r="K2337" t="s">
        <v>1880</v>
      </c>
      <c r="L2337" t="s">
        <v>1775</v>
      </c>
      <c r="M2337">
        <v>22</v>
      </c>
      <c r="N2337" t="b">
        <v>0</v>
      </c>
      <c r="P2337" t="s">
        <v>2283</v>
      </c>
      <c r="Q2337" t="s">
        <v>1705</v>
      </c>
    </row>
    <row r="2338" spans="1:18" x14ac:dyDescent="0.25">
      <c r="A2338" t="s">
        <v>5336</v>
      </c>
      <c r="B2338" t="s">
        <v>1907</v>
      </c>
      <c r="C2338" t="s">
        <v>4</v>
      </c>
      <c r="D2338" t="s">
        <v>5335</v>
      </c>
      <c r="E2338" s="2">
        <v>44776</v>
      </c>
      <c r="F2338">
        <v>835</v>
      </c>
      <c r="G2338" t="s">
        <v>1746</v>
      </c>
      <c r="H2338" t="s">
        <v>1798</v>
      </c>
      <c r="I2338" t="b">
        <v>0</v>
      </c>
      <c r="J2338" t="s">
        <v>1748</v>
      </c>
      <c r="K2338" t="s">
        <v>1755</v>
      </c>
      <c r="L2338" t="s">
        <v>1817</v>
      </c>
      <c r="M2338">
        <v>22</v>
      </c>
      <c r="N2338" t="b">
        <v>1</v>
      </c>
      <c r="O2338">
        <v>647</v>
      </c>
      <c r="P2338" t="s">
        <v>1819</v>
      </c>
      <c r="Q2338" t="s">
        <v>1753</v>
      </c>
      <c r="R2338" t="s">
        <v>1759</v>
      </c>
    </row>
    <row r="2339" spans="1:18" x14ac:dyDescent="0.25">
      <c r="A2339" t="s">
        <v>5338</v>
      </c>
      <c r="B2339" t="s">
        <v>1803</v>
      </c>
      <c r="C2339" t="s">
        <v>4</v>
      </c>
      <c r="D2339" t="s">
        <v>5337</v>
      </c>
      <c r="E2339" s="2">
        <v>43410</v>
      </c>
      <c r="F2339">
        <v>2201</v>
      </c>
      <c r="G2339" t="s">
        <v>1746</v>
      </c>
      <c r="H2339" t="s">
        <v>1798</v>
      </c>
      <c r="I2339" t="b">
        <v>0</v>
      </c>
      <c r="J2339" t="s">
        <v>1748</v>
      </c>
      <c r="K2339" t="s">
        <v>1943</v>
      </c>
      <c r="L2339" t="s">
        <v>1817</v>
      </c>
      <c r="M2339">
        <v>22</v>
      </c>
      <c r="N2339" t="b">
        <v>1</v>
      </c>
      <c r="O2339">
        <v>1243</v>
      </c>
      <c r="P2339" t="s">
        <v>1819</v>
      </c>
      <c r="Q2339" t="s">
        <v>1753</v>
      </c>
      <c r="R2339" t="s">
        <v>1759</v>
      </c>
    </row>
    <row r="2340" spans="1:18" x14ac:dyDescent="0.25">
      <c r="A2340" t="s">
        <v>5339</v>
      </c>
      <c r="B2340" t="s">
        <v>1810</v>
      </c>
      <c r="C2340" t="s">
        <v>4</v>
      </c>
      <c r="D2340" t="s">
        <v>736</v>
      </c>
      <c r="E2340" s="2">
        <v>43146</v>
      </c>
      <c r="F2340">
        <v>2465</v>
      </c>
      <c r="G2340" t="s">
        <v>1746</v>
      </c>
      <c r="H2340" t="s">
        <v>1798</v>
      </c>
      <c r="I2340" t="b">
        <v>0</v>
      </c>
      <c r="J2340" t="s">
        <v>1748</v>
      </c>
      <c r="K2340" t="s">
        <v>1822</v>
      </c>
      <c r="L2340" t="s">
        <v>1817</v>
      </c>
      <c r="M2340">
        <v>22</v>
      </c>
      <c r="N2340" t="b">
        <v>0</v>
      </c>
      <c r="O2340">
        <v>73</v>
      </c>
      <c r="P2340" t="s">
        <v>1819</v>
      </c>
      <c r="Q2340" t="s">
        <v>1753</v>
      </c>
      <c r="R2340" t="s">
        <v>1828</v>
      </c>
    </row>
    <row r="2341" spans="1:18" x14ac:dyDescent="0.25">
      <c r="A2341" t="s">
        <v>5341</v>
      </c>
      <c r="B2341" t="s">
        <v>2503</v>
      </c>
      <c r="C2341" t="s">
        <v>4</v>
      </c>
      <c r="D2341" t="s">
        <v>5340</v>
      </c>
      <c r="E2341" s="2">
        <v>44902</v>
      </c>
      <c r="F2341">
        <v>709</v>
      </c>
      <c r="G2341" t="s">
        <v>1746</v>
      </c>
      <c r="H2341" t="s">
        <v>1747</v>
      </c>
      <c r="I2341" t="b">
        <v>0</v>
      </c>
      <c r="J2341" t="s">
        <v>1761</v>
      </c>
      <c r="K2341" t="s">
        <v>1755</v>
      </c>
      <c r="L2341" t="s">
        <v>1750</v>
      </c>
      <c r="M2341">
        <v>22</v>
      </c>
      <c r="N2341" t="b">
        <v>1</v>
      </c>
      <c r="O2341">
        <v>613</v>
      </c>
      <c r="P2341" t="s">
        <v>1752</v>
      </c>
      <c r="Q2341" t="s">
        <v>1753</v>
      </c>
      <c r="R2341" t="s">
        <v>1759</v>
      </c>
    </row>
    <row r="2342" spans="1:18" x14ac:dyDescent="0.25">
      <c r="A2342" t="s">
        <v>5342</v>
      </c>
      <c r="B2342" t="s">
        <v>1876</v>
      </c>
      <c r="C2342" t="s">
        <v>4</v>
      </c>
      <c r="D2342" t="s">
        <v>1403</v>
      </c>
      <c r="E2342" s="2">
        <v>42142</v>
      </c>
      <c r="F2342">
        <v>3469</v>
      </c>
      <c r="G2342" t="s">
        <v>1746</v>
      </c>
      <c r="H2342" t="s">
        <v>1747</v>
      </c>
      <c r="I2342" t="b">
        <v>0</v>
      </c>
      <c r="J2342" t="s">
        <v>1761</v>
      </c>
      <c r="K2342" t="s">
        <v>1807</v>
      </c>
      <c r="L2342" t="s">
        <v>1750</v>
      </c>
      <c r="M2342">
        <v>22</v>
      </c>
      <c r="N2342" t="b">
        <v>1</v>
      </c>
      <c r="O2342">
        <v>139</v>
      </c>
      <c r="P2342" t="s">
        <v>1752</v>
      </c>
      <c r="Q2342" t="s">
        <v>1753</v>
      </c>
      <c r="R2342" t="s">
        <v>1828</v>
      </c>
    </row>
    <row r="2343" spans="1:18" x14ac:dyDescent="0.25">
      <c r="A2343" t="s">
        <v>5343</v>
      </c>
      <c r="B2343" t="s">
        <v>1860</v>
      </c>
      <c r="C2343" t="s">
        <v>4</v>
      </c>
      <c r="D2343" t="s">
        <v>961</v>
      </c>
      <c r="E2343" s="2">
        <v>44195</v>
      </c>
      <c r="F2343">
        <v>1416</v>
      </c>
      <c r="G2343" t="s">
        <v>1833</v>
      </c>
      <c r="H2343" t="s">
        <v>1798</v>
      </c>
      <c r="I2343" t="b">
        <v>0</v>
      </c>
      <c r="J2343" t="s">
        <v>1748</v>
      </c>
      <c r="K2343" t="s">
        <v>1848</v>
      </c>
      <c r="L2343" t="s">
        <v>1750</v>
      </c>
      <c r="M2343">
        <v>22</v>
      </c>
      <c r="N2343" t="b">
        <v>1</v>
      </c>
      <c r="O2343">
        <v>44</v>
      </c>
      <c r="P2343" t="s">
        <v>1752</v>
      </c>
      <c r="Q2343" t="s">
        <v>1753</v>
      </c>
      <c r="R2343" t="s">
        <v>1759</v>
      </c>
    </row>
    <row r="2344" spans="1:18" x14ac:dyDescent="0.25">
      <c r="A2344" t="s">
        <v>5344</v>
      </c>
      <c r="B2344" t="s">
        <v>1810</v>
      </c>
      <c r="C2344" t="s">
        <v>4</v>
      </c>
      <c r="D2344" t="s">
        <v>495</v>
      </c>
      <c r="E2344" s="2">
        <v>40001</v>
      </c>
      <c r="F2344">
        <v>5610</v>
      </c>
      <c r="G2344" t="s">
        <v>1746</v>
      </c>
      <c r="H2344" t="s">
        <v>1798</v>
      </c>
      <c r="I2344" t="b">
        <v>0</v>
      </c>
      <c r="J2344" t="s">
        <v>1748</v>
      </c>
      <c r="K2344" t="s">
        <v>1755</v>
      </c>
      <c r="L2344" t="s">
        <v>1766</v>
      </c>
      <c r="M2344">
        <v>22</v>
      </c>
      <c r="N2344" t="b">
        <v>0</v>
      </c>
      <c r="P2344" t="s">
        <v>1752</v>
      </c>
      <c r="Q2344" t="s">
        <v>1753</v>
      </c>
      <c r="R2344" t="s">
        <v>1828</v>
      </c>
    </row>
    <row r="2345" spans="1:18" x14ac:dyDescent="0.25">
      <c r="A2345" t="s">
        <v>5346</v>
      </c>
      <c r="B2345" t="s">
        <v>1840</v>
      </c>
      <c r="C2345" t="s">
        <v>4</v>
      </c>
      <c r="D2345" t="s">
        <v>5345</v>
      </c>
      <c r="E2345" s="2">
        <v>42053</v>
      </c>
      <c r="F2345">
        <v>3558</v>
      </c>
      <c r="G2345" t="s">
        <v>1746</v>
      </c>
      <c r="H2345" t="s">
        <v>1798</v>
      </c>
      <c r="I2345" t="b">
        <v>1</v>
      </c>
      <c r="J2345" t="s">
        <v>1748</v>
      </c>
      <c r="K2345" t="s">
        <v>1755</v>
      </c>
      <c r="L2345" t="s">
        <v>1756</v>
      </c>
      <c r="M2345">
        <v>22</v>
      </c>
      <c r="N2345" t="b">
        <v>0</v>
      </c>
      <c r="O2345">
        <v>124</v>
      </c>
      <c r="P2345" t="s">
        <v>1752</v>
      </c>
      <c r="Q2345" t="s">
        <v>1753</v>
      </c>
      <c r="R2345" t="s">
        <v>1828</v>
      </c>
    </row>
    <row r="2346" spans="1:18" x14ac:dyDescent="0.25">
      <c r="A2346" t="s">
        <v>5347</v>
      </c>
      <c r="B2346" t="s">
        <v>2353</v>
      </c>
      <c r="C2346" t="s">
        <v>4</v>
      </c>
      <c r="D2346" t="s">
        <v>394</v>
      </c>
      <c r="E2346" s="2">
        <v>44734</v>
      </c>
      <c r="F2346">
        <v>877</v>
      </c>
      <c r="G2346" t="s">
        <v>1833</v>
      </c>
      <c r="H2346" t="s">
        <v>1798</v>
      </c>
      <c r="I2346" t="b">
        <v>0</v>
      </c>
      <c r="J2346" t="s">
        <v>1761</v>
      </c>
      <c r="K2346" t="s">
        <v>1809</v>
      </c>
      <c r="L2346" t="s">
        <v>1750</v>
      </c>
      <c r="M2346">
        <v>22</v>
      </c>
      <c r="N2346" t="b">
        <v>1</v>
      </c>
      <c r="O2346">
        <v>159</v>
      </c>
      <c r="P2346" t="s">
        <v>1819</v>
      </c>
      <c r="Q2346" t="s">
        <v>1753</v>
      </c>
      <c r="R2346" t="s">
        <v>1759</v>
      </c>
    </row>
    <row r="2347" spans="1:18" x14ac:dyDescent="0.25">
      <c r="A2347" t="s">
        <v>5349</v>
      </c>
      <c r="B2347" t="s">
        <v>2144</v>
      </c>
      <c r="C2347" t="s">
        <v>572</v>
      </c>
      <c r="D2347" t="s">
        <v>5348</v>
      </c>
      <c r="E2347" s="2">
        <v>44529</v>
      </c>
      <c r="F2347">
        <v>1082</v>
      </c>
      <c r="G2347" t="s">
        <v>1746</v>
      </c>
      <c r="H2347" t="s">
        <v>1747</v>
      </c>
      <c r="I2347" t="b">
        <v>0</v>
      </c>
      <c r="J2347" t="s">
        <v>1748</v>
      </c>
      <c r="K2347" t="s">
        <v>1993</v>
      </c>
      <c r="L2347" t="s">
        <v>1775</v>
      </c>
      <c r="M2347">
        <v>22</v>
      </c>
      <c r="N2347" t="b">
        <v>0</v>
      </c>
      <c r="P2347" t="s">
        <v>2283</v>
      </c>
      <c r="Q2347" t="s">
        <v>1705</v>
      </c>
    </row>
    <row r="2348" spans="1:18" x14ac:dyDescent="0.25">
      <c r="A2348" t="s">
        <v>5351</v>
      </c>
      <c r="B2348" t="s">
        <v>2144</v>
      </c>
      <c r="C2348" t="s">
        <v>6</v>
      </c>
      <c r="D2348" t="s">
        <v>5350</v>
      </c>
      <c r="E2348" s="2">
        <v>43798</v>
      </c>
      <c r="F2348">
        <v>1813</v>
      </c>
      <c r="G2348" t="s">
        <v>1746</v>
      </c>
      <c r="H2348" t="s">
        <v>1798</v>
      </c>
      <c r="I2348" t="b">
        <v>0</v>
      </c>
      <c r="J2348" t="s">
        <v>1761</v>
      </c>
      <c r="K2348" t="s">
        <v>1800</v>
      </c>
      <c r="L2348" t="s">
        <v>1817</v>
      </c>
      <c r="M2348">
        <v>22</v>
      </c>
      <c r="N2348" t="b">
        <v>0</v>
      </c>
      <c r="O2348">
        <v>647</v>
      </c>
      <c r="P2348" t="s">
        <v>1819</v>
      </c>
      <c r="Q2348" t="s">
        <v>1753</v>
      </c>
      <c r="R2348" t="s">
        <v>1772</v>
      </c>
    </row>
    <row r="2349" spans="1:18" x14ac:dyDescent="0.25">
      <c r="A2349" t="s">
        <v>5352</v>
      </c>
      <c r="B2349" t="s">
        <v>2046</v>
      </c>
      <c r="C2349" t="s">
        <v>6</v>
      </c>
      <c r="D2349" t="s">
        <v>1181</v>
      </c>
      <c r="E2349" s="2">
        <v>42643</v>
      </c>
      <c r="F2349">
        <v>2968</v>
      </c>
      <c r="G2349" t="s">
        <v>1746</v>
      </c>
      <c r="H2349" t="s">
        <v>1798</v>
      </c>
      <c r="I2349" t="b">
        <v>0</v>
      </c>
      <c r="J2349" t="s">
        <v>1761</v>
      </c>
      <c r="K2349" t="s">
        <v>1749</v>
      </c>
      <c r="L2349" t="s">
        <v>1750</v>
      </c>
      <c r="M2349">
        <v>22</v>
      </c>
      <c r="N2349" t="b">
        <v>0</v>
      </c>
      <c r="O2349">
        <v>86</v>
      </c>
      <c r="P2349" t="s">
        <v>1819</v>
      </c>
      <c r="Q2349" t="s">
        <v>1753</v>
      </c>
    </row>
    <row r="2350" spans="1:18" x14ac:dyDescent="0.25">
      <c r="A2350" t="s">
        <v>5354</v>
      </c>
      <c r="B2350" t="s">
        <v>1983</v>
      </c>
      <c r="C2350" t="s">
        <v>4</v>
      </c>
      <c r="D2350" t="s">
        <v>5353</v>
      </c>
      <c r="E2350" s="2">
        <v>45390</v>
      </c>
      <c r="F2350">
        <v>221</v>
      </c>
      <c r="G2350" t="s">
        <v>1746</v>
      </c>
      <c r="H2350" t="s">
        <v>1747</v>
      </c>
      <c r="I2350" t="b">
        <v>0</v>
      </c>
      <c r="J2350" t="s">
        <v>1748</v>
      </c>
      <c r="K2350" t="s">
        <v>1755</v>
      </c>
      <c r="L2350" t="s">
        <v>1750</v>
      </c>
      <c r="M2350">
        <v>22</v>
      </c>
      <c r="N2350" t="b">
        <v>1</v>
      </c>
      <c r="O2350">
        <v>489</v>
      </c>
      <c r="P2350" t="s">
        <v>1752</v>
      </c>
      <c r="Q2350" t="s">
        <v>1753</v>
      </c>
      <c r="R2350" t="s">
        <v>1759</v>
      </c>
    </row>
    <row r="2351" spans="1:18" x14ac:dyDescent="0.25">
      <c r="A2351" t="s">
        <v>5356</v>
      </c>
      <c r="B2351" t="s">
        <v>2284</v>
      </c>
      <c r="C2351" t="s">
        <v>572</v>
      </c>
      <c r="D2351" t="s">
        <v>5355</v>
      </c>
      <c r="E2351" s="2">
        <v>44301</v>
      </c>
      <c r="F2351">
        <v>1310</v>
      </c>
      <c r="G2351" t="s">
        <v>1746</v>
      </c>
      <c r="H2351" t="s">
        <v>1747</v>
      </c>
      <c r="I2351" t="b">
        <v>0</v>
      </c>
      <c r="J2351" t="s">
        <v>1748</v>
      </c>
      <c r="K2351" t="s">
        <v>1941</v>
      </c>
      <c r="L2351" t="s">
        <v>1775</v>
      </c>
      <c r="M2351">
        <v>22</v>
      </c>
      <c r="N2351" t="b">
        <v>0</v>
      </c>
      <c r="P2351" t="s">
        <v>2283</v>
      </c>
      <c r="Q2351" t="s">
        <v>1705</v>
      </c>
    </row>
    <row r="2352" spans="1:18" x14ac:dyDescent="0.25">
      <c r="A2352" t="s">
        <v>5358</v>
      </c>
      <c r="B2352" t="s">
        <v>2284</v>
      </c>
      <c r="C2352" t="s">
        <v>2338</v>
      </c>
      <c r="D2352" t="s">
        <v>5357</v>
      </c>
      <c r="E2352" s="2">
        <v>44230</v>
      </c>
      <c r="F2352">
        <v>1381</v>
      </c>
      <c r="G2352" t="s">
        <v>1746</v>
      </c>
      <c r="H2352" t="s">
        <v>1747</v>
      </c>
      <c r="I2352" t="b">
        <v>0</v>
      </c>
      <c r="J2352" t="s">
        <v>1748</v>
      </c>
      <c r="K2352" t="s">
        <v>1935</v>
      </c>
      <c r="L2352" t="s">
        <v>1775</v>
      </c>
      <c r="M2352">
        <v>22</v>
      </c>
      <c r="N2352" t="b">
        <v>0</v>
      </c>
      <c r="P2352" t="s">
        <v>2283</v>
      </c>
      <c r="Q2352" t="s">
        <v>1705</v>
      </c>
    </row>
    <row r="2353" spans="1:18" x14ac:dyDescent="0.25">
      <c r="A2353" t="s">
        <v>5359</v>
      </c>
      <c r="B2353" t="s">
        <v>1810</v>
      </c>
      <c r="C2353" t="s">
        <v>4</v>
      </c>
      <c r="D2353" t="s">
        <v>728</v>
      </c>
      <c r="E2353" s="2">
        <v>42020</v>
      </c>
      <c r="F2353">
        <v>3591</v>
      </c>
      <c r="G2353" t="s">
        <v>1746</v>
      </c>
      <c r="H2353" t="s">
        <v>1798</v>
      </c>
      <c r="I2353" t="b">
        <v>1</v>
      </c>
      <c r="J2353" t="s">
        <v>1748</v>
      </c>
      <c r="K2353" t="s">
        <v>1776</v>
      </c>
      <c r="L2353" t="s">
        <v>1756</v>
      </c>
      <c r="M2353">
        <v>21</v>
      </c>
      <c r="N2353" t="b">
        <v>0</v>
      </c>
      <c r="O2353">
        <v>228</v>
      </c>
      <c r="P2353" t="s">
        <v>1752</v>
      </c>
      <c r="Q2353" t="s">
        <v>1753</v>
      </c>
      <c r="R2353" t="s">
        <v>1828</v>
      </c>
    </row>
    <row r="2354" spans="1:18" x14ac:dyDescent="0.25">
      <c r="A2354" t="s">
        <v>5361</v>
      </c>
      <c r="B2354" t="s">
        <v>1866</v>
      </c>
      <c r="C2354" t="s">
        <v>572</v>
      </c>
      <c r="D2354" t="s">
        <v>5360</v>
      </c>
      <c r="E2354" s="2">
        <v>43166</v>
      </c>
      <c r="F2354">
        <v>2445</v>
      </c>
      <c r="G2354" t="s">
        <v>1833</v>
      </c>
      <c r="H2354" t="s">
        <v>1798</v>
      </c>
      <c r="I2354" t="b">
        <v>0</v>
      </c>
      <c r="J2354" t="s">
        <v>1761</v>
      </c>
      <c r="K2354" t="s">
        <v>1830</v>
      </c>
      <c r="L2354" t="s">
        <v>1750</v>
      </c>
      <c r="M2354">
        <v>21</v>
      </c>
      <c r="N2354" t="b">
        <v>0</v>
      </c>
      <c r="O2354">
        <v>1450</v>
      </c>
      <c r="P2354" t="s">
        <v>1752</v>
      </c>
      <c r="Q2354" t="s">
        <v>1753</v>
      </c>
      <c r="R2354" t="s">
        <v>1759</v>
      </c>
    </row>
    <row r="2355" spans="1:18" x14ac:dyDescent="0.25">
      <c r="A2355" t="s">
        <v>5362</v>
      </c>
      <c r="B2355" t="s">
        <v>2353</v>
      </c>
      <c r="C2355" t="s">
        <v>6</v>
      </c>
      <c r="D2355" t="s">
        <v>1505</v>
      </c>
      <c r="E2355" s="2">
        <v>44734</v>
      </c>
      <c r="F2355">
        <v>877</v>
      </c>
      <c r="G2355" t="s">
        <v>1746</v>
      </c>
      <c r="H2355" t="s">
        <v>1798</v>
      </c>
      <c r="I2355" t="b">
        <v>0</v>
      </c>
      <c r="J2355" t="s">
        <v>1748</v>
      </c>
      <c r="K2355" t="s">
        <v>1824</v>
      </c>
      <c r="L2355" t="s">
        <v>1756</v>
      </c>
      <c r="M2355">
        <v>21</v>
      </c>
      <c r="N2355" t="b">
        <v>1</v>
      </c>
      <c r="O2355">
        <v>295</v>
      </c>
      <c r="P2355" t="s">
        <v>1819</v>
      </c>
      <c r="Q2355" t="s">
        <v>1753</v>
      </c>
      <c r="R2355" t="s">
        <v>1828</v>
      </c>
    </row>
    <row r="2356" spans="1:18" x14ac:dyDescent="0.25">
      <c r="A2356" t="s">
        <v>5364</v>
      </c>
      <c r="B2356" t="s">
        <v>1866</v>
      </c>
      <c r="C2356" t="s">
        <v>4</v>
      </c>
      <c r="D2356" t="s">
        <v>5363</v>
      </c>
      <c r="E2356" s="2">
        <v>42880</v>
      </c>
      <c r="F2356">
        <v>2731</v>
      </c>
      <c r="G2356" t="s">
        <v>1746</v>
      </c>
      <c r="H2356" t="s">
        <v>1798</v>
      </c>
      <c r="I2356" t="b">
        <v>0</v>
      </c>
      <c r="J2356" t="s">
        <v>1748</v>
      </c>
      <c r="K2356" t="s">
        <v>1808</v>
      </c>
      <c r="L2356" t="s">
        <v>2102</v>
      </c>
      <c r="M2356">
        <v>21</v>
      </c>
      <c r="N2356" t="b">
        <v>0</v>
      </c>
      <c r="P2356" t="s">
        <v>2070</v>
      </c>
      <c r="Q2356" t="s">
        <v>1753</v>
      </c>
    </row>
    <row r="2357" spans="1:18" x14ac:dyDescent="0.25">
      <c r="A2357" t="s">
        <v>5365</v>
      </c>
      <c r="B2357" t="s">
        <v>2353</v>
      </c>
      <c r="C2357" t="s">
        <v>4</v>
      </c>
      <c r="D2357" t="s">
        <v>396</v>
      </c>
      <c r="E2357" s="2">
        <v>44811</v>
      </c>
      <c r="F2357">
        <v>800</v>
      </c>
      <c r="G2357" t="s">
        <v>1833</v>
      </c>
      <c r="H2357" t="s">
        <v>1798</v>
      </c>
      <c r="I2357" t="b">
        <v>0</v>
      </c>
      <c r="J2357" t="s">
        <v>1761</v>
      </c>
      <c r="K2357" t="s">
        <v>1824</v>
      </c>
      <c r="L2357" t="s">
        <v>1750</v>
      </c>
      <c r="M2357">
        <v>21</v>
      </c>
      <c r="N2357" t="b">
        <v>1</v>
      </c>
      <c r="O2357">
        <v>175</v>
      </c>
      <c r="P2357" t="s">
        <v>1819</v>
      </c>
      <c r="Q2357" t="s">
        <v>1753</v>
      </c>
      <c r="R2357" t="s">
        <v>1759</v>
      </c>
    </row>
    <row r="2358" spans="1:18" x14ac:dyDescent="0.25">
      <c r="A2358" t="s">
        <v>5367</v>
      </c>
      <c r="B2358" t="s">
        <v>1803</v>
      </c>
      <c r="C2358" t="s">
        <v>572</v>
      </c>
      <c r="D2358" t="s">
        <v>5366</v>
      </c>
      <c r="E2358" s="2">
        <v>41465</v>
      </c>
      <c r="F2358">
        <v>4146</v>
      </c>
      <c r="G2358" t="s">
        <v>1746</v>
      </c>
      <c r="H2358" t="s">
        <v>1798</v>
      </c>
      <c r="I2358" t="b">
        <v>0</v>
      </c>
      <c r="J2358" t="s">
        <v>1761</v>
      </c>
      <c r="K2358" t="s">
        <v>1853</v>
      </c>
      <c r="L2358" t="s">
        <v>1750</v>
      </c>
      <c r="M2358">
        <v>21</v>
      </c>
      <c r="N2358" t="b">
        <v>0</v>
      </c>
      <c r="O2358">
        <v>30</v>
      </c>
      <c r="P2358" t="s">
        <v>1752</v>
      </c>
      <c r="Q2358" t="s">
        <v>1753</v>
      </c>
    </row>
    <row r="2359" spans="1:18" x14ac:dyDescent="0.25">
      <c r="A2359" t="s">
        <v>5369</v>
      </c>
      <c r="B2359" t="s">
        <v>3117</v>
      </c>
      <c r="C2359" t="s">
        <v>6</v>
      </c>
      <c r="D2359" t="s">
        <v>5368</v>
      </c>
      <c r="E2359" s="2">
        <v>42159</v>
      </c>
      <c r="F2359">
        <v>3452</v>
      </c>
      <c r="G2359" t="s">
        <v>1746</v>
      </c>
      <c r="H2359" t="s">
        <v>4403</v>
      </c>
      <c r="I2359" t="b">
        <v>1</v>
      </c>
      <c r="J2359" t="s">
        <v>1761</v>
      </c>
      <c r="K2359" t="s">
        <v>1856</v>
      </c>
      <c r="L2359" t="s">
        <v>1750</v>
      </c>
      <c r="M2359">
        <v>21</v>
      </c>
      <c r="N2359" t="b">
        <v>0</v>
      </c>
      <c r="O2359">
        <v>16</v>
      </c>
      <c r="P2359" t="s">
        <v>1752</v>
      </c>
      <c r="Q2359" t="s">
        <v>1753</v>
      </c>
    </row>
    <row r="2360" spans="1:18" x14ac:dyDescent="0.25">
      <c r="A2360" t="s">
        <v>5371</v>
      </c>
      <c r="B2360" t="s">
        <v>2173</v>
      </c>
      <c r="C2360" t="s">
        <v>4</v>
      </c>
      <c r="D2360" t="s">
        <v>5370</v>
      </c>
      <c r="E2360" s="2">
        <v>43672</v>
      </c>
      <c r="F2360">
        <v>1939</v>
      </c>
      <c r="G2360" t="s">
        <v>1746</v>
      </c>
      <c r="H2360" t="s">
        <v>2231</v>
      </c>
      <c r="I2360" t="b">
        <v>1</v>
      </c>
      <c r="J2360" t="s">
        <v>1748</v>
      </c>
      <c r="K2360" t="s">
        <v>1913</v>
      </c>
      <c r="L2360" t="s">
        <v>1817</v>
      </c>
      <c r="M2360">
        <v>21</v>
      </c>
      <c r="N2360" t="b">
        <v>0</v>
      </c>
      <c r="O2360">
        <v>1243</v>
      </c>
      <c r="P2360" t="s">
        <v>1819</v>
      </c>
      <c r="Q2360" t="s">
        <v>1753</v>
      </c>
      <c r="R2360" t="s">
        <v>1759</v>
      </c>
    </row>
    <row r="2361" spans="1:18" x14ac:dyDescent="0.25">
      <c r="A2361" t="s">
        <v>5373</v>
      </c>
      <c r="B2361" t="s">
        <v>2173</v>
      </c>
      <c r="C2361" t="s">
        <v>6</v>
      </c>
      <c r="D2361" t="s">
        <v>5372</v>
      </c>
      <c r="E2361" s="2">
        <v>42332</v>
      </c>
      <c r="F2361">
        <v>3279</v>
      </c>
      <c r="G2361" t="s">
        <v>1746</v>
      </c>
      <c r="H2361" t="s">
        <v>2231</v>
      </c>
      <c r="I2361" t="b">
        <v>0</v>
      </c>
      <c r="J2361" t="s">
        <v>1761</v>
      </c>
      <c r="K2361" t="s">
        <v>1891</v>
      </c>
      <c r="L2361" t="s">
        <v>1750</v>
      </c>
      <c r="M2361">
        <v>21</v>
      </c>
      <c r="N2361" t="b">
        <v>1</v>
      </c>
      <c r="O2361">
        <v>74</v>
      </c>
      <c r="P2361" t="s">
        <v>1752</v>
      </c>
      <c r="Q2361" t="s">
        <v>1753</v>
      </c>
      <c r="R2361" t="s">
        <v>1828</v>
      </c>
    </row>
    <row r="2362" spans="1:18" x14ac:dyDescent="0.25">
      <c r="A2362" t="s">
        <v>5375</v>
      </c>
      <c r="B2362" t="s">
        <v>1907</v>
      </c>
      <c r="C2362" t="s">
        <v>6</v>
      </c>
      <c r="D2362" t="s">
        <v>5374</v>
      </c>
      <c r="E2362" s="2">
        <v>44483</v>
      </c>
      <c r="F2362">
        <v>1128</v>
      </c>
      <c r="G2362" t="s">
        <v>1746</v>
      </c>
      <c r="H2362" t="s">
        <v>1798</v>
      </c>
      <c r="I2362" t="b">
        <v>1</v>
      </c>
      <c r="J2362" t="s">
        <v>1761</v>
      </c>
      <c r="K2362" t="s">
        <v>1774</v>
      </c>
      <c r="L2362" t="s">
        <v>1756</v>
      </c>
      <c r="M2362">
        <v>21</v>
      </c>
      <c r="N2362" t="b">
        <v>0</v>
      </c>
      <c r="O2362">
        <v>3771</v>
      </c>
      <c r="P2362" t="s">
        <v>1819</v>
      </c>
      <c r="Q2362" t="s">
        <v>1753</v>
      </c>
      <c r="R2362" t="s">
        <v>1759</v>
      </c>
    </row>
    <row r="2363" spans="1:18" x14ac:dyDescent="0.25">
      <c r="A2363" t="s">
        <v>5376</v>
      </c>
      <c r="B2363" t="s">
        <v>1876</v>
      </c>
      <c r="C2363" t="s">
        <v>4</v>
      </c>
      <c r="D2363" t="s">
        <v>341</v>
      </c>
      <c r="E2363" s="2">
        <v>44413</v>
      </c>
      <c r="F2363">
        <v>1198</v>
      </c>
      <c r="G2363" t="s">
        <v>1746</v>
      </c>
      <c r="H2363" t="s">
        <v>1798</v>
      </c>
      <c r="I2363" t="b">
        <v>0</v>
      </c>
      <c r="J2363" t="s">
        <v>1748</v>
      </c>
      <c r="K2363" t="s">
        <v>1824</v>
      </c>
      <c r="L2363" t="s">
        <v>1750</v>
      </c>
      <c r="M2363">
        <v>21</v>
      </c>
      <c r="N2363" t="b">
        <v>1</v>
      </c>
      <c r="O2363">
        <v>254</v>
      </c>
      <c r="P2363" t="s">
        <v>1752</v>
      </c>
      <c r="Q2363" t="s">
        <v>1753</v>
      </c>
      <c r="R2363" t="s">
        <v>1828</v>
      </c>
    </row>
    <row r="2364" spans="1:18" x14ac:dyDescent="0.25">
      <c r="A2364" t="s">
        <v>5377</v>
      </c>
      <c r="B2364" t="s">
        <v>1876</v>
      </c>
      <c r="C2364" t="s">
        <v>4</v>
      </c>
      <c r="D2364" t="s">
        <v>738</v>
      </c>
      <c r="E2364" s="2">
        <v>43591</v>
      </c>
      <c r="F2364">
        <v>2020</v>
      </c>
      <c r="G2364" t="s">
        <v>1746</v>
      </c>
      <c r="H2364" t="s">
        <v>1747</v>
      </c>
      <c r="I2364" t="b">
        <v>0</v>
      </c>
      <c r="J2364" t="s">
        <v>1748</v>
      </c>
      <c r="K2364" t="s">
        <v>1765</v>
      </c>
      <c r="L2364" t="s">
        <v>1756</v>
      </c>
      <c r="M2364">
        <v>21</v>
      </c>
      <c r="N2364" t="b">
        <v>0</v>
      </c>
      <c r="O2364">
        <v>556</v>
      </c>
      <c r="P2364" t="s">
        <v>1752</v>
      </c>
      <c r="Q2364" t="s">
        <v>1753</v>
      </c>
    </row>
    <row r="2365" spans="1:18" x14ac:dyDescent="0.25">
      <c r="A2365" t="s">
        <v>5379</v>
      </c>
      <c r="B2365" t="s">
        <v>2871</v>
      </c>
      <c r="C2365" t="s">
        <v>4</v>
      </c>
      <c r="D2365" t="s">
        <v>5378</v>
      </c>
      <c r="E2365" s="2">
        <v>45131</v>
      </c>
      <c r="F2365">
        <v>480</v>
      </c>
      <c r="G2365" t="s">
        <v>1746</v>
      </c>
      <c r="H2365" t="s">
        <v>1798</v>
      </c>
      <c r="I2365" t="b">
        <v>1</v>
      </c>
      <c r="J2365" t="s">
        <v>1748</v>
      </c>
      <c r="K2365" t="s">
        <v>2042</v>
      </c>
      <c r="L2365" t="s">
        <v>1750</v>
      </c>
      <c r="M2365">
        <v>21</v>
      </c>
      <c r="N2365" t="b">
        <v>1</v>
      </c>
      <c r="O2365">
        <v>51</v>
      </c>
      <c r="P2365" t="s">
        <v>1752</v>
      </c>
      <c r="Q2365" t="s">
        <v>1753</v>
      </c>
      <c r="R2365" t="s">
        <v>1759</v>
      </c>
    </row>
    <row r="2366" spans="1:18" x14ac:dyDescent="0.25">
      <c r="A2366" t="s">
        <v>5380</v>
      </c>
      <c r="B2366" t="s">
        <v>1754</v>
      </c>
      <c r="C2366" t="s">
        <v>6</v>
      </c>
      <c r="D2366" t="s">
        <v>1117</v>
      </c>
      <c r="E2366" s="2">
        <v>40941</v>
      </c>
      <c r="F2366">
        <v>4670</v>
      </c>
      <c r="G2366" t="s">
        <v>1746</v>
      </c>
      <c r="H2366" t="s">
        <v>1747</v>
      </c>
      <c r="I2366" t="b">
        <v>0</v>
      </c>
      <c r="J2366" t="s">
        <v>1761</v>
      </c>
      <c r="K2366" t="s">
        <v>1749</v>
      </c>
      <c r="L2366" t="s">
        <v>1750</v>
      </c>
      <c r="M2366">
        <v>21</v>
      </c>
      <c r="N2366" t="b">
        <v>0</v>
      </c>
      <c r="O2366">
        <v>96</v>
      </c>
      <c r="P2366" t="s">
        <v>1819</v>
      </c>
      <c r="Q2366" t="s">
        <v>1753</v>
      </c>
    </row>
    <row r="2367" spans="1:18" x14ac:dyDescent="0.25">
      <c r="A2367" t="s">
        <v>5381</v>
      </c>
      <c r="B2367" t="s">
        <v>1860</v>
      </c>
      <c r="C2367" t="s">
        <v>6</v>
      </c>
      <c r="D2367" t="s">
        <v>9</v>
      </c>
      <c r="E2367" s="2">
        <v>44159</v>
      </c>
      <c r="F2367">
        <v>1452</v>
      </c>
      <c r="G2367" t="s">
        <v>1746</v>
      </c>
      <c r="H2367" t="s">
        <v>1798</v>
      </c>
      <c r="I2367" t="b">
        <v>1</v>
      </c>
      <c r="J2367" t="s">
        <v>1748</v>
      </c>
      <c r="K2367" t="s">
        <v>1824</v>
      </c>
      <c r="L2367" t="s">
        <v>1750</v>
      </c>
      <c r="M2367">
        <v>21</v>
      </c>
      <c r="N2367" t="b">
        <v>1</v>
      </c>
      <c r="O2367">
        <v>50</v>
      </c>
      <c r="P2367" t="s">
        <v>1752</v>
      </c>
      <c r="Q2367" t="s">
        <v>1753</v>
      </c>
    </row>
    <row r="2368" spans="1:18" x14ac:dyDescent="0.25">
      <c r="A2368" t="s">
        <v>5382</v>
      </c>
      <c r="B2368" t="s">
        <v>2353</v>
      </c>
      <c r="C2368" t="s">
        <v>4</v>
      </c>
      <c r="D2368" t="s">
        <v>1220</v>
      </c>
      <c r="E2368" s="2">
        <v>44687</v>
      </c>
      <c r="F2368">
        <v>924</v>
      </c>
      <c r="G2368" t="s">
        <v>1746</v>
      </c>
      <c r="H2368" t="s">
        <v>1798</v>
      </c>
      <c r="I2368" t="b">
        <v>0</v>
      </c>
      <c r="J2368" t="s">
        <v>1748</v>
      </c>
      <c r="K2368" t="s">
        <v>1824</v>
      </c>
      <c r="L2368" t="s">
        <v>1750</v>
      </c>
      <c r="M2368">
        <v>21</v>
      </c>
      <c r="N2368" t="b">
        <v>1</v>
      </c>
      <c r="O2368">
        <v>69</v>
      </c>
      <c r="P2368" t="s">
        <v>1752</v>
      </c>
      <c r="Q2368" t="s">
        <v>1753</v>
      </c>
    </row>
    <row r="2369" spans="1:18" x14ac:dyDescent="0.25">
      <c r="A2369" t="s">
        <v>5383</v>
      </c>
      <c r="B2369" t="s">
        <v>1915</v>
      </c>
      <c r="C2369" t="s">
        <v>4</v>
      </c>
      <c r="D2369" t="s">
        <v>1277</v>
      </c>
      <c r="E2369" s="2">
        <v>44789</v>
      </c>
      <c r="F2369">
        <v>822</v>
      </c>
      <c r="G2369" t="s">
        <v>1746</v>
      </c>
      <c r="H2369" t="s">
        <v>1798</v>
      </c>
      <c r="I2369" t="b">
        <v>0</v>
      </c>
      <c r="J2369" t="s">
        <v>1761</v>
      </c>
      <c r="K2369" t="s">
        <v>1774</v>
      </c>
      <c r="L2369" t="s">
        <v>1750</v>
      </c>
      <c r="M2369">
        <v>21</v>
      </c>
      <c r="N2369" t="b">
        <v>1</v>
      </c>
      <c r="O2369">
        <v>1035</v>
      </c>
      <c r="P2369" t="s">
        <v>1752</v>
      </c>
      <c r="Q2369" t="s">
        <v>1753</v>
      </c>
      <c r="R2369" t="s">
        <v>1828</v>
      </c>
    </row>
    <row r="2370" spans="1:18" x14ac:dyDescent="0.25">
      <c r="A2370" t="s">
        <v>412</v>
      </c>
      <c r="B2370" t="s">
        <v>1810</v>
      </c>
      <c r="C2370" t="s">
        <v>4</v>
      </c>
      <c r="D2370" t="s">
        <v>413</v>
      </c>
      <c r="E2370" s="2">
        <v>40142</v>
      </c>
      <c r="F2370">
        <v>5469</v>
      </c>
      <c r="G2370" t="s">
        <v>1746</v>
      </c>
      <c r="H2370" t="s">
        <v>1798</v>
      </c>
      <c r="I2370" t="b">
        <v>0</v>
      </c>
      <c r="J2370" t="s">
        <v>1761</v>
      </c>
      <c r="K2370" t="s">
        <v>1765</v>
      </c>
      <c r="L2370" t="s">
        <v>1766</v>
      </c>
      <c r="M2370">
        <v>21</v>
      </c>
      <c r="N2370" t="b">
        <v>0</v>
      </c>
      <c r="P2370" t="s">
        <v>1752</v>
      </c>
      <c r="Q2370" t="s">
        <v>1753</v>
      </c>
      <c r="R2370" t="s">
        <v>1828</v>
      </c>
    </row>
    <row r="2371" spans="1:18" x14ac:dyDescent="0.25">
      <c r="A2371" t="s">
        <v>5385</v>
      </c>
      <c r="B2371" t="s">
        <v>1803</v>
      </c>
      <c r="C2371" t="s">
        <v>572</v>
      </c>
      <c r="D2371" t="s">
        <v>5384</v>
      </c>
      <c r="E2371" s="2">
        <v>44747</v>
      </c>
      <c r="F2371">
        <v>864</v>
      </c>
      <c r="G2371" t="s">
        <v>1746</v>
      </c>
      <c r="H2371" t="s">
        <v>1798</v>
      </c>
      <c r="I2371" t="b">
        <v>0</v>
      </c>
      <c r="J2371" t="s">
        <v>1761</v>
      </c>
      <c r="K2371" t="s">
        <v>1913</v>
      </c>
      <c r="L2371" t="s">
        <v>1750</v>
      </c>
      <c r="M2371">
        <v>21</v>
      </c>
      <c r="N2371" t="b">
        <v>1</v>
      </c>
      <c r="O2371">
        <v>59</v>
      </c>
      <c r="P2371" t="s">
        <v>1752</v>
      </c>
      <c r="Q2371" t="s">
        <v>1753</v>
      </c>
      <c r="R2371" t="s">
        <v>1759</v>
      </c>
    </row>
    <row r="2372" spans="1:18" x14ac:dyDescent="0.25">
      <c r="A2372" t="s">
        <v>5387</v>
      </c>
      <c r="B2372" t="s">
        <v>2150</v>
      </c>
      <c r="C2372" t="s">
        <v>6</v>
      </c>
      <c r="D2372" t="s">
        <v>5386</v>
      </c>
      <c r="E2372" s="2">
        <v>42034</v>
      </c>
      <c r="F2372">
        <v>3577</v>
      </c>
      <c r="G2372" t="s">
        <v>1746</v>
      </c>
      <c r="H2372" t="s">
        <v>1747</v>
      </c>
      <c r="I2372" t="b">
        <v>0</v>
      </c>
      <c r="J2372" t="s">
        <v>1748</v>
      </c>
      <c r="K2372" t="s">
        <v>1755</v>
      </c>
      <c r="L2372" t="s">
        <v>1750</v>
      </c>
      <c r="M2372">
        <v>21</v>
      </c>
      <c r="N2372" t="b">
        <v>1</v>
      </c>
      <c r="O2372">
        <v>38</v>
      </c>
      <c r="P2372" t="s">
        <v>1752</v>
      </c>
      <c r="Q2372" t="s">
        <v>1753</v>
      </c>
    </row>
    <row r="2373" spans="1:18" x14ac:dyDescent="0.25">
      <c r="A2373" t="s">
        <v>5389</v>
      </c>
      <c r="B2373" t="s">
        <v>1978</v>
      </c>
      <c r="C2373" t="s">
        <v>4</v>
      </c>
      <c r="D2373" t="s">
        <v>5388</v>
      </c>
      <c r="E2373" s="2">
        <v>44389</v>
      </c>
      <c r="F2373">
        <v>1222</v>
      </c>
      <c r="G2373" t="s">
        <v>1746</v>
      </c>
      <c r="H2373" t="s">
        <v>1747</v>
      </c>
      <c r="I2373" t="b">
        <v>0</v>
      </c>
      <c r="J2373" t="s">
        <v>1761</v>
      </c>
      <c r="K2373" t="s">
        <v>1856</v>
      </c>
      <c r="L2373" t="s">
        <v>1756</v>
      </c>
      <c r="M2373">
        <v>20</v>
      </c>
      <c r="N2373" t="b">
        <v>1</v>
      </c>
      <c r="O2373">
        <v>453</v>
      </c>
      <c r="P2373" t="s">
        <v>1752</v>
      </c>
      <c r="Q2373" t="s">
        <v>1753</v>
      </c>
      <c r="R2373" t="s">
        <v>1772</v>
      </c>
    </row>
    <row r="2374" spans="1:18" x14ac:dyDescent="0.25">
      <c r="A2374" t="s">
        <v>5390</v>
      </c>
      <c r="B2374" t="s">
        <v>1876</v>
      </c>
      <c r="C2374" t="s">
        <v>4</v>
      </c>
      <c r="D2374" t="s">
        <v>212</v>
      </c>
      <c r="E2374" s="2">
        <v>44278</v>
      </c>
      <c r="F2374">
        <v>1333</v>
      </c>
      <c r="G2374" t="s">
        <v>1833</v>
      </c>
      <c r="H2374" t="s">
        <v>1747</v>
      </c>
      <c r="I2374" t="b">
        <v>0</v>
      </c>
      <c r="J2374" t="s">
        <v>1761</v>
      </c>
      <c r="K2374" t="s">
        <v>1776</v>
      </c>
      <c r="L2374" t="s">
        <v>1750</v>
      </c>
      <c r="M2374">
        <v>20</v>
      </c>
      <c r="N2374" t="b">
        <v>1</v>
      </c>
      <c r="O2374">
        <v>326</v>
      </c>
      <c r="P2374" t="s">
        <v>1819</v>
      </c>
      <c r="Q2374" t="s">
        <v>1753</v>
      </c>
      <c r="R2374" t="s">
        <v>1759</v>
      </c>
    </row>
    <row r="2375" spans="1:18" x14ac:dyDescent="0.25">
      <c r="A2375" t="s">
        <v>5391</v>
      </c>
      <c r="B2375" t="s">
        <v>1781</v>
      </c>
      <c r="C2375" t="s">
        <v>4</v>
      </c>
      <c r="D2375" t="s">
        <v>336</v>
      </c>
      <c r="E2375" s="2">
        <v>44658</v>
      </c>
      <c r="F2375">
        <v>953</v>
      </c>
      <c r="G2375" t="s">
        <v>1746</v>
      </c>
      <c r="H2375" t="s">
        <v>1747</v>
      </c>
      <c r="I2375" t="b">
        <v>0</v>
      </c>
      <c r="J2375" t="s">
        <v>1748</v>
      </c>
      <c r="K2375" t="s">
        <v>1770</v>
      </c>
      <c r="L2375" t="s">
        <v>1750</v>
      </c>
      <c r="M2375">
        <v>20</v>
      </c>
      <c r="N2375" t="b">
        <v>1</v>
      </c>
      <c r="O2375">
        <v>367</v>
      </c>
      <c r="P2375" t="s">
        <v>1752</v>
      </c>
      <c r="Q2375" t="s">
        <v>1753</v>
      </c>
      <c r="R2375" t="s">
        <v>1772</v>
      </c>
    </row>
    <row r="2376" spans="1:18" x14ac:dyDescent="0.25">
      <c r="A2376" t="s">
        <v>5393</v>
      </c>
      <c r="B2376" t="s">
        <v>1907</v>
      </c>
      <c r="C2376" t="s">
        <v>4</v>
      </c>
      <c r="D2376" t="s">
        <v>5392</v>
      </c>
      <c r="E2376" s="2">
        <v>44061</v>
      </c>
      <c r="F2376">
        <v>1550</v>
      </c>
      <c r="G2376" t="s">
        <v>1746</v>
      </c>
      <c r="H2376" t="s">
        <v>1798</v>
      </c>
      <c r="I2376" t="b">
        <v>0</v>
      </c>
      <c r="J2376" t="s">
        <v>1748</v>
      </c>
      <c r="K2376" t="s">
        <v>2021</v>
      </c>
      <c r="L2376" t="s">
        <v>2102</v>
      </c>
      <c r="M2376">
        <v>20</v>
      </c>
      <c r="N2376" t="b">
        <v>0</v>
      </c>
      <c r="P2376" t="s">
        <v>1819</v>
      </c>
      <c r="Q2376" t="s">
        <v>1753</v>
      </c>
      <c r="R2376" t="s">
        <v>1759</v>
      </c>
    </row>
    <row r="2377" spans="1:18" x14ac:dyDescent="0.25">
      <c r="A2377" t="s">
        <v>5394</v>
      </c>
      <c r="B2377" t="s">
        <v>2071</v>
      </c>
      <c r="C2377" t="s">
        <v>6</v>
      </c>
      <c r="D2377" t="s">
        <v>905</v>
      </c>
      <c r="E2377" s="2">
        <v>41410</v>
      </c>
      <c r="F2377">
        <v>4201</v>
      </c>
      <c r="G2377" t="s">
        <v>1746</v>
      </c>
      <c r="H2377" t="s">
        <v>1798</v>
      </c>
      <c r="I2377" t="b">
        <v>1</v>
      </c>
      <c r="J2377" t="s">
        <v>1761</v>
      </c>
      <c r="K2377" t="s">
        <v>1774</v>
      </c>
      <c r="L2377" t="s">
        <v>1750</v>
      </c>
      <c r="M2377">
        <v>20</v>
      </c>
      <c r="N2377" t="b">
        <v>1</v>
      </c>
      <c r="O2377">
        <v>202</v>
      </c>
      <c r="P2377" t="s">
        <v>1752</v>
      </c>
      <c r="Q2377" t="s">
        <v>1753</v>
      </c>
      <c r="R2377" t="s">
        <v>1828</v>
      </c>
    </row>
    <row r="2378" spans="1:18" x14ac:dyDescent="0.25">
      <c r="A2378" t="s">
        <v>5396</v>
      </c>
      <c r="B2378" t="s">
        <v>1907</v>
      </c>
      <c r="C2378" t="s">
        <v>6</v>
      </c>
      <c r="D2378" t="s">
        <v>5395</v>
      </c>
      <c r="E2378" s="2">
        <v>44014</v>
      </c>
      <c r="F2378">
        <v>1597</v>
      </c>
      <c r="G2378" t="s">
        <v>1746</v>
      </c>
      <c r="H2378" t="s">
        <v>1798</v>
      </c>
      <c r="I2378" t="b">
        <v>0</v>
      </c>
      <c r="J2378" t="s">
        <v>1761</v>
      </c>
      <c r="K2378" t="s">
        <v>1853</v>
      </c>
      <c r="L2378" t="s">
        <v>1750</v>
      </c>
      <c r="M2378">
        <v>20</v>
      </c>
      <c r="N2378" t="b">
        <v>1</v>
      </c>
      <c r="O2378">
        <v>17</v>
      </c>
      <c r="P2378" t="s">
        <v>1752</v>
      </c>
      <c r="Q2378" t="s">
        <v>1753</v>
      </c>
      <c r="R2378" t="s">
        <v>1828</v>
      </c>
    </row>
    <row r="2379" spans="1:18" x14ac:dyDescent="0.25">
      <c r="A2379" t="s">
        <v>5398</v>
      </c>
      <c r="B2379" t="s">
        <v>2144</v>
      </c>
      <c r="C2379" t="s">
        <v>6</v>
      </c>
      <c r="D2379" t="s">
        <v>5397</v>
      </c>
      <c r="E2379" s="2">
        <v>45163</v>
      </c>
      <c r="F2379">
        <v>448</v>
      </c>
      <c r="G2379" t="s">
        <v>1746</v>
      </c>
      <c r="H2379" t="s">
        <v>1747</v>
      </c>
      <c r="I2379" t="b">
        <v>1</v>
      </c>
      <c r="J2379" t="s">
        <v>1748</v>
      </c>
      <c r="K2379" t="s">
        <v>1826</v>
      </c>
      <c r="L2379" t="s">
        <v>1756</v>
      </c>
      <c r="M2379">
        <v>20</v>
      </c>
      <c r="N2379" t="b">
        <v>0</v>
      </c>
      <c r="O2379">
        <v>680</v>
      </c>
      <c r="P2379" t="s">
        <v>1752</v>
      </c>
      <c r="Q2379" t="s">
        <v>1753</v>
      </c>
      <c r="R2379" t="s">
        <v>1772</v>
      </c>
    </row>
    <row r="2380" spans="1:18" x14ac:dyDescent="0.25">
      <c r="A2380" t="s">
        <v>5399</v>
      </c>
      <c r="B2380" t="s">
        <v>4980</v>
      </c>
      <c r="C2380" t="s">
        <v>1249</v>
      </c>
      <c r="D2380" t="s">
        <v>1272</v>
      </c>
      <c r="E2380" s="2">
        <v>40161</v>
      </c>
      <c r="F2380">
        <v>5450</v>
      </c>
      <c r="G2380" t="s">
        <v>1746</v>
      </c>
      <c r="H2380" t="s">
        <v>1798</v>
      </c>
      <c r="I2380" t="b">
        <v>0</v>
      </c>
      <c r="J2380" t="s">
        <v>1761</v>
      </c>
      <c r="K2380" t="s">
        <v>1846</v>
      </c>
      <c r="L2380" t="s">
        <v>1756</v>
      </c>
      <c r="M2380">
        <v>20</v>
      </c>
      <c r="N2380" t="b">
        <v>1</v>
      </c>
      <c r="O2380">
        <v>277</v>
      </c>
      <c r="P2380" t="s">
        <v>1752</v>
      </c>
      <c r="Q2380" t="s">
        <v>1753</v>
      </c>
      <c r="R2380" t="s">
        <v>1759</v>
      </c>
    </row>
    <row r="2381" spans="1:18" x14ac:dyDescent="0.25">
      <c r="A2381" t="s">
        <v>5401</v>
      </c>
      <c r="B2381" t="s">
        <v>2854</v>
      </c>
      <c r="C2381" t="s">
        <v>6</v>
      </c>
      <c r="D2381" t="s">
        <v>5400</v>
      </c>
      <c r="E2381" s="2">
        <v>41505</v>
      </c>
      <c r="F2381">
        <v>4106</v>
      </c>
      <c r="G2381" t="s">
        <v>1746</v>
      </c>
      <c r="H2381" t="s">
        <v>1798</v>
      </c>
      <c r="I2381" t="b">
        <v>1</v>
      </c>
      <c r="J2381" t="s">
        <v>1761</v>
      </c>
      <c r="K2381" t="s">
        <v>1853</v>
      </c>
      <c r="L2381" t="s">
        <v>1750</v>
      </c>
      <c r="M2381">
        <v>20</v>
      </c>
      <c r="N2381" t="b">
        <v>1</v>
      </c>
      <c r="O2381">
        <v>40</v>
      </c>
      <c r="P2381" t="s">
        <v>1752</v>
      </c>
      <c r="Q2381" t="s">
        <v>1753</v>
      </c>
      <c r="R2381" t="s">
        <v>1828</v>
      </c>
    </row>
    <row r="2382" spans="1:18" x14ac:dyDescent="0.25">
      <c r="A2382" t="s">
        <v>5403</v>
      </c>
      <c r="B2382" t="s">
        <v>2144</v>
      </c>
      <c r="C2382" t="s">
        <v>2709</v>
      </c>
      <c r="D2382" t="s">
        <v>5402</v>
      </c>
      <c r="E2382" s="2">
        <v>44538</v>
      </c>
      <c r="F2382">
        <v>1073</v>
      </c>
      <c r="G2382" t="s">
        <v>1746</v>
      </c>
      <c r="H2382" t="s">
        <v>1747</v>
      </c>
      <c r="I2382" t="b">
        <v>0</v>
      </c>
      <c r="J2382" t="s">
        <v>1748</v>
      </c>
      <c r="K2382" t="s">
        <v>1884</v>
      </c>
      <c r="L2382" t="s">
        <v>1775</v>
      </c>
      <c r="M2382">
        <v>20</v>
      </c>
      <c r="N2382" t="b">
        <v>0</v>
      </c>
      <c r="P2382" t="s">
        <v>2283</v>
      </c>
      <c r="Q2382" t="s">
        <v>1705</v>
      </c>
    </row>
    <row r="2383" spans="1:18" x14ac:dyDescent="0.25">
      <c r="A2383" t="s">
        <v>5405</v>
      </c>
      <c r="B2383" t="s">
        <v>3266</v>
      </c>
      <c r="C2383" t="s">
        <v>1249</v>
      </c>
      <c r="D2383" t="s">
        <v>5404</v>
      </c>
      <c r="E2383" s="2">
        <v>40161</v>
      </c>
      <c r="F2383">
        <v>5450</v>
      </c>
      <c r="G2383" t="s">
        <v>1746</v>
      </c>
      <c r="H2383" t="s">
        <v>1798</v>
      </c>
      <c r="I2383" t="b">
        <v>0</v>
      </c>
      <c r="J2383" t="s">
        <v>1761</v>
      </c>
      <c r="K2383" t="s">
        <v>1880</v>
      </c>
      <c r="L2383" t="s">
        <v>1750</v>
      </c>
      <c r="M2383">
        <v>20</v>
      </c>
      <c r="N2383" t="b">
        <v>0</v>
      </c>
      <c r="O2383">
        <v>25</v>
      </c>
      <c r="P2383" t="s">
        <v>1752</v>
      </c>
      <c r="Q2383" t="s">
        <v>1753</v>
      </c>
    </row>
    <row r="2384" spans="1:18" x14ac:dyDescent="0.25">
      <c r="A2384" t="s">
        <v>5407</v>
      </c>
      <c r="B2384" t="s">
        <v>4892</v>
      </c>
      <c r="C2384" t="s">
        <v>4</v>
      </c>
      <c r="D2384" t="s">
        <v>5406</v>
      </c>
      <c r="E2384" s="2">
        <v>45217</v>
      </c>
      <c r="F2384">
        <v>394</v>
      </c>
      <c r="G2384" t="s">
        <v>1746</v>
      </c>
      <c r="H2384" t="s">
        <v>1747</v>
      </c>
      <c r="I2384" t="b">
        <v>0</v>
      </c>
      <c r="J2384" t="s">
        <v>1748</v>
      </c>
      <c r="K2384" t="s">
        <v>1913</v>
      </c>
      <c r="L2384" t="s">
        <v>1756</v>
      </c>
      <c r="M2384">
        <v>20</v>
      </c>
      <c r="N2384" t="b">
        <v>0</v>
      </c>
      <c r="O2384">
        <v>78</v>
      </c>
      <c r="P2384" t="s">
        <v>1752</v>
      </c>
      <c r="Q2384" t="s">
        <v>1753</v>
      </c>
      <c r="R2384" t="s">
        <v>1759</v>
      </c>
    </row>
    <row r="2385" spans="1:18" x14ac:dyDescent="0.25">
      <c r="A2385" t="s">
        <v>5408</v>
      </c>
      <c r="B2385" t="s">
        <v>1876</v>
      </c>
      <c r="C2385" t="s">
        <v>4</v>
      </c>
      <c r="D2385" t="s">
        <v>203</v>
      </c>
      <c r="E2385" s="2">
        <v>43717</v>
      </c>
      <c r="F2385">
        <v>1894</v>
      </c>
      <c r="G2385" t="s">
        <v>1746</v>
      </c>
      <c r="H2385" t="s">
        <v>1798</v>
      </c>
      <c r="I2385" t="b">
        <v>0</v>
      </c>
      <c r="J2385" t="s">
        <v>1761</v>
      </c>
      <c r="K2385" t="s">
        <v>1853</v>
      </c>
      <c r="L2385" t="s">
        <v>1750</v>
      </c>
      <c r="M2385">
        <v>20</v>
      </c>
      <c r="N2385" t="b">
        <v>0</v>
      </c>
      <c r="O2385">
        <v>86</v>
      </c>
      <c r="P2385" t="s">
        <v>1752</v>
      </c>
      <c r="Q2385" t="s">
        <v>1753</v>
      </c>
      <c r="R2385" t="s">
        <v>1828</v>
      </c>
    </row>
    <row r="2386" spans="1:18" x14ac:dyDescent="0.25">
      <c r="A2386" t="s">
        <v>5409</v>
      </c>
      <c r="B2386" t="s">
        <v>1829</v>
      </c>
      <c r="C2386" t="s">
        <v>4</v>
      </c>
      <c r="D2386" t="s">
        <v>462</v>
      </c>
      <c r="E2386" s="2">
        <v>43206</v>
      </c>
      <c r="F2386">
        <v>2405</v>
      </c>
      <c r="G2386" t="s">
        <v>1746</v>
      </c>
      <c r="H2386" t="s">
        <v>1798</v>
      </c>
      <c r="I2386" t="b">
        <v>1</v>
      </c>
      <c r="J2386" t="s">
        <v>1761</v>
      </c>
      <c r="K2386" t="s">
        <v>1913</v>
      </c>
      <c r="L2386" t="s">
        <v>1750</v>
      </c>
      <c r="M2386">
        <v>20</v>
      </c>
      <c r="N2386" t="b">
        <v>0</v>
      </c>
      <c r="O2386">
        <v>252</v>
      </c>
      <c r="P2386" t="s">
        <v>1752</v>
      </c>
      <c r="Q2386" t="s">
        <v>1753</v>
      </c>
    </row>
    <row r="2387" spans="1:18" x14ac:dyDescent="0.25">
      <c r="A2387" t="s">
        <v>485</v>
      </c>
      <c r="B2387" t="s">
        <v>1876</v>
      </c>
      <c r="C2387" t="s">
        <v>4</v>
      </c>
      <c r="D2387" t="s">
        <v>486</v>
      </c>
      <c r="E2387" s="2">
        <v>44686</v>
      </c>
      <c r="F2387">
        <v>925</v>
      </c>
      <c r="G2387" t="s">
        <v>1746</v>
      </c>
      <c r="H2387" t="s">
        <v>1747</v>
      </c>
      <c r="I2387" t="b">
        <v>0</v>
      </c>
      <c r="J2387" t="s">
        <v>1748</v>
      </c>
      <c r="K2387" t="s">
        <v>1880</v>
      </c>
      <c r="L2387" t="s">
        <v>1766</v>
      </c>
      <c r="M2387">
        <v>20</v>
      </c>
      <c r="N2387" t="b">
        <v>0</v>
      </c>
      <c r="P2387" t="s">
        <v>1752</v>
      </c>
      <c r="Q2387" t="s">
        <v>1753</v>
      </c>
    </row>
    <row r="2388" spans="1:18" x14ac:dyDescent="0.25">
      <c r="A2388" t="s">
        <v>5410</v>
      </c>
      <c r="B2388" t="s">
        <v>1860</v>
      </c>
      <c r="C2388" t="s">
        <v>4</v>
      </c>
      <c r="D2388" t="s">
        <v>1391</v>
      </c>
      <c r="E2388" s="2">
        <v>43326</v>
      </c>
      <c r="F2388">
        <v>2285</v>
      </c>
      <c r="G2388" t="s">
        <v>1746</v>
      </c>
      <c r="H2388" t="s">
        <v>1798</v>
      </c>
      <c r="I2388" t="b">
        <v>0</v>
      </c>
      <c r="J2388" t="s">
        <v>1748</v>
      </c>
      <c r="K2388" t="s">
        <v>1880</v>
      </c>
      <c r="L2388" t="s">
        <v>1766</v>
      </c>
      <c r="M2388">
        <v>20</v>
      </c>
      <c r="N2388" t="b">
        <v>0</v>
      </c>
      <c r="P2388" t="s">
        <v>2070</v>
      </c>
      <c r="Q2388" t="s">
        <v>1753</v>
      </c>
    </row>
    <row r="2389" spans="1:18" x14ac:dyDescent="0.25">
      <c r="A2389" t="s">
        <v>5411</v>
      </c>
      <c r="B2389" t="s">
        <v>1874</v>
      </c>
      <c r="C2389" t="s">
        <v>4</v>
      </c>
      <c r="D2389" t="s">
        <v>370</v>
      </c>
      <c r="E2389" s="2">
        <v>44168</v>
      </c>
      <c r="F2389">
        <v>1443</v>
      </c>
      <c r="G2389" t="s">
        <v>1833</v>
      </c>
      <c r="H2389" t="s">
        <v>1747</v>
      </c>
      <c r="I2389" t="b">
        <v>0</v>
      </c>
      <c r="J2389" t="s">
        <v>1748</v>
      </c>
      <c r="K2389" t="s">
        <v>1757</v>
      </c>
      <c r="L2389" t="s">
        <v>1750</v>
      </c>
      <c r="M2389">
        <v>20</v>
      </c>
      <c r="N2389" t="b">
        <v>1</v>
      </c>
      <c r="O2389">
        <v>51</v>
      </c>
      <c r="P2389" t="s">
        <v>1752</v>
      </c>
      <c r="Q2389" t="s">
        <v>1753</v>
      </c>
      <c r="R2389" t="s">
        <v>1759</v>
      </c>
    </row>
    <row r="2390" spans="1:18" x14ac:dyDescent="0.25">
      <c r="A2390" t="s">
        <v>5413</v>
      </c>
      <c r="B2390" t="s">
        <v>2177</v>
      </c>
      <c r="C2390" t="s">
        <v>4</v>
      </c>
      <c r="D2390" t="s">
        <v>5412</v>
      </c>
      <c r="E2390" s="2">
        <v>42310</v>
      </c>
      <c r="F2390">
        <v>3301</v>
      </c>
      <c r="G2390" t="s">
        <v>1746</v>
      </c>
      <c r="H2390" t="s">
        <v>1805</v>
      </c>
      <c r="I2390" t="b">
        <v>0</v>
      </c>
      <c r="J2390" t="s">
        <v>1761</v>
      </c>
      <c r="K2390" t="s">
        <v>1856</v>
      </c>
      <c r="L2390" t="s">
        <v>1756</v>
      </c>
      <c r="M2390">
        <v>19</v>
      </c>
      <c r="N2390" t="b">
        <v>1</v>
      </c>
      <c r="O2390">
        <v>496</v>
      </c>
      <c r="P2390" t="s">
        <v>1752</v>
      </c>
      <c r="Q2390" t="s">
        <v>1753</v>
      </c>
    </row>
    <row r="2391" spans="1:18" x14ac:dyDescent="0.25">
      <c r="A2391" t="s">
        <v>5415</v>
      </c>
      <c r="B2391" t="s">
        <v>2150</v>
      </c>
      <c r="C2391" t="s">
        <v>4</v>
      </c>
      <c r="D2391" t="s">
        <v>5414</v>
      </c>
      <c r="E2391" s="2">
        <v>44860</v>
      </c>
      <c r="F2391">
        <v>751</v>
      </c>
      <c r="G2391" t="s">
        <v>1833</v>
      </c>
      <c r="H2391" t="s">
        <v>1747</v>
      </c>
      <c r="I2391" t="b">
        <v>0</v>
      </c>
      <c r="J2391" t="s">
        <v>1761</v>
      </c>
      <c r="K2391" t="s">
        <v>1880</v>
      </c>
      <c r="L2391" t="s">
        <v>1750</v>
      </c>
      <c r="M2391">
        <v>19</v>
      </c>
      <c r="N2391" t="b">
        <v>1</v>
      </c>
      <c r="O2391">
        <v>400</v>
      </c>
      <c r="P2391" t="s">
        <v>1819</v>
      </c>
      <c r="Q2391" t="s">
        <v>1753</v>
      </c>
      <c r="R2391" t="s">
        <v>1759</v>
      </c>
    </row>
    <row r="2392" spans="1:18" x14ac:dyDescent="0.25">
      <c r="A2392" t="s">
        <v>251</v>
      </c>
      <c r="B2392" t="s">
        <v>1754</v>
      </c>
      <c r="C2392" t="s">
        <v>4</v>
      </c>
      <c r="D2392" t="s">
        <v>252</v>
      </c>
      <c r="E2392" s="2">
        <v>42984</v>
      </c>
      <c r="F2392">
        <v>2627</v>
      </c>
      <c r="G2392" t="s">
        <v>1746</v>
      </c>
      <c r="H2392" t="s">
        <v>1747</v>
      </c>
      <c r="I2392" t="b">
        <v>0</v>
      </c>
      <c r="J2392" t="s">
        <v>1748</v>
      </c>
      <c r="K2392" t="s">
        <v>1853</v>
      </c>
      <c r="L2392" t="s">
        <v>1750</v>
      </c>
      <c r="M2392">
        <v>19</v>
      </c>
      <c r="N2392" t="b">
        <v>1</v>
      </c>
      <c r="O2392">
        <v>242</v>
      </c>
      <c r="P2392" t="s">
        <v>1752</v>
      </c>
      <c r="Q2392" t="s">
        <v>1753</v>
      </c>
      <c r="R2392" t="s">
        <v>1759</v>
      </c>
    </row>
    <row r="2393" spans="1:18" x14ac:dyDescent="0.25">
      <c r="A2393" t="s">
        <v>5417</v>
      </c>
      <c r="B2393" t="s">
        <v>2144</v>
      </c>
      <c r="C2393" t="s">
        <v>186</v>
      </c>
      <c r="D2393" t="s">
        <v>5416</v>
      </c>
      <c r="E2393" s="2">
        <v>44631</v>
      </c>
      <c r="F2393">
        <v>980</v>
      </c>
      <c r="G2393" t="s">
        <v>1746</v>
      </c>
      <c r="H2393" t="s">
        <v>1747</v>
      </c>
      <c r="I2393" t="b">
        <v>0</v>
      </c>
      <c r="J2393" t="s">
        <v>1748</v>
      </c>
      <c r="K2393" t="s">
        <v>1799</v>
      </c>
      <c r="L2393" t="s">
        <v>1775</v>
      </c>
      <c r="M2393">
        <v>19</v>
      </c>
      <c r="N2393" t="b">
        <v>0</v>
      </c>
      <c r="P2393" t="s">
        <v>2283</v>
      </c>
      <c r="Q2393" t="s">
        <v>1705</v>
      </c>
    </row>
    <row r="2394" spans="1:18" x14ac:dyDescent="0.25">
      <c r="A2394" t="s">
        <v>5418</v>
      </c>
      <c r="B2394" t="s">
        <v>3093</v>
      </c>
      <c r="C2394" t="s">
        <v>6</v>
      </c>
      <c r="D2394" t="s">
        <v>112</v>
      </c>
      <c r="E2394" s="2">
        <v>43739</v>
      </c>
      <c r="F2394">
        <v>1872</v>
      </c>
      <c r="G2394" t="s">
        <v>1746</v>
      </c>
      <c r="H2394" t="s">
        <v>1798</v>
      </c>
      <c r="I2394" t="b">
        <v>0</v>
      </c>
      <c r="J2394" t="s">
        <v>1748</v>
      </c>
      <c r="K2394" t="s">
        <v>1880</v>
      </c>
      <c r="L2394" t="s">
        <v>1766</v>
      </c>
      <c r="M2394">
        <v>19</v>
      </c>
      <c r="N2394" t="b">
        <v>0</v>
      </c>
      <c r="P2394" t="s">
        <v>1752</v>
      </c>
      <c r="Q2394" t="s">
        <v>1753</v>
      </c>
      <c r="R2394" t="s">
        <v>1759</v>
      </c>
    </row>
    <row r="2395" spans="1:18" x14ac:dyDescent="0.25">
      <c r="A2395" t="s">
        <v>5420</v>
      </c>
      <c r="B2395" t="s">
        <v>2150</v>
      </c>
      <c r="C2395" t="s">
        <v>4</v>
      </c>
      <c r="D2395" t="s">
        <v>5419</v>
      </c>
      <c r="E2395" s="2">
        <v>44543</v>
      </c>
      <c r="F2395">
        <v>1068</v>
      </c>
      <c r="G2395" t="s">
        <v>1746</v>
      </c>
      <c r="H2395" t="s">
        <v>1747</v>
      </c>
      <c r="I2395" t="b">
        <v>1</v>
      </c>
      <c r="J2395" t="s">
        <v>1748</v>
      </c>
      <c r="K2395" t="s">
        <v>1755</v>
      </c>
      <c r="L2395" t="s">
        <v>1817</v>
      </c>
      <c r="M2395">
        <v>19</v>
      </c>
      <c r="N2395" t="b">
        <v>0</v>
      </c>
      <c r="O2395">
        <v>815</v>
      </c>
      <c r="P2395" t="s">
        <v>1819</v>
      </c>
      <c r="Q2395" t="s">
        <v>1753</v>
      </c>
      <c r="R2395" t="s">
        <v>1759</v>
      </c>
    </row>
    <row r="2396" spans="1:18" x14ac:dyDescent="0.25">
      <c r="A2396" t="s">
        <v>5422</v>
      </c>
      <c r="B2396" t="s">
        <v>2284</v>
      </c>
      <c r="C2396" t="s">
        <v>2338</v>
      </c>
      <c r="D2396" t="s">
        <v>5421</v>
      </c>
      <c r="E2396" s="2">
        <v>44467</v>
      </c>
      <c r="F2396">
        <v>1144</v>
      </c>
      <c r="G2396" t="s">
        <v>1746</v>
      </c>
      <c r="H2396" t="s">
        <v>1747</v>
      </c>
      <c r="I2396" t="b">
        <v>0</v>
      </c>
      <c r="J2396" t="s">
        <v>1748</v>
      </c>
      <c r="K2396" t="s">
        <v>1830</v>
      </c>
      <c r="L2396" t="s">
        <v>1775</v>
      </c>
      <c r="M2396">
        <v>19</v>
      </c>
      <c r="N2396" t="b">
        <v>0</v>
      </c>
      <c r="P2396" t="s">
        <v>2283</v>
      </c>
      <c r="Q2396" t="s">
        <v>1705</v>
      </c>
    </row>
    <row r="2397" spans="1:18" x14ac:dyDescent="0.25">
      <c r="A2397" t="s">
        <v>5423</v>
      </c>
      <c r="B2397" t="s">
        <v>1874</v>
      </c>
      <c r="C2397" t="s">
        <v>4</v>
      </c>
      <c r="D2397" t="s">
        <v>126</v>
      </c>
      <c r="E2397" s="2">
        <v>44379</v>
      </c>
      <c r="F2397">
        <v>1232</v>
      </c>
      <c r="G2397" t="s">
        <v>1746</v>
      </c>
      <c r="H2397" t="s">
        <v>1747</v>
      </c>
      <c r="I2397" t="b">
        <v>0</v>
      </c>
      <c r="J2397" t="s">
        <v>1748</v>
      </c>
      <c r="K2397" t="s">
        <v>2042</v>
      </c>
      <c r="L2397" t="s">
        <v>1750</v>
      </c>
      <c r="M2397">
        <v>19</v>
      </c>
      <c r="N2397" t="b">
        <v>1</v>
      </c>
      <c r="O2397">
        <v>30</v>
      </c>
      <c r="P2397" t="s">
        <v>1752</v>
      </c>
      <c r="Q2397" t="s">
        <v>1753</v>
      </c>
      <c r="R2397" t="s">
        <v>1759</v>
      </c>
    </row>
    <row r="2398" spans="1:18" x14ac:dyDescent="0.25">
      <c r="A2398" t="s">
        <v>5424</v>
      </c>
      <c r="B2398" t="s">
        <v>1876</v>
      </c>
      <c r="C2398" t="s">
        <v>4</v>
      </c>
      <c r="D2398" t="s">
        <v>1384</v>
      </c>
      <c r="E2398" s="2">
        <v>42676</v>
      </c>
      <c r="F2398">
        <v>2935</v>
      </c>
      <c r="G2398" t="s">
        <v>1746</v>
      </c>
      <c r="H2398" t="s">
        <v>1747</v>
      </c>
      <c r="I2398" t="b">
        <v>0</v>
      </c>
      <c r="J2398" t="s">
        <v>1748</v>
      </c>
      <c r="K2398" t="s">
        <v>1912</v>
      </c>
      <c r="L2398" t="s">
        <v>1756</v>
      </c>
      <c r="M2398">
        <v>19</v>
      </c>
      <c r="N2398" t="b">
        <v>1</v>
      </c>
      <c r="O2398">
        <v>496</v>
      </c>
      <c r="P2398" t="s">
        <v>1752</v>
      </c>
      <c r="Q2398" t="s">
        <v>1753</v>
      </c>
      <c r="R2398" t="s">
        <v>1772</v>
      </c>
    </row>
    <row r="2399" spans="1:18" x14ac:dyDescent="0.25">
      <c r="A2399" t="s">
        <v>5426</v>
      </c>
      <c r="B2399" t="s">
        <v>2085</v>
      </c>
      <c r="C2399" t="s">
        <v>4</v>
      </c>
      <c r="D2399" t="s">
        <v>5425</v>
      </c>
      <c r="E2399" s="2">
        <v>42094</v>
      </c>
      <c r="F2399">
        <v>3517</v>
      </c>
      <c r="G2399" t="s">
        <v>1746</v>
      </c>
      <c r="H2399" t="s">
        <v>1805</v>
      </c>
      <c r="I2399" t="b">
        <v>1</v>
      </c>
      <c r="J2399" t="s">
        <v>1761</v>
      </c>
      <c r="K2399" t="s">
        <v>1776</v>
      </c>
      <c r="L2399" t="s">
        <v>1750</v>
      </c>
      <c r="M2399">
        <v>19</v>
      </c>
      <c r="N2399" t="b">
        <v>1</v>
      </c>
      <c r="O2399">
        <v>182</v>
      </c>
      <c r="P2399" t="s">
        <v>1752</v>
      </c>
      <c r="Q2399" t="s">
        <v>1753</v>
      </c>
    </row>
    <row r="2400" spans="1:18" x14ac:dyDescent="0.25">
      <c r="A2400" t="s">
        <v>5428</v>
      </c>
      <c r="B2400" t="s">
        <v>2011</v>
      </c>
      <c r="C2400" t="s">
        <v>4</v>
      </c>
      <c r="D2400" t="s">
        <v>5427</v>
      </c>
      <c r="E2400" s="2">
        <v>45156</v>
      </c>
      <c r="F2400">
        <v>455</v>
      </c>
      <c r="G2400" t="s">
        <v>1746</v>
      </c>
      <c r="H2400" t="s">
        <v>1798</v>
      </c>
      <c r="I2400" t="b">
        <v>0</v>
      </c>
      <c r="J2400" t="s">
        <v>1748</v>
      </c>
      <c r="K2400" t="s">
        <v>1880</v>
      </c>
      <c r="L2400" t="s">
        <v>1766</v>
      </c>
      <c r="M2400">
        <v>19</v>
      </c>
      <c r="N2400" t="b">
        <v>0</v>
      </c>
      <c r="P2400" t="s">
        <v>2070</v>
      </c>
      <c r="Q2400" t="s">
        <v>1753</v>
      </c>
    </row>
    <row r="2401" spans="1:18" x14ac:dyDescent="0.25">
      <c r="A2401" t="s">
        <v>5430</v>
      </c>
      <c r="B2401" t="s">
        <v>1803</v>
      </c>
      <c r="C2401" t="s">
        <v>572</v>
      </c>
      <c r="D2401" t="s">
        <v>5429</v>
      </c>
      <c r="E2401" s="2">
        <v>39973</v>
      </c>
      <c r="F2401">
        <v>5638</v>
      </c>
      <c r="G2401" t="s">
        <v>1746</v>
      </c>
      <c r="H2401" t="s">
        <v>1798</v>
      </c>
      <c r="I2401" t="b">
        <v>0</v>
      </c>
      <c r="J2401" t="s">
        <v>1761</v>
      </c>
      <c r="K2401" t="s">
        <v>1853</v>
      </c>
      <c r="L2401" t="s">
        <v>1750</v>
      </c>
      <c r="M2401">
        <v>19</v>
      </c>
      <c r="N2401" t="b">
        <v>0</v>
      </c>
      <c r="O2401">
        <v>228</v>
      </c>
      <c r="P2401" t="s">
        <v>1752</v>
      </c>
      <c r="Q2401" t="s">
        <v>1753</v>
      </c>
      <c r="R2401" t="s">
        <v>1828</v>
      </c>
    </row>
    <row r="2402" spans="1:18" x14ac:dyDescent="0.25">
      <c r="A2402" t="s">
        <v>5431</v>
      </c>
      <c r="B2402" t="s">
        <v>1781</v>
      </c>
      <c r="C2402" t="s">
        <v>186</v>
      </c>
      <c r="D2402" t="s">
        <v>1465</v>
      </c>
      <c r="E2402" s="2">
        <v>38987</v>
      </c>
      <c r="F2402">
        <v>6624</v>
      </c>
      <c r="G2402" t="s">
        <v>1746</v>
      </c>
      <c r="H2402" t="s">
        <v>1747</v>
      </c>
      <c r="I2402" t="b">
        <v>0</v>
      </c>
      <c r="J2402" t="s">
        <v>1748</v>
      </c>
      <c r="K2402" t="s">
        <v>1830</v>
      </c>
      <c r="L2402" t="s">
        <v>2102</v>
      </c>
      <c r="M2402">
        <v>19</v>
      </c>
      <c r="N2402" t="b">
        <v>0</v>
      </c>
      <c r="P2402" t="s">
        <v>2070</v>
      </c>
      <c r="Q2402" t="s">
        <v>1779</v>
      </c>
    </row>
    <row r="2403" spans="1:18" x14ac:dyDescent="0.25">
      <c r="A2403" t="s">
        <v>5433</v>
      </c>
      <c r="B2403" t="s">
        <v>1704</v>
      </c>
      <c r="C2403" t="s">
        <v>1249</v>
      </c>
      <c r="D2403" t="s">
        <v>5432</v>
      </c>
      <c r="E2403" s="2">
        <v>42843</v>
      </c>
      <c r="F2403">
        <v>2768</v>
      </c>
      <c r="G2403" t="s">
        <v>1746</v>
      </c>
      <c r="H2403" t="s">
        <v>1747</v>
      </c>
      <c r="I2403" t="b">
        <v>0</v>
      </c>
      <c r="J2403" t="s">
        <v>1748</v>
      </c>
      <c r="K2403" t="s">
        <v>1823</v>
      </c>
      <c r="L2403" t="s">
        <v>2102</v>
      </c>
      <c r="M2403">
        <v>19</v>
      </c>
      <c r="N2403" t="b">
        <v>0</v>
      </c>
      <c r="P2403" t="s">
        <v>2070</v>
      </c>
      <c r="Q2403" t="s">
        <v>1779</v>
      </c>
    </row>
    <row r="2404" spans="1:18" x14ac:dyDescent="0.25">
      <c r="A2404" t="s">
        <v>5434</v>
      </c>
      <c r="B2404" t="s">
        <v>1810</v>
      </c>
      <c r="C2404" t="s">
        <v>6</v>
      </c>
      <c r="D2404" t="s">
        <v>959</v>
      </c>
      <c r="E2404" s="2">
        <v>40942</v>
      </c>
      <c r="F2404">
        <v>4669</v>
      </c>
      <c r="G2404" t="s">
        <v>1833</v>
      </c>
      <c r="H2404" t="s">
        <v>1798</v>
      </c>
      <c r="I2404" t="b">
        <v>0</v>
      </c>
      <c r="J2404" t="s">
        <v>1748</v>
      </c>
      <c r="K2404" t="s">
        <v>1757</v>
      </c>
      <c r="L2404" t="s">
        <v>1750</v>
      </c>
      <c r="M2404">
        <v>19</v>
      </c>
      <c r="N2404" t="b">
        <v>1</v>
      </c>
      <c r="O2404">
        <v>69</v>
      </c>
      <c r="P2404" t="s">
        <v>1752</v>
      </c>
      <c r="Q2404" t="s">
        <v>1753</v>
      </c>
      <c r="R2404" t="s">
        <v>1828</v>
      </c>
    </row>
    <row r="2405" spans="1:18" x14ac:dyDescent="0.25">
      <c r="A2405" t="s">
        <v>5436</v>
      </c>
      <c r="B2405" t="s">
        <v>2177</v>
      </c>
      <c r="C2405" t="s">
        <v>4</v>
      </c>
      <c r="D2405" t="s">
        <v>5435</v>
      </c>
      <c r="E2405" s="2">
        <v>45069</v>
      </c>
      <c r="F2405">
        <v>542</v>
      </c>
      <c r="G2405" t="s">
        <v>1746</v>
      </c>
      <c r="H2405" t="s">
        <v>2231</v>
      </c>
      <c r="I2405" t="b">
        <v>1</v>
      </c>
      <c r="J2405" t="s">
        <v>1748</v>
      </c>
      <c r="K2405" t="s">
        <v>1770</v>
      </c>
      <c r="L2405" t="s">
        <v>1756</v>
      </c>
      <c r="M2405">
        <v>19</v>
      </c>
      <c r="N2405" t="b">
        <v>0</v>
      </c>
      <c r="O2405">
        <v>1368</v>
      </c>
      <c r="P2405" t="s">
        <v>1752</v>
      </c>
      <c r="Q2405" t="s">
        <v>1753</v>
      </c>
      <c r="R2405" t="s">
        <v>1759</v>
      </c>
    </row>
    <row r="2406" spans="1:18" x14ac:dyDescent="0.25">
      <c r="A2406" t="s">
        <v>5437</v>
      </c>
      <c r="B2406" t="s">
        <v>2353</v>
      </c>
      <c r="C2406" t="s">
        <v>4</v>
      </c>
      <c r="D2406" t="s">
        <v>762</v>
      </c>
      <c r="E2406" s="2">
        <v>44698</v>
      </c>
      <c r="F2406">
        <v>913</v>
      </c>
      <c r="G2406" t="s">
        <v>1833</v>
      </c>
      <c r="H2406" t="s">
        <v>1798</v>
      </c>
      <c r="I2406" t="b">
        <v>0</v>
      </c>
      <c r="J2406" t="s">
        <v>1748</v>
      </c>
      <c r="K2406" t="s">
        <v>1776</v>
      </c>
      <c r="L2406" t="s">
        <v>1750</v>
      </c>
      <c r="M2406">
        <v>18</v>
      </c>
      <c r="N2406" t="b">
        <v>1</v>
      </c>
      <c r="O2406">
        <v>128</v>
      </c>
      <c r="P2406" t="s">
        <v>1752</v>
      </c>
      <c r="Q2406" t="s">
        <v>1753</v>
      </c>
    </row>
    <row r="2407" spans="1:18" x14ac:dyDescent="0.25">
      <c r="A2407" t="s">
        <v>1351</v>
      </c>
      <c r="B2407" t="s">
        <v>1781</v>
      </c>
      <c r="C2407" t="s">
        <v>4</v>
      </c>
      <c r="D2407" t="s">
        <v>1352</v>
      </c>
      <c r="E2407" s="2">
        <v>42103</v>
      </c>
      <c r="F2407">
        <v>3508</v>
      </c>
      <c r="G2407" t="s">
        <v>1746</v>
      </c>
      <c r="H2407" t="s">
        <v>1747</v>
      </c>
      <c r="I2407" t="b">
        <v>0</v>
      </c>
      <c r="J2407" t="s">
        <v>1748</v>
      </c>
      <c r="K2407" t="s">
        <v>1776</v>
      </c>
      <c r="L2407" t="s">
        <v>2102</v>
      </c>
      <c r="M2407">
        <v>18</v>
      </c>
      <c r="N2407" t="b">
        <v>0</v>
      </c>
      <c r="P2407" t="s">
        <v>2070</v>
      </c>
      <c r="Q2407" t="s">
        <v>1779</v>
      </c>
    </row>
    <row r="2408" spans="1:18" x14ac:dyDescent="0.25">
      <c r="A2408" t="s">
        <v>5439</v>
      </c>
      <c r="B2408" t="s">
        <v>2277</v>
      </c>
      <c r="C2408" t="s">
        <v>4</v>
      </c>
      <c r="D2408" t="s">
        <v>5438</v>
      </c>
      <c r="E2408" s="2">
        <v>45537</v>
      </c>
      <c r="F2408">
        <v>74</v>
      </c>
      <c r="G2408" t="s">
        <v>1746</v>
      </c>
      <c r="H2408" t="s">
        <v>1747</v>
      </c>
      <c r="I2408" t="b">
        <v>0</v>
      </c>
      <c r="J2408" t="s">
        <v>1761</v>
      </c>
      <c r="K2408" t="s">
        <v>1822</v>
      </c>
      <c r="L2408" t="s">
        <v>1750</v>
      </c>
      <c r="M2408">
        <v>18</v>
      </c>
      <c r="N2408" t="b">
        <v>0</v>
      </c>
      <c r="O2408">
        <v>276</v>
      </c>
      <c r="P2408" t="s">
        <v>1819</v>
      </c>
      <c r="Q2408" t="s">
        <v>1753</v>
      </c>
      <c r="R2408" t="s">
        <v>1759</v>
      </c>
    </row>
    <row r="2409" spans="1:18" x14ac:dyDescent="0.25">
      <c r="A2409" t="s">
        <v>5441</v>
      </c>
      <c r="B2409" t="s">
        <v>3117</v>
      </c>
      <c r="C2409" t="s">
        <v>4</v>
      </c>
      <c r="D2409" t="s">
        <v>5440</v>
      </c>
      <c r="E2409" s="2">
        <v>44494</v>
      </c>
      <c r="F2409">
        <v>1117</v>
      </c>
      <c r="G2409" t="s">
        <v>1746</v>
      </c>
      <c r="H2409" t="s">
        <v>1747</v>
      </c>
      <c r="I2409" t="b">
        <v>0</v>
      </c>
      <c r="J2409" t="s">
        <v>1748</v>
      </c>
      <c r="K2409" t="s">
        <v>2021</v>
      </c>
      <c r="L2409" t="s">
        <v>1756</v>
      </c>
      <c r="M2409">
        <v>18</v>
      </c>
      <c r="N2409" t="b">
        <v>1</v>
      </c>
      <c r="O2409">
        <v>261</v>
      </c>
      <c r="P2409" t="s">
        <v>1752</v>
      </c>
      <c r="Q2409" t="s">
        <v>1753</v>
      </c>
      <c r="R2409" t="s">
        <v>1772</v>
      </c>
    </row>
    <row r="2410" spans="1:18" x14ac:dyDescent="0.25">
      <c r="A2410" t="s">
        <v>5443</v>
      </c>
      <c r="B2410" t="s">
        <v>1803</v>
      </c>
      <c r="C2410" t="s">
        <v>4</v>
      </c>
      <c r="D2410" t="s">
        <v>5442</v>
      </c>
      <c r="E2410" s="2">
        <v>40001</v>
      </c>
      <c r="F2410">
        <v>5610</v>
      </c>
      <c r="G2410" t="s">
        <v>1746</v>
      </c>
      <c r="H2410" t="s">
        <v>1798</v>
      </c>
      <c r="I2410" t="b">
        <v>0</v>
      </c>
      <c r="J2410" t="s">
        <v>1748</v>
      </c>
      <c r="K2410" t="s">
        <v>1755</v>
      </c>
      <c r="L2410" t="s">
        <v>1766</v>
      </c>
      <c r="M2410">
        <v>18</v>
      </c>
      <c r="N2410" t="b">
        <v>0</v>
      </c>
      <c r="P2410" t="s">
        <v>1752</v>
      </c>
      <c r="Q2410" t="s">
        <v>1753</v>
      </c>
      <c r="R2410" t="s">
        <v>1828</v>
      </c>
    </row>
    <row r="2411" spans="1:18" x14ac:dyDescent="0.25">
      <c r="A2411" t="s">
        <v>5445</v>
      </c>
      <c r="B2411" t="s">
        <v>2133</v>
      </c>
      <c r="C2411" t="s">
        <v>4</v>
      </c>
      <c r="D2411" t="s">
        <v>5444</v>
      </c>
      <c r="E2411" s="2">
        <v>45112</v>
      </c>
      <c r="F2411">
        <v>499</v>
      </c>
      <c r="G2411" t="s">
        <v>1746</v>
      </c>
      <c r="H2411" t="s">
        <v>1747</v>
      </c>
      <c r="I2411" t="b">
        <v>0</v>
      </c>
      <c r="J2411" t="s">
        <v>1748</v>
      </c>
      <c r="K2411" t="s">
        <v>1776</v>
      </c>
      <c r="L2411" t="s">
        <v>1750</v>
      </c>
      <c r="M2411">
        <v>18</v>
      </c>
      <c r="N2411" t="b">
        <v>1</v>
      </c>
      <c r="O2411">
        <v>281</v>
      </c>
      <c r="P2411" t="s">
        <v>1752</v>
      </c>
      <c r="Q2411" t="s">
        <v>1753</v>
      </c>
      <c r="R2411" t="s">
        <v>1759</v>
      </c>
    </row>
    <row r="2412" spans="1:18" x14ac:dyDescent="0.25">
      <c r="A2412" t="s">
        <v>5446</v>
      </c>
      <c r="B2412" t="s">
        <v>2384</v>
      </c>
      <c r="C2412" t="s">
        <v>4</v>
      </c>
      <c r="D2412" t="s">
        <v>1280</v>
      </c>
      <c r="E2412" s="2">
        <v>44845</v>
      </c>
      <c r="F2412">
        <v>766</v>
      </c>
      <c r="G2412" t="s">
        <v>1746</v>
      </c>
      <c r="H2412" t="s">
        <v>1747</v>
      </c>
      <c r="I2412" t="b">
        <v>0</v>
      </c>
      <c r="J2412" t="s">
        <v>1748</v>
      </c>
      <c r="K2412" t="s">
        <v>1988</v>
      </c>
      <c r="L2412" t="s">
        <v>1750</v>
      </c>
      <c r="M2412">
        <v>18</v>
      </c>
      <c r="N2412" t="b">
        <v>1</v>
      </c>
      <c r="O2412">
        <v>3620</v>
      </c>
      <c r="P2412" t="s">
        <v>1752</v>
      </c>
      <c r="Q2412" t="s">
        <v>1753</v>
      </c>
      <c r="R2412" t="s">
        <v>1772</v>
      </c>
    </row>
    <row r="2413" spans="1:18" x14ac:dyDescent="0.25">
      <c r="A2413" t="s">
        <v>5447</v>
      </c>
      <c r="B2413" t="s">
        <v>1810</v>
      </c>
      <c r="C2413" t="s">
        <v>4</v>
      </c>
      <c r="D2413" t="s">
        <v>737</v>
      </c>
      <c r="E2413" s="2">
        <v>43588</v>
      </c>
      <c r="F2413">
        <v>2023</v>
      </c>
      <c r="G2413" t="s">
        <v>1746</v>
      </c>
      <c r="H2413" t="s">
        <v>1798</v>
      </c>
      <c r="I2413" t="b">
        <v>0</v>
      </c>
      <c r="J2413" t="s">
        <v>1748</v>
      </c>
      <c r="K2413" t="s">
        <v>1822</v>
      </c>
      <c r="L2413" t="s">
        <v>1817</v>
      </c>
      <c r="M2413">
        <v>18</v>
      </c>
      <c r="N2413" t="b">
        <v>0</v>
      </c>
      <c r="O2413">
        <v>301</v>
      </c>
      <c r="P2413" t="s">
        <v>1819</v>
      </c>
      <c r="Q2413" t="s">
        <v>1753</v>
      </c>
      <c r="R2413" t="s">
        <v>1828</v>
      </c>
    </row>
    <row r="2414" spans="1:18" x14ac:dyDescent="0.25">
      <c r="A2414" t="s">
        <v>5449</v>
      </c>
      <c r="B2414" t="s">
        <v>2483</v>
      </c>
      <c r="C2414" t="s">
        <v>4</v>
      </c>
      <c r="D2414" t="s">
        <v>5448</v>
      </c>
      <c r="E2414" s="2">
        <v>45195</v>
      </c>
      <c r="F2414">
        <v>416</v>
      </c>
      <c r="G2414" t="s">
        <v>1746</v>
      </c>
      <c r="H2414" t="s">
        <v>1747</v>
      </c>
      <c r="I2414" t="b">
        <v>0</v>
      </c>
      <c r="J2414" t="s">
        <v>1748</v>
      </c>
      <c r="K2414" t="s">
        <v>1809</v>
      </c>
      <c r="L2414" t="s">
        <v>1750</v>
      </c>
      <c r="M2414">
        <v>18</v>
      </c>
      <c r="N2414" t="b">
        <v>1</v>
      </c>
      <c r="O2414">
        <v>640</v>
      </c>
      <c r="P2414" t="s">
        <v>1752</v>
      </c>
      <c r="Q2414" t="s">
        <v>1753</v>
      </c>
      <c r="R2414" t="s">
        <v>1772</v>
      </c>
    </row>
    <row r="2415" spans="1:18" x14ac:dyDescent="0.25">
      <c r="A2415" t="s">
        <v>5451</v>
      </c>
      <c r="B2415" t="s">
        <v>1803</v>
      </c>
      <c r="C2415" t="s">
        <v>4</v>
      </c>
      <c r="D2415" t="s">
        <v>5450</v>
      </c>
      <c r="E2415" s="2">
        <v>41878</v>
      </c>
      <c r="F2415">
        <v>3733</v>
      </c>
      <c r="G2415" t="s">
        <v>1746</v>
      </c>
      <c r="H2415" t="s">
        <v>1798</v>
      </c>
      <c r="I2415" t="b">
        <v>1</v>
      </c>
      <c r="J2415" t="s">
        <v>1748</v>
      </c>
      <c r="K2415" t="s">
        <v>1787</v>
      </c>
      <c r="L2415" t="s">
        <v>1750</v>
      </c>
      <c r="M2415">
        <v>18</v>
      </c>
      <c r="N2415" t="b">
        <v>0</v>
      </c>
      <c r="O2415">
        <v>65</v>
      </c>
      <c r="P2415" t="s">
        <v>2266</v>
      </c>
      <c r="Q2415" t="s">
        <v>1753</v>
      </c>
      <c r="R2415" t="s">
        <v>1828</v>
      </c>
    </row>
    <row r="2416" spans="1:18" x14ac:dyDescent="0.25">
      <c r="A2416" t="s">
        <v>5452</v>
      </c>
      <c r="B2416" t="s">
        <v>1876</v>
      </c>
      <c r="C2416" t="s">
        <v>4</v>
      </c>
      <c r="D2416" t="s">
        <v>1266</v>
      </c>
      <c r="E2416" s="2">
        <v>44736</v>
      </c>
      <c r="F2416">
        <v>875</v>
      </c>
      <c r="G2416" t="s">
        <v>1746</v>
      </c>
      <c r="H2416" t="s">
        <v>1747</v>
      </c>
      <c r="I2416" t="b">
        <v>0</v>
      </c>
      <c r="J2416" t="s">
        <v>1748</v>
      </c>
      <c r="K2416" t="s">
        <v>1913</v>
      </c>
      <c r="L2416" t="s">
        <v>1750</v>
      </c>
      <c r="M2416">
        <v>18</v>
      </c>
      <c r="N2416" t="b">
        <v>1</v>
      </c>
      <c r="O2416">
        <v>25</v>
      </c>
      <c r="P2416" t="s">
        <v>1752</v>
      </c>
      <c r="Q2416" t="s">
        <v>1753</v>
      </c>
      <c r="R2416" t="s">
        <v>1759</v>
      </c>
    </row>
    <row r="2417" spans="1:18" x14ac:dyDescent="0.25">
      <c r="A2417" t="s">
        <v>5453</v>
      </c>
      <c r="B2417" t="s">
        <v>1829</v>
      </c>
      <c r="C2417" t="s">
        <v>6</v>
      </c>
      <c r="D2417" t="s">
        <v>1182</v>
      </c>
      <c r="E2417" s="2">
        <v>43039</v>
      </c>
      <c r="F2417">
        <v>2572</v>
      </c>
      <c r="G2417" t="s">
        <v>1746</v>
      </c>
      <c r="H2417" t="s">
        <v>1798</v>
      </c>
      <c r="I2417" t="b">
        <v>0</v>
      </c>
      <c r="J2417" t="s">
        <v>1761</v>
      </c>
      <c r="K2417" t="s">
        <v>1822</v>
      </c>
      <c r="L2417" t="s">
        <v>1750</v>
      </c>
      <c r="M2417">
        <v>18</v>
      </c>
      <c r="N2417" t="b">
        <v>0</v>
      </c>
      <c r="O2417">
        <v>23</v>
      </c>
      <c r="P2417" t="s">
        <v>1819</v>
      </c>
      <c r="Q2417" t="s">
        <v>1753</v>
      </c>
      <c r="R2417" t="s">
        <v>1828</v>
      </c>
    </row>
    <row r="2418" spans="1:18" x14ac:dyDescent="0.25">
      <c r="A2418" t="s">
        <v>5455</v>
      </c>
      <c r="B2418" t="s">
        <v>2150</v>
      </c>
      <c r="C2418" t="s">
        <v>4</v>
      </c>
      <c r="D2418" t="s">
        <v>5454</v>
      </c>
      <c r="E2418" s="2">
        <v>44502</v>
      </c>
      <c r="F2418">
        <v>1109</v>
      </c>
      <c r="G2418" t="s">
        <v>1746</v>
      </c>
      <c r="H2418" t="s">
        <v>1747</v>
      </c>
      <c r="I2418" t="b">
        <v>0</v>
      </c>
      <c r="J2418" t="s">
        <v>1761</v>
      </c>
      <c r="K2418" t="s">
        <v>2053</v>
      </c>
      <c r="L2418" t="s">
        <v>1750</v>
      </c>
      <c r="M2418">
        <v>18</v>
      </c>
      <c r="N2418" t="b">
        <v>0</v>
      </c>
      <c r="O2418">
        <v>99</v>
      </c>
      <c r="P2418" t="s">
        <v>1752</v>
      </c>
      <c r="Q2418" t="s">
        <v>1753</v>
      </c>
    </row>
    <row r="2419" spans="1:18" x14ac:dyDescent="0.25">
      <c r="A2419" t="s">
        <v>5457</v>
      </c>
      <c r="B2419" t="s">
        <v>2133</v>
      </c>
      <c r="C2419" t="s">
        <v>6</v>
      </c>
      <c r="D2419" t="s">
        <v>5456</v>
      </c>
      <c r="E2419" s="2">
        <v>43721</v>
      </c>
      <c r="F2419">
        <v>1890</v>
      </c>
      <c r="G2419" t="s">
        <v>1746</v>
      </c>
      <c r="H2419" t="s">
        <v>1798</v>
      </c>
      <c r="I2419" t="b">
        <v>0</v>
      </c>
      <c r="J2419" t="s">
        <v>1748</v>
      </c>
      <c r="K2419" t="s">
        <v>1824</v>
      </c>
      <c r="L2419" t="s">
        <v>1817</v>
      </c>
      <c r="M2419">
        <v>18</v>
      </c>
      <c r="N2419" t="b">
        <v>1</v>
      </c>
      <c r="O2419">
        <v>401</v>
      </c>
      <c r="P2419" t="s">
        <v>1819</v>
      </c>
      <c r="Q2419" t="s">
        <v>1753</v>
      </c>
      <c r="R2419" t="s">
        <v>1759</v>
      </c>
    </row>
    <row r="2420" spans="1:18" x14ac:dyDescent="0.25">
      <c r="A2420" t="s">
        <v>5459</v>
      </c>
      <c r="B2420" t="s">
        <v>2173</v>
      </c>
      <c r="C2420" t="s">
        <v>4</v>
      </c>
      <c r="D2420" t="s">
        <v>5458</v>
      </c>
      <c r="E2420" s="2">
        <v>44432</v>
      </c>
      <c r="F2420">
        <v>1179</v>
      </c>
      <c r="G2420" t="s">
        <v>1746</v>
      </c>
      <c r="H2420" t="s">
        <v>2231</v>
      </c>
      <c r="I2420" t="b">
        <v>0</v>
      </c>
      <c r="J2420" t="s">
        <v>1748</v>
      </c>
      <c r="K2420" t="s">
        <v>1800</v>
      </c>
      <c r="L2420" t="s">
        <v>1756</v>
      </c>
      <c r="M2420">
        <v>17</v>
      </c>
      <c r="N2420" t="b">
        <v>1</v>
      </c>
      <c r="O2420">
        <v>605</v>
      </c>
      <c r="P2420" t="s">
        <v>1819</v>
      </c>
      <c r="Q2420" t="s">
        <v>1753</v>
      </c>
      <c r="R2420" t="s">
        <v>1772</v>
      </c>
    </row>
    <row r="2421" spans="1:18" x14ac:dyDescent="0.25">
      <c r="A2421" t="s">
        <v>5460</v>
      </c>
      <c r="B2421" t="s">
        <v>1876</v>
      </c>
      <c r="C2421" t="s">
        <v>4</v>
      </c>
      <c r="D2421" t="s">
        <v>219</v>
      </c>
      <c r="E2421" s="2">
        <v>44280</v>
      </c>
      <c r="F2421">
        <v>1331</v>
      </c>
      <c r="G2421" t="s">
        <v>1833</v>
      </c>
      <c r="H2421" t="s">
        <v>1747</v>
      </c>
      <c r="I2421" t="b">
        <v>0</v>
      </c>
      <c r="J2421" t="s">
        <v>1761</v>
      </c>
      <c r="K2421" t="s">
        <v>1856</v>
      </c>
      <c r="L2421" t="s">
        <v>1750</v>
      </c>
      <c r="M2421">
        <v>17</v>
      </c>
      <c r="N2421" t="b">
        <v>1</v>
      </c>
      <c r="O2421">
        <v>158</v>
      </c>
      <c r="P2421" t="s">
        <v>1819</v>
      </c>
      <c r="Q2421" t="s">
        <v>1753</v>
      </c>
      <c r="R2421" t="s">
        <v>1772</v>
      </c>
    </row>
    <row r="2422" spans="1:18" x14ac:dyDescent="0.25">
      <c r="A2422" t="s">
        <v>5462</v>
      </c>
      <c r="B2422" t="s">
        <v>2173</v>
      </c>
      <c r="C2422" t="s">
        <v>6</v>
      </c>
      <c r="D2422" t="s">
        <v>5461</v>
      </c>
      <c r="E2422" s="2">
        <v>43798</v>
      </c>
      <c r="F2422">
        <v>1813</v>
      </c>
      <c r="G2422" t="s">
        <v>1746</v>
      </c>
      <c r="H2422" t="s">
        <v>1747</v>
      </c>
      <c r="I2422" t="b">
        <v>1</v>
      </c>
      <c r="J2422" t="s">
        <v>1748</v>
      </c>
      <c r="K2422" t="s">
        <v>1934</v>
      </c>
      <c r="L2422" t="s">
        <v>1750</v>
      </c>
      <c r="M2422">
        <v>17</v>
      </c>
      <c r="N2422" t="b">
        <v>0</v>
      </c>
      <c r="O2422">
        <v>105</v>
      </c>
      <c r="P2422" t="s">
        <v>1752</v>
      </c>
      <c r="Q2422" t="s">
        <v>1753</v>
      </c>
      <c r="R2422" t="s">
        <v>2028</v>
      </c>
    </row>
    <row r="2423" spans="1:18" x14ac:dyDescent="0.25">
      <c r="A2423" t="s">
        <v>5464</v>
      </c>
      <c r="B2423" t="s">
        <v>1803</v>
      </c>
      <c r="C2423" t="s">
        <v>572</v>
      </c>
      <c r="D2423" t="s">
        <v>5463</v>
      </c>
      <c r="E2423" s="2">
        <v>37445</v>
      </c>
      <c r="F2423">
        <v>8166</v>
      </c>
      <c r="G2423" t="s">
        <v>1746</v>
      </c>
      <c r="H2423" t="s">
        <v>1798</v>
      </c>
      <c r="I2423" t="b">
        <v>0</v>
      </c>
      <c r="J2423" t="s">
        <v>1761</v>
      </c>
      <c r="K2423" t="s">
        <v>1912</v>
      </c>
      <c r="L2423" t="s">
        <v>1750</v>
      </c>
      <c r="M2423">
        <v>17</v>
      </c>
      <c r="N2423" t="b">
        <v>0</v>
      </c>
      <c r="O2423">
        <v>11</v>
      </c>
      <c r="P2423" t="s">
        <v>1752</v>
      </c>
      <c r="Q2423" t="s">
        <v>1753</v>
      </c>
      <c r="R2423" t="s">
        <v>1828</v>
      </c>
    </row>
    <row r="2424" spans="1:18" x14ac:dyDescent="0.25">
      <c r="A2424" t="s">
        <v>5465</v>
      </c>
      <c r="B2424" t="s">
        <v>1945</v>
      </c>
      <c r="C2424" t="s">
        <v>4</v>
      </c>
      <c r="D2424" t="s">
        <v>1011</v>
      </c>
      <c r="E2424" s="2">
        <v>41722</v>
      </c>
      <c r="F2424">
        <v>3889</v>
      </c>
      <c r="G2424" t="s">
        <v>1746</v>
      </c>
      <c r="H2424" t="s">
        <v>1798</v>
      </c>
      <c r="I2424" t="b">
        <v>1</v>
      </c>
      <c r="J2424" t="s">
        <v>1748</v>
      </c>
      <c r="K2424" t="s">
        <v>1853</v>
      </c>
      <c r="L2424" t="s">
        <v>1750</v>
      </c>
      <c r="M2424">
        <v>17</v>
      </c>
      <c r="N2424" t="b">
        <v>0</v>
      </c>
      <c r="O2424">
        <v>100</v>
      </c>
      <c r="P2424" t="s">
        <v>1752</v>
      </c>
      <c r="Q2424" t="s">
        <v>1753</v>
      </c>
      <c r="R2424" t="s">
        <v>1828</v>
      </c>
    </row>
    <row r="2425" spans="1:18" x14ac:dyDescent="0.25">
      <c r="A2425" t="s">
        <v>5467</v>
      </c>
      <c r="B2425" t="s">
        <v>2483</v>
      </c>
      <c r="C2425" t="s">
        <v>4</v>
      </c>
      <c r="D2425" t="s">
        <v>5466</v>
      </c>
      <c r="E2425" s="2">
        <v>45247</v>
      </c>
      <c r="F2425">
        <v>364</v>
      </c>
      <c r="G2425" t="s">
        <v>1833</v>
      </c>
      <c r="H2425" t="s">
        <v>1747</v>
      </c>
      <c r="I2425" t="b">
        <v>0</v>
      </c>
      <c r="J2425" t="s">
        <v>1748</v>
      </c>
      <c r="K2425" t="s">
        <v>2219</v>
      </c>
      <c r="L2425" t="s">
        <v>1750</v>
      </c>
      <c r="M2425">
        <v>17</v>
      </c>
      <c r="N2425" t="b">
        <v>0</v>
      </c>
      <c r="P2425" t="s">
        <v>1752</v>
      </c>
      <c r="Q2425" t="s">
        <v>1753</v>
      </c>
    </row>
    <row r="2426" spans="1:18" x14ac:dyDescent="0.25">
      <c r="A2426" t="s">
        <v>5469</v>
      </c>
      <c r="B2426" t="s">
        <v>2133</v>
      </c>
      <c r="C2426" t="s">
        <v>4</v>
      </c>
      <c r="D2426" t="s">
        <v>5468</v>
      </c>
      <c r="E2426" s="2">
        <v>40646</v>
      </c>
      <c r="F2426">
        <v>4965</v>
      </c>
      <c r="G2426" t="s">
        <v>1746</v>
      </c>
      <c r="H2426" t="s">
        <v>1747</v>
      </c>
      <c r="I2426" t="b">
        <v>0</v>
      </c>
      <c r="J2426" t="s">
        <v>1748</v>
      </c>
      <c r="K2426" t="s">
        <v>1809</v>
      </c>
      <c r="L2426" t="s">
        <v>1775</v>
      </c>
      <c r="M2426">
        <v>17</v>
      </c>
      <c r="N2426" t="b">
        <v>0</v>
      </c>
      <c r="P2426" t="s">
        <v>1778</v>
      </c>
      <c r="Q2426" t="s">
        <v>1779</v>
      </c>
    </row>
    <row r="2427" spans="1:18" x14ac:dyDescent="0.25">
      <c r="A2427" t="s">
        <v>5470</v>
      </c>
      <c r="B2427" t="s">
        <v>2353</v>
      </c>
      <c r="C2427" t="s">
        <v>186</v>
      </c>
      <c r="D2427" t="s">
        <v>189</v>
      </c>
      <c r="E2427" s="2">
        <v>40983</v>
      </c>
      <c r="F2427">
        <v>4628</v>
      </c>
      <c r="G2427" t="s">
        <v>1746</v>
      </c>
      <c r="H2427" t="s">
        <v>1798</v>
      </c>
      <c r="I2427" t="b">
        <v>0</v>
      </c>
      <c r="J2427" t="s">
        <v>1748</v>
      </c>
      <c r="K2427" t="s">
        <v>1830</v>
      </c>
      <c r="L2427" t="s">
        <v>2102</v>
      </c>
      <c r="M2427">
        <v>17</v>
      </c>
      <c r="N2427" t="b">
        <v>0</v>
      </c>
      <c r="P2427" t="s">
        <v>1778</v>
      </c>
      <c r="Q2427" t="s">
        <v>1779</v>
      </c>
    </row>
    <row r="2428" spans="1:18" x14ac:dyDescent="0.25">
      <c r="A2428" t="s">
        <v>5471</v>
      </c>
      <c r="B2428" t="s">
        <v>2180</v>
      </c>
      <c r="C2428" t="s">
        <v>6</v>
      </c>
      <c r="D2428" t="s">
        <v>153</v>
      </c>
      <c r="E2428" s="2">
        <v>44596</v>
      </c>
      <c r="F2428">
        <v>1015</v>
      </c>
      <c r="G2428" t="s">
        <v>1746</v>
      </c>
      <c r="H2428" t="s">
        <v>1798</v>
      </c>
      <c r="I2428" t="b">
        <v>0</v>
      </c>
      <c r="J2428" t="s">
        <v>1748</v>
      </c>
      <c r="K2428" t="s">
        <v>1853</v>
      </c>
      <c r="L2428" t="s">
        <v>1750</v>
      </c>
      <c r="M2428">
        <v>17</v>
      </c>
      <c r="N2428" t="b">
        <v>1</v>
      </c>
      <c r="O2428">
        <v>40</v>
      </c>
      <c r="P2428" t="s">
        <v>1752</v>
      </c>
      <c r="Q2428" t="s">
        <v>1753</v>
      </c>
      <c r="R2428" t="s">
        <v>1759</v>
      </c>
    </row>
    <row r="2429" spans="1:18" x14ac:dyDescent="0.25">
      <c r="A2429" t="s">
        <v>5472</v>
      </c>
      <c r="B2429" t="s">
        <v>2133</v>
      </c>
      <c r="C2429" t="s">
        <v>4</v>
      </c>
      <c r="D2429" t="s">
        <v>329</v>
      </c>
      <c r="E2429" s="2">
        <v>44662</v>
      </c>
      <c r="F2429">
        <v>949</v>
      </c>
      <c r="G2429" t="s">
        <v>1746</v>
      </c>
      <c r="H2429" t="s">
        <v>1747</v>
      </c>
      <c r="I2429" t="b">
        <v>0</v>
      </c>
      <c r="J2429" t="s">
        <v>1748</v>
      </c>
      <c r="K2429" t="s">
        <v>1776</v>
      </c>
      <c r="L2429" t="s">
        <v>1750</v>
      </c>
      <c r="M2429">
        <v>17</v>
      </c>
      <c r="N2429" t="b">
        <v>1</v>
      </c>
      <c r="O2429">
        <v>325</v>
      </c>
      <c r="P2429" t="s">
        <v>1752</v>
      </c>
      <c r="Q2429" t="s">
        <v>1753</v>
      </c>
      <c r="R2429" t="s">
        <v>2028</v>
      </c>
    </row>
    <row r="2430" spans="1:18" x14ac:dyDescent="0.25">
      <c r="A2430" t="s">
        <v>5474</v>
      </c>
      <c r="B2430" t="s">
        <v>3294</v>
      </c>
      <c r="C2430" t="s">
        <v>4</v>
      </c>
      <c r="D2430" t="s">
        <v>5473</v>
      </c>
      <c r="E2430" s="2">
        <v>45209</v>
      </c>
      <c r="F2430">
        <v>402</v>
      </c>
      <c r="G2430" t="s">
        <v>1746</v>
      </c>
      <c r="H2430" t="s">
        <v>1747</v>
      </c>
      <c r="I2430" t="b">
        <v>0</v>
      </c>
      <c r="J2430" t="s">
        <v>1748</v>
      </c>
      <c r="K2430" t="s">
        <v>1755</v>
      </c>
      <c r="L2430" t="s">
        <v>1756</v>
      </c>
      <c r="M2430">
        <v>17</v>
      </c>
      <c r="N2430" t="b">
        <v>1</v>
      </c>
      <c r="O2430">
        <v>456</v>
      </c>
      <c r="P2430" t="s">
        <v>1752</v>
      </c>
      <c r="Q2430" t="s">
        <v>1753</v>
      </c>
    </row>
    <row r="2431" spans="1:18" x14ac:dyDescent="0.25">
      <c r="A2431" t="s">
        <v>5476</v>
      </c>
      <c r="B2431" t="s">
        <v>2085</v>
      </c>
      <c r="C2431" t="s">
        <v>4</v>
      </c>
      <c r="D2431" t="s">
        <v>5475</v>
      </c>
      <c r="E2431" s="2">
        <v>43152</v>
      </c>
      <c r="F2431">
        <v>2459</v>
      </c>
      <c r="G2431" t="s">
        <v>1746</v>
      </c>
      <c r="H2431" t="s">
        <v>1747</v>
      </c>
      <c r="I2431" t="b">
        <v>1</v>
      </c>
      <c r="J2431" t="s">
        <v>1761</v>
      </c>
      <c r="K2431" t="s">
        <v>1755</v>
      </c>
      <c r="L2431" t="s">
        <v>1756</v>
      </c>
      <c r="M2431">
        <v>17</v>
      </c>
      <c r="N2431" t="b">
        <v>0</v>
      </c>
      <c r="O2431">
        <v>125</v>
      </c>
      <c r="P2431" t="s">
        <v>1752</v>
      </c>
      <c r="Q2431" t="s">
        <v>1753</v>
      </c>
    </row>
    <row r="2432" spans="1:18" x14ac:dyDescent="0.25">
      <c r="A2432" t="s">
        <v>5478</v>
      </c>
      <c r="B2432" t="s">
        <v>1907</v>
      </c>
      <c r="C2432" t="s">
        <v>6</v>
      </c>
      <c r="D2432" t="s">
        <v>5477</v>
      </c>
      <c r="E2432" s="2">
        <v>44077</v>
      </c>
      <c r="F2432">
        <v>1534</v>
      </c>
      <c r="G2432" t="s">
        <v>1746</v>
      </c>
      <c r="H2432" t="s">
        <v>1798</v>
      </c>
      <c r="I2432" t="b">
        <v>0</v>
      </c>
      <c r="J2432" t="s">
        <v>1761</v>
      </c>
      <c r="K2432" t="s">
        <v>1853</v>
      </c>
      <c r="L2432" t="s">
        <v>1766</v>
      </c>
      <c r="M2432">
        <v>17</v>
      </c>
      <c r="N2432" t="b">
        <v>0</v>
      </c>
      <c r="P2432" t="s">
        <v>1752</v>
      </c>
      <c r="Q2432" t="s">
        <v>1753</v>
      </c>
      <c r="R2432" t="s">
        <v>1828</v>
      </c>
    </row>
    <row r="2433" spans="1:18" x14ac:dyDescent="0.25">
      <c r="A2433" t="s">
        <v>5479</v>
      </c>
      <c r="B2433" t="s">
        <v>1876</v>
      </c>
      <c r="C2433" t="s">
        <v>4</v>
      </c>
      <c r="D2433" t="s">
        <v>183</v>
      </c>
      <c r="E2433" s="2">
        <v>44112</v>
      </c>
      <c r="F2433">
        <v>1499</v>
      </c>
      <c r="G2433" t="s">
        <v>1833</v>
      </c>
      <c r="H2433" t="s">
        <v>1747</v>
      </c>
      <c r="I2433" t="b">
        <v>0</v>
      </c>
      <c r="J2433" t="s">
        <v>1748</v>
      </c>
      <c r="K2433" t="s">
        <v>1906</v>
      </c>
      <c r="L2433" t="s">
        <v>1750</v>
      </c>
      <c r="M2433">
        <v>17</v>
      </c>
      <c r="N2433" t="b">
        <v>0</v>
      </c>
      <c r="O2433">
        <v>58</v>
      </c>
      <c r="P2433" t="s">
        <v>1752</v>
      </c>
      <c r="Q2433" t="s">
        <v>1753</v>
      </c>
      <c r="R2433" t="s">
        <v>1759</v>
      </c>
    </row>
    <row r="2434" spans="1:18" x14ac:dyDescent="0.25">
      <c r="A2434" t="s">
        <v>5480</v>
      </c>
      <c r="B2434" t="s">
        <v>1860</v>
      </c>
      <c r="C2434" t="s">
        <v>4</v>
      </c>
      <c r="D2434" t="s">
        <v>1700</v>
      </c>
      <c r="E2434" s="2">
        <v>44371</v>
      </c>
      <c r="F2434">
        <v>1240</v>
      </c>
      <c r="G2434" t="s">
        <v>1746</v>
      </c>
      <c r="H2434" t="s">
        <v>1747</v>
      </c>
      <c r="I2434" t="b">
        <v>0</v>
      </c>
      <c r="J2434" t="s">
        <v>1748</v>
      </c>
      <c r="K2434" t="s">
        <v>1776</v>
      </c>
      <c r="L2434" t="s">
        <v>1756</v>
      </c>
      <c r="M2434">
        <v>17</v>
      </c>
      <c r="N2434" t="b">
        <v>1</v>
      </c>
      <c r="O2434">
        <v>263</v>
      </c>
      <c r="P2434" t="s">
        <v>1819</v>
      </c>
      <c r="Q2434" t="s">
        <v>1753</v>
      </c>
      <c r="R2434" t="s">
        <v>1759</v>
      </c>
    </row>
    <row r="2435" spans="1:18" x14ac:dyDescent="0.25">
      <c r="A2435" t="s">
        <v>5482</v>
      </c>
      <c r="B2435" t="s">
        <v>2133</v>
      </c>
      <c r="C2435" t="s">
        <v>4</v>
      </c>
      <c r="D2435" t="s">
        <v>5481</v>
      </c>
      <c r="E2435" s="2">
        <v>44649</v>
      </c>
      <c r="F2435">
        <v>962</v>
      </c>
      <c r="G2435" t="s">
        <v>1833</v>
      </c>
      <c r="H2435" t="s">
        <v>1747</v>
      </c>
      <c r="I2435" t="b">
        <v>0</v>
      </c>
      <c r="J2435" t="s">
        <v>1761</v>
      </c>
      <c r="K2435" t="s">
        <v>1776</v>
      </c>
      <c r="L2435" t="s">
        <v>1750</v>
      </c>
      <c r="M2435">
        <v>17</v>
      </c>
      <c r="N2435" t="b">
        <v>1</v>
      </c>
      <c r="O2435">
        <v>128</v>
      </c>
      <c r="P2435" t="s">
        <v>1752</v>
      </c>
      <c r="Q2435" t="s">
        <v>1753</v>
      </c>
    </row>
    <row r="2436" spans="1:18" x14ac:dyDescent="0.25">
      <c r="A2436" t="s">
        <v>5483</v>
      </c>
      <c r="B2436" t="s">
        <v>2353</v>
      </c>
      <c r="C2436" t="s">
        <v>186</v>
      </c>
      <c r="D2436" t="s">
        <v>187</v>
      </c>
      <c r="E2436" s="2">
        <v>41096</v>
      </c>
      <c r="F2436">
        <v>4515</v>
      </c>
      <c r="G2436" t="s">
        <v>1746</v>
      </c>
      <c r="H2436" t="s">
        <v>1798</v>
      </c>
      <c r="I2436" t="b">
        <v>0</v>
      </c>
      <c r="J2436" t="s">
        <v>1748</v>
      </c>
      <c r="K2436" t="s">
        <v>1830</v>
      </c>
      <c r="L2436" t="s">
        <v>2102</v>
      </c>
      <c r="M2436">
        <v>17</v>
      </c>
      <c r="N2436" t="b">
        <v>0</v>
      </c>
      <c r="P2436" t="s">
        <v>2070</v>
      </c>
      <c r="Q2436" t="s">
        <v>1779</v>
      </c>
    </row>
    <row r="2437" spans="1:18" x14ac:dyDescent="0.25">
      <c r="A2437" t="s">
        <v>5484</v>
      </c>
      <c r="B2437" t="s">
        <v>1876</v>
      </c>
      <c r="C2437" t="s">
        <v>4</v>
      </c>
      <c r="D2437" t="s">
        <v>769</v>
      </c>
      <c r="E2437" s="2">
        <v>43440</v>
      </c>
      <c r="F2437">
        <v>2171</v>
      </c>
      <c r="G2437" t="s">
        <v>1833</v>
      </c>
      <c r="H2437" t="s">
        <v>1747</v>
      </c>
      <c r="I2437" t="b">
        <v>0</v>
      </c>
      <c r="J2437" t="s">
        <v>1748</v>
      </c>
      <c r="K2437" t="s">
        <v>1809</v>
      </c>
      <c r="L2437" t="s">
        <v>1817</v>
      </c>
      <c r="M2437">
        <v>17</v>
      </c>
      <c r="N2437" t="b">
        <v>1</v>
      </c>
      <c r="O2437">
        <v>334</v>
      </c>
      <c r="P2437" t="s">
        <v>1819</v>
      </c>
      <c r="Q2437" t="s">
        <v>1753</v>
      </c>
      <c r="R2437" t="s">
        <v>1759</v>
      </c>
    </row>
    <row r="2438" spans="1:18" x14ac:dyDescent="0.25">
      <c r="A2438" t="s">
        <v>5486</v>
      </c>
      <c r="B2438" t="s">
        <v>2585</v>
      </c>
      <c r="C2438" t="s">
        <v>4</v>
      </c>
      <c r="D2438" t="s">
        <v>5485</v>
      </c>
      <c r="E2438" s="2">
        <v>44350</v>
      </c>
      <c r="F2438">
        <v>1261</v>
      </c>
      <c r="G2438" t="s">
        <v>1746</v>
      </c>
      <c r="H2438" t="s">
        <v>1747</v>
      </c>
      <c r="I2438" t="b">
        <v>0</v>
      </c>
      <c r="J2438" t="s">
        <v>1761</v>
      </c>
      <c r="K2438" t="s">
        <v>1856</v>
      </c>
      <c r="L2438" t="s">
        <v>1750</v>
      </c>
      <c r="M2438">
        <v>17</v>
      </c>
      <c r="N2438" t="b">
        <v>1</v>
      </c>
      <c r="O2438">
        <v>94</v>
      </c>
      <c r="P2438" t="s">
        <v>1752</v>
      </c>
      <c r="Q2438" t="s">
        <v>1753</v>
      </c>
      <c r="R2438" t="s">
        <v>1759</v>
      </c>
    </row>
    <row r="2439" spans="1:18" x14ac:dyDescent="0.25">
      <c r="A2439" t="s">
        <v>5488</v>
      </c>
      <c r="B2439" t="s">
        <v>1876</v>
      </c>
      <c r="C2439" t="s">
        <v>4</v>
      </c>
      <c r="D2439" t="s">
        <v>5487</v>
      </c>
      <c r="E2439" s="2">
        <v>45155</v>
      </c>
      <c r="F2439">
        <v>456</v>
      </c>
      <c r="G2439" t="s">
        <v>1746</v>
      </c>
      <c r="H2439" t="s">
        <v>1747</v>
      </c>
      <c r="I2439" t="b">
        <v>0</v>
      </c>
      <c r="J2439" t="s">
        <v>1748</v>
      </c>
      <c r="K2439" t="s">
        <v>1856</v>
      </c>
      <c r="L2439" t="s">
        <v>1750</v>
      </c>
      <c r="M2439">
        <v>17</v>
      </c>
      <c r="N2439" t="b">
        <v>1</v>
      </c>
      <c r="O2439">
        <v>90</v>
      </c>
      <c r="P2439" t="s">
        <v>1752</v>
      </c>
      <c r="Q2439" t="s">
        <v>1753</v>
      </c>
    </row>
    <row r="2440" spans="1:18" x14ac:dyDescent="0.25">
      <c r="A2440" t="s">
        <v>5489</v>
      </c>
      <c r="B2440" t="s">
        <v>1876</v>
      </c>
      <c r="C2440" t="s">
        <v>4</v>
      </c>
      <c r="D2440" t="s">
        <v>515</v>
      </c>
      <c r="E2440" s="2">
        <v>43054</v>
      </c>
      <c r="F2440">
        <v>2557</v>
      </c>
      <c r="G2440" t="s">
        <v>1746</v>
      </c>
      <c r="H2440" t="s">
        <v>1747</v>
      </c>
      <c r="I2440" t="b">
        <v>1</v>
      </c>
      <c r="J2440" t="s">
        <v>1761</v>
      </c>
      <c r="K2440" t="s">
        <v>1822</v>
      </c>
      <c r="L2440" t="s">
        <v>1817</v>
      </c>
      <c r="M2440">
        <v>17</v>
      </c>
      <c r="N2440" t="b">
        <v>0</v>
      </c>
      <c r="O2440">
        <v>1069</v>
      </c>
      <c r="P2440" t="s">
        <v>1819</v>
      </c>
      <c r="Q2440" t="s">
        <v>1753</v>
      </c>
      <c r="R2440" t="s">
        <v>1759</v>
      </c>
    </row>
    <row r="2441" spans="1:18" x14ac:dyDescent="0.25">
      <c r="A2441" t="s">
        <v>5491</v>
      </c>
      <c r="B2441" t="s">
        <v>2342</v>
      </c>
      <c r="C2441" t="s">
        <v>6</v>
      </c>
      <c r="D2441" t="s">
        <v>5490</v>
      </c>
      <c r="E2441" s="2">
        <v>42976</v>
      </c>
      <c r="F2441">
        <v>2635</v>
      </c>
      <c r="G2441" t="s">
        <v>1746</v>
      </c>
      <c r="H2441" t="s">
        <v>1798</v>
      </c>
      <c r="I2441" t="b">
        <v>0</v>
      </c>
      <c r="J2441" t="s">
        <v>1748</v>
      </c>
      <c r="K2441" t="s">
        <v>1922</v>
      </c>
      <c r="L2441" t="s">
        <v>1766</v>
      </c>
      <c r="M2441">
        <v>17</v>
      </c>
      <c r="N2441" t="b">
        <v>1</v>
      </c>
      <c r="P2441" t="s">
        <v>1752</v>
      </c>
      <c r="Q2441" t="s">
        <v>1753</v>
      </c>
      <c r="R2441" t="s">
        <v>1828</v>
      </c>
    </row>
    <row r="2442" spans="1:18" x14ac:dyDescent="0.25">
      <c r="A2442" t="s">
        <v>5493</v>
      </c>
      <c r="B2442" t="s">
        <v>2662</v>
      </c>
      <c r="C2442" t="s">
        <v>4</v>
      </c>
      <c r="D2442" t="s">
        <v>5492</v>
      </c>
      <c r="E2442" s="2">
        <v>44312</v>
      </c>
      <c r="F2442">
        <v>1299</v>
      </c>
      <c r="G2442" t="s">
        <v>1746</v>
      </c>
      <c r="H2442" t="s">
        <v>1747</v>
      </c>
      <c r="I2442" t="b">
        <v>0</v>
      </c>
      <c r="J2442" t="s">
        <v>1761</v>
      </c>
      <c r="K2442" t="s">
        <v>1776</v>
      </c>
      <c r="L2442" t="s">
        <v>1817</v>
      </c>
      <c r="M2442">
        <v>17</v>
      </c>
      <c r="N2442" t="b">
        <v>0</v>
      </c>
      <c r="O2442">
        <v>28</v>
      </c>
      <c r="P2442" t="s">
        <v>1819</v>
      </c>
      <c r="Q2442" t="s">
        <v>1753</v>
      </c>
    </row>
    <row r="2443" spans="1:18" x14ac:dyDescent="0.25">
      <c r="A2443" t="s">
        <v>5494</v>
      </c>
      <c r="B2443" t="s">
        <v>2997</v>
      </c>
      <c r="C2443" t="s">
        <v>4</v>
      </c>
      <c r="D2443" t="s">
        <v>1116</v>
      </c>
      <c r="E2443" s="2">
        <v>44454</v>
      </c>
      <c r="F2443">
        <v>1157</v>
      </c>
      <c r="G2443" t="s">
        <v>1746</v>
      </c>
      <c r="H2443" t="s">
        <v>1798</v>
      </c>
      <c r="I2443" t="b">
        <v>0</v>
      </c>
      <c r="J2443" t="s">
        <v>1761</v>
      </c>
      <c r="K2443" t="s">
        <v>1787</v>
      </c>
      <c r="L2443" t="s">
        <v>1750</v>
      </c>
      <c r="M2443">
        <v>17</v>
      </c>
      <c r="N2443" t="b">
        <v>1</v>
      </c>
      <c r="O2443">
        <v>96</v>
      </c>
      <c r="P2443" t="s">
        <v>1752</v>
      </c>
      <c r="Q2443" t="s">
        <v>1753</v>
      </c>
      <c r="R2443" t="s">
        <v>1759</v>
      </c>
    </row>
    <row r="2444" spans="1:18" x14ac:dyDescent="0.25">
      <c r="A2444" t="s">
        <v>5495</v>
      </c>
      <c r="B2444" t="s">
        <v>1781</v>
      </c>
      <c r="C2444" t="s">
        <v>186</v>
      </c>
      <c r="D2444" t="s">
        <v>1414</v>
      </c>
      <c r="E2444" s="2">
        <v>38987</v>
      </c>
      <c r="F2444">
        <v>6624</v>
      </c>
      <c r="G2444" t="s">
        <v>1746</v>
      </c>
      <c r="H2444" t="s">
        <v>1747</v>
      </c>
      <c r="I2444" t="b">
        <v>0</v>
      </c>
      <c r="J2444" t="s">
        <v>1748</v>
      </c>
      <c r="K2444" t="s">
        <v>1830</v>
      </c>
      <c r="L2444" t="s">
        <v>2102</v>
      </c>
      <c r="M2444">
        <v>17</v>
      </c>
      <c r="N2444" t="b">
        <v>0</v>
      </c>
      <c r="P2444" t="s">
        <v>2070</v>
      </c>
      <c r="Q2444" t="s">
        <v>1779</v>
      </c>
    </row>
    <row r="2445" spans="1:18" x14ac:dyDescent="0.25">
      <c r="A2445" t="s">
        <v>5497</v>
      </c>
      <c r="B2445" t="s">
        <v>2284</v>
      </c>
      <c r="C2445" t="s">
        <v>186</v>
      </c>
      <c r="D2445" t="s">
        <v>5496</v>
      </c>
      <c r="E2445" s="2">
        <v>44522</v>
      </c>
      <c r="F2445">
        <v>1089</v>
      </c>
      <c r="G2445" t="s">
        <v>1746</v>
      </c>
      <c r="H2445" t="s">
        <v>1747</v>
      </c>
      <c r="I2445" t="b">
        <v>0</v>
      </c>
      <c r="J2445" t="s">
        <v>1748</v>
      </c>
      <c r="K2445" t="s">
        <v>1751</v>
      </c>
      <c r="L2445" t="s">
        <v>1775</v>
      </c>
      <c r="M2445">
        <v>17</v>
      </c>
      <c r="N2445" t="b">
        <v>0</v>
      </c>
      <c r="P2445" t="s">
        <v>2283</v>
      </c>
      <c r="Q2445" t="s">
        <v>1705</v>
      </c>
    </row>
    <row r="2446" spans="1:18" x14ac:dyDescent="0.25">
      <c r="A2446" t="s">
        <v>5498</v>
      </c>
      <c r="B2446" t="s">
        <v>1876</v>
      </c>
      <c r="C2446" t="s">
        <v>4</v>
      </c>
      <c r="D2446" t="s">
        <v>484</v>
      </c>
      <c r="E2446" s="2">
        <v>44686</v>
      </c>
      <c r="F2446">
        <v>925</v>
      </c>
      <c r="G2446" t="s">
        <v>1746</v>
      </c>
      <c r="H2446" t="s">
        <v>1747</v>
      </c>
      <c r="I2446" t="b">
        <v>0</v>
      </c>
      <c r="J2446" t="s">
        <v>1748</v>
      </c>
      <c r="K2446" t="s">
        <v>1880</v>
      </c>
      <c r="L2446" t="s">
        <v>1766</v>
      </c>
      <c r="M2446">
        <v>17</v>
      </c>
      <c r="N2446" t="b">
        <v>0</v>
      </c>
      <c r="P2446" t="s">
        <v>1752</v>
      </c>
      <c r="Q2446" t="s">
        <v>1753</v>
      </c>
    </row>
    <row r="2447" spans="1:18" x14ac:dyDescent="0.25">
      <c r="A2447" t="s">
        <v>5500</v>
      </c>
      <c r="B2447" t="s">
        <v>2335</v>
      </c>
      <c r="C2447" t="s">
        <v>6</v>
      </c>
      <c r="D2447" t="s">
        <v>5499</v>
      </c>
      <c r="E2447" s="2">
        <v>45098</v>
      </c>
      <c r="F2447">
        <v>513</v>
      </c>
      <c r="G2447" t="s">
        <v>1746</v>
      </c>
      <c r="H2447" t="s">
        <v>1798</v>
      </c>
      <c r="I2447" t="b">
        <v>0</v>
      </c>
      <c r="J2447" t="s">
        <v>1761</v>
      </c>
      <c r="K2447" t="s">
        <v>1922</v>
      </c>
      <c r="L2447" t="s">
        <v>1750</v>
      </c>
      <c r="M2447">
        <v>17</v>
      </c>
      <c r="N2447" t="b">
        <v>1</v>
      </c>
      <c r="O2447">
        <v>99</v>
      </c>
      <c r="P2447" t="s">
        <v>1752</v>
      </c>
      <c r="Q2447" t="s">
        <v>1753</v>
      </c>
      <c r="R2447" t="s">
        <v>1828</v>
      </c>
    </row>
    <row r="2448" spans="1:18" x14ac:dyDescent="0.25">
      <c r="A2448" t="s">
        <v>5502</v>
      </c>
      <c r="B2448" t="s">
        <v>1907</v>
      </c>
      <c r="C2448" t="s">
        <v>6</v>
      </c>
      <c r="D2448" t="s">
        <v>5501</v>
      </c>
      <c r="E2448" s="2">
        <v>44014</v>
      </c>
      <c r="F2448">
        <v>1597</v>
      </c>
      <c r="G2448" t="s">
        <v>1746</v>
      </c>
      <c r="H2448" t="s">
        <v>1798</v>
      </c>
      <c r="I2448" t="b">
        <v>0</v>
      </c>
      <c r="J2448" t="s">
        <v>1761</v>
      </c>
      <c r="K2448" t="s">
        <v>1853</v>
      </c>
      <c r="L2448" t="s">
        <v>1766</v>
      </c>
      <c r="M2448">
        <v>17</v>
      </c>
      <c r="N2448" t="b">
        <v>0</v>
      </c>
      <c r="P2448" t="s">
        <v>1752</v>
      </c>
      <c r="Q2448" t="s">
        <v>1753</v>
      </c>
      <c r="R2448" t="s">
        <v>1828</v>
      </c>
    </row>
    <row r="2449" spans="1:18" x14ac:dyDescent="0.25">
      <c r="A2449" t="s">
        <v>5504</v>
      </c>
      <c r="B2449" t="s">
        <v>2871</v>
      </c>
      <c r="C2449" t="s">
        <v>6</v>
      </c>
      <c r="D2449" t="s">
        <v>5503</v>
      </c>
      <c r="E2449" s="2">
        <v>42123</v>
      </c>
      <c r="F2449">
        <v>3488</v>
      </c>
      <c r="G2449" t="s">
        <v>1746</v>
      </c>
      <c r="H2449" t="s">
        <v>1747</v>
      </c>
      <c r="I2449" t="b">
        <v>0</v>
      </c>
      <c r="J2449" t="s">
        <v>1761</v>
      </c>
      <c r="K2449" t="s">
        <v>1774</v>
      </c>
      <c r="L2449" t="s">
        <v>1766</v>
      </c>
      <c r="M2449">
        <v>16</v>
      </c>
      <c r="N2449" t="b">
        <v>0</v>
      </c>
      <c r="P2449" t="s">
        <v>1752</v>
      </c>
      <c r="Q2449" t="s">
        <v>1753</v>
      </c>
      <c r="R2449" t="s">
        <v>2028</v>
      </c>
    </row>
    <row r="2450" spans="1:18" x14ac:dyDescent="0.25">
      <c r="A2450" t="s">
        <v>5506</v>
      </c>
      <c r="B2450" t="s">
        <v>1785</v>
      </c>
      <c r="C2450" t="s">
        <v>6</v>
      </c>
      <c r="D2450" t="s">
        <v>5505</v>
      </c>
      <c r="E2450" s="2">
        <v>40805</v>
      </c>
      <c r="F2450">
        <v>4806</v>
      </c>
      <c r="G2450" t="s">
        <v>1746</v>
      </c>
      <c r="H2450" t="s">
        <v>1747</v>
      </c>
      <c r="I2450" t="b">
        <v>0</v>
      </c>
      <c r="J2450" t="s">
        <v>1748</v>
      </c>
      <c r="K2450" t="s">
        <v>2219</v>
      </c>
      <c r="L2450" t="s">
        <v>1766</v>
      </c>
      <c r="M2450">
        <v>16</v>
      </c>
      <c r="N2450" t="b">
        <v>0</v>
      </c>
      <c r="P2450" t="s">
        <v>1752</v>
      </c>
      <c r="Q2450" t="s">
        <v>1753</v>
      </c>
    </row>
    <row r="2451" spans="1:18" x14ac:dyDescent="0.25">
      <c r="A2451" t="s">
        <v>5508</v>
      </c>
      <c r="B2451" t="s">
        <v>1803</v>
      </c>
      <c r="C2451" t="s">
        <v>4</v>
      </c>
      <c r="D2451" t="s">
        <v>5507</v>
      </c>
      <c r="E2451" s="2">
        <v>40001</v>
      </c>
      <c r="F2451">
        <v>5610</v>
      </c>
      <c r="G2451" t="s">
        <v>1746</v>
      </c>
      <c r="H2451" t="s">
        <v>1798</v>
      </c>
      <c r="I2451" t="b">
        <v>0</v>
      </c>
      <c r="J2451" t="s">
        <v>1748</v>
      </c>
      <c r="K2451" t="s">
        <v>1755</v>
      </c>
      <c r="L2451" t="s">
        <v>1766</v>
      </c>
      <c r="M2451">
        <v>16</v>
      </c>
      <c r="N2451" t="b">
        <v>0</v>
      </c>
      <c r="P2451" t="s">
        <v>1752</v>
      </c>
      <c r="Q2451" t="s">
        <v>1753</v>
      </c>
      <c r="R2451" t="s">
        <v>1828</v>
      </c>
    </row>
    <row r="2452" spans="1:18" x14ac:dyDescent="0.25">
      <c r="A2452" t="s">
        <v>5509</v>
      </c>
      <c r="B2452" t="s">
        <v>1768</v>
      </c>
      <c r="C2452" t="s">
        <v>4</v>
      </c>
      <c r="D2452" t="s">
        <v>817</v>
      </c>
      <c r="E2452" s="2">
        <v>43123</v>
      </c>
      <c r="F2452">
        <v>2488</v>
      </c>
      <c r="G2452" t="s">
        <v>1746</v>
      </c>
      <c r="H2452" t="s">
        <v>1747</v>
      </c>
      <c r="I2452" t="b">
        <v>0</v>
      </c>
      <c r="J2452" t="s">
        <v>1748</v>
      </c>
      <c r="K2452" t="s">
        <v>1830</v>
      </c>
      <c r="L2452" t="s">
        <v>1750</v>
      </c>
      <c r="M2452">
        <v>16</v>
      </c>
      <c r="N2452" t="b">
        <v>0</v>
      </c>
      <c r="O2452">
        <v>37</v>
      </c>
      <c r="P2452" t="s">
        <v>1752</v>
      </c>
      <c r="Q2452" t="s">
        <v>1753</v>
      </c>
      <c r="R2452" t="s">
        <v>1759</v>
      </c>
    </row>
    <row r="2453" spans="1:18" x14ac:dyDescent="0.25">
      <c r="A2453" t="s">
        <v>5511</v>
      </c>
      <c r="B2453" t="s">
        <v>2173</v>
      </c>
      <c r="C2453" t="s">
        <v>6</v>
      </c>
      <c r="D2453" t="s">
        <v>5510</v>
      </c>
      <c r="E2453" s="2">
        <v>45245</v>
      </c>
      <c r="F2453">
        <v>366</v>
      </c>
      <c r="G2453" t="s">
        <v>1746</v>
      </c>
      <c r="H2453" t="s">
        <v>1747</v>
      </c>
      <c r="I2453" t="b">
        <v>1</v>
      </c>
      <c r="J2453" t="s">
        <v>1761</v>
      </c>
      <c r="K2453" t="s">
        <v>1891</v>
      </c>
      <c r="L2453" t="s">
        <v>1750</v>
      </c>
      <c r="M2453">
        <v>16</v>
      </c>
      <c r="N2453" t="b">
        <v>0</v>
      </c>
      <c r="O2453">
        <v>77</v>
      </c>
      <c r="P2453" t="s">
        <v>1752</v>
      </c>
      <c r="Q2453" t="s">
        <v>1753</v>
      </c>
    </row>
    <row r="2454" spans="1:18" x14ac:dyDescent="0.25">
      <c r="A2454" t="s">
        <v>5512</v>
      </c>
      <c r="B2454" t="s">
        <v>2071</v>
      </c>
      <c r="C2454" t="s">
        <v>6</v>
      </c>
      <c r="D2454" t="s">
        <v>851</v>
      </c>
      <c r="E2454" s="2">
        <v>44368</v>
      </c>
      <c r="F2454">
        <v>1243</v>
      </c>
      <c r="G2454" t="s">
        <v>1746</v>
      </c>
      <c r="H2454" t="s">
        <v>1747</v>
      </c>
      <c r="I2454" t="b">
        <v>0</v>
      </c>
      <c r="J2454" t="s">
        <v>1748</v>
      </c>
      <c r="K2454" t="s">
        <v>1934</v>
      </c>
      <c r="L2454" t="s">
        <v>1817</v>
      </c>
      <c r="M2454">
        <v>16</v>
      </c>
      <c r="N2454" t="b">
        <v>1</v>
      </c>
      <c r="O2454">
        <v>2261</v>
      </c>
      <c r="P2454" t="s">
        <v>1819</v>
      </c>
      <c r="Q2454" t="s">
        <v>1753</v>
      </c>
      <c r="R2454" t="s">
        <v>1759</v>
      </c>
    </row>
    <row r="2455" spans="1:18" x14ac:dyDescent="0.25">
      <c r="A2455" t="s">
        <v>5514</v>
      </c>
      <c r="B2455" t="s">
        <v>2150</v>
      </c>
      <c r="C2455" t="s">
        <v>4</v>
      </c>
      <c r="D2455" t="s">
        <v>5513</v>
      </c>
      <c r="E2455" s="2">
        <v>45433</v>
      </c>
      <c r="F2455">
        <v>178</v>
      </c>
      <c r="G2455" t="s">
        <v>1746</v>
      </c>
      <c r="H2455" t="s">
        <v>1747</v>
      </c>
      <c r="I2455" t="b">
        <v>1</v>
      </c>
      <c r="J2455" t="s">
        <v>1748</v>
      </c>
      <c r="K2455" t="s">
        <v>1822</v>
      </c>
      <c r="L2455" t="s">
        <v>1817</v>
      </c>
      <c r="M2455">
        <v>16</v>
      </c>
      <c r="N2455" t="b">
        <v>1</v>
      </c>
      <c r="O2455">
        <v>361</v>
      </c>
      <c r="P2455" t="s">
        <v>1819</v>
      </c>
      <c r="Q2455" t="s">
        <v>1753</v>
      </c>
      <c r="R2455" t="s">
        <v>1759</v>
      </c>
    </row>
    <row r="2456" spans="1:18" x14ac:dyDescent="0.25">
      <c r="A2456" t="s">
        <v>5516</v>
      </c>
      <c r="B2456" t="s">
        <v>2173</v>
      </c>
      <c r="C2456" t="s">
        <v>6</v>
      </c>
      <c r="D2456" t="s">
        <v>5515</v>
      </c>
      <c r="E2456" s="2">
        <v>42332</v>
      </c>
      <c r="F2456">
        <v>3279</v>
      </c>
      <c r="G2456" t="s">
        <v>1746</v>
      </c>
      <c r="H2456" t="s">
        <v>2231</v>
      </c>
      <c r="I2456" t="b">
        <v>0</v>
      </c>
      <c r="J2456" t="s">
        <v>1748</v>
      </c>
      <c r="K2456" t="s">
        <v>1776</v>
      </c>
      <c r="L2456" t="s">
        <v>1750</v>
      </c>
      <c r="M2456">
        <v>16</v>
      </c>
      <c r="N2456" t="b">
        <v>1</v>
      </c>
      <c r="O2456">
        <v>197</v>
      </c>
      <c r="P2456" t="s">
        <v>1752</v>
      </c>
      <c r="Q2456" t="s">
        <v>1753</v>
      </c>
    </row>
    <row r="2457" spans="1:18" x14ac:dyDescent="0.25">
      <c r="A2457" t="s">
        <v>5517</v>
      </c>
      <c r="B2457" t="s">
        <v>1915</v>
      </c>
      <c r="C2457" t="s">
        <v>4</v>
      </c>
      <c r="D2457" t="s">
        <v>790</v>
      </c>
      <c r="E2457" s="2">
        <v>41778</v>
      </c>
      <c r="F2457">
        <v>3833</v>
      </c>
      <c r="G2457" t="s">
        <v>1746</v>
      </c>
      <c r="H2457" t="s">
        <v>1747</v>
      </c>
      <c r="I2457" t="b">
        <v>0</v>
      </c>
      <c r="J2457" t="s">
        <v>1748</v>
      </c>
      <c r="K2457" t="s">
        <v>1802</v>
      </c>
      <c r="L2457" t="s">
        <v>1756</v>
      </c>
      <c r="M2457">
        <v>16</v>
      </c>
      <c r="N2457" t="b">
        <v>0</v>
      </c>
      <c r="O2457">
        <v>529</v>
      </c>
      <c r="P2457" t="s">
        <v>1752</v>
      </c>
      <c r="Q2457" t="s">
        <v>1753</v>
      </c>
    </row>
    <row r="2458" spans="1:18" x14ac:dyDescent="0.25">
      <c r="A2458" t="s">
        <v>5519</v>
      </c>
      <c r="B2458" t="s">
        <v>1907</v>
      </c>
      <c r="C2458" t="s">
        <v>6</v>
      </c>
      <c r="D2458" t="s">
        <v>5518</v>
      </c>
      <c r="E2458" s="2">
        <v>45463</v>
      </c>
      <c r="F2458">
        <v>148</v>
      </c>
      <c r="G2458" t="s">
        <v>1746</v>
      </c>
      <c r="H2458" t="s">
        <v>1798</v>
      </c>
      <c r="I2458" t="b">
        <v>0</v>
      </c>
      <c r="J2458" t="s">
        <v>1761</v>
      </c>
      <c r="K2458" t="s">
        <v>1853</v>
      </c>
      <c r="L2458" t="s">
        <v>1766</v>
      </c>
      <c r="M2458">
        <v>16</v>
      </c>
      <c r="N2458" t="b">
        <v>0</v>
      </c>
      <c r="P2458" t="s">
        <v>1752</v>
      </c>
      <c r="Q2458" t="s">
        <v>1753</v>
      </c>
      <c r="R2458" t="s">
        <v>1828</v>
      </c>
    </row>
    <row r="2459" spans="1:18" x14ac:dyDescent="0.25">
      <c r="A2459" t="s">
        <v>5520</v>
      </c>
      <c r="B2459" t="s">
        <v>1876</v>
      </c>
      <c r="C2459" t="s">
        <v>4</v>
      </c>
      <c r="D2459" t="s">
        <v>1695</v>
      </c>
      <c r="E2459" s="2">
        <v>44798</v>
      </c>
      <c r="F2459">
        <v>813</v>
      </c>
      <c r="G2459" t="s">
        <v>1746</v>
      </c>
      <c r="H2459" t="s">
        <v>1747</v>
      </c>
      <c r="I2459" t="b">
        <v>0</v>
      </c>
      <c r="J2459" t="s">
        <v>1748</v>
      </c>
      <c r="K2459" t="s">
        <v>1822</v>
      </c>
      <c r="L2459" t="s">
        <v>1750</v>
      </c>
      <c r="M2459">
        <v>16</v>
      </c>
      <c r="N2459" t="b">
        <v>1</v>
      </c>
      <c r="O2459">
        <v>356</v>
      </c>
      <c r="P2459" t="s">
        <v>1752</v>
      </c>
      <c r="Q2459" t="s">
        <v>1753</v>
      </c>
    </row>
    <row r="2460" spans="1:18" x14ac:dyDescent="0.25">
      <c r="A2460" t="s">
        <v>5522</v>
      </c>
      <c r="B2460" t="s">
        <v>2177</v>
      </c>
      <c r="C2460" t="s">
        <v>4</v>
      </c>
      <c r="D2460" t="s">
        <v>5521</v>
      </c>
      <c r="E2460" s="2">
        <v>44858</v>
      </c>
      <c r="F2460">
        <v>753</v>
      </c>
      <c r="G2460" t="s">
        <v>1833</v>
      </c>
      <c r="H2460" t="s">
        <v>1747</v>
      </c>
      <c r="I2460" t="b">
        <v>0</v>
      </c>
      <c r="J2460" t="s">
        <v>1761</v>
      </c>
      <c r="K2460" t="s">
        <v>1853</v>
      </c>
      <c r="L2460" t="s">
        <v>1750</v>
      </c>
      <c r="M2460">
        <v>16</v>
      </c>
      <c r="N2460" t="b">
        <v>1</v>
      </c>
      <c r="O2460">
        <v>326</v>
      </c>
      <c r="P2460" t="s">
        <v>1819</v>
      </c>
      <c r="Q2460" t="s">
        <v>1753</v>
      </c>
      <c r="R2460" t="s">
        <v>1759</v>
      </c>
    </row>
    <row r="2461" spans="1:18" x14ac:dyDescent="0.25">
      <c r="A2461" t="s">
        <v>5523</v>
      </c>
      <c r="B2461" t="s">
        <v>1810</v>
      </c>
      <c r="C2461" t="s">
        <v>4</v>
      </c>
      <c r="D2461" t="s">
        <v>263</v>
      </c>
      <c r="E2461" s="2">
        <v>43276</v>
      </c>
      <c r="F2461">
        <v>2335</v>
      </c>
      <c r="G2461" t="s">
        <v>1833</v>
      </c>
      <c r="H2461" t="s">
        <v>1747</v>
      </c>
      <c r="I2461" t="b">
        <v>0</v>
      </c>
      <c r="J2461" t="s">
        <v>1761</v>
      </c>
      <c r="K2461" t="s">
        <v>1880</v>
      </c>
      <c r="L2461" t="s">
        <v>1750</v>
      </c>
      <c r="M2461">
        <v>16</v>
      </c>
      <c r="N2461" t="b">
        <v>1</v>
      </c>
      <c r="O2461">
        <v>123</v>
      </c>
      <c r="P2461" t="s">
        <v>1819</v>
      </c>
      <c r="Q2461" t="s">
        <v>1753</v>
      </c>
    </row>
    <row r="2462" spans="1:18" x14ac:dyDescent="0.25">
      <c r="A2462" t="s">
        <v>5524</v>
      </c>
      <c r="B2462" t="s">
        <v>1876</v>
      </c>
      <c r="C2462" t="s">
        <v>4</v>
      </c>
      <c r="D2462" t="s">
        <v>274</v>
      </c>
      <c r="E2462" s="2">
        <v>44537</v>
      </c>
      <c r="F2462">
        <v>1074</v>
      </c>
      <c r="G2462" t="s">
        <v>1746</v>
      </c>
      <c r="H2462" t="s">
        <v>1747</v>
      </c>
      <c r="I2462" t="b">
        <v>0</v>
      </c>
      <c r="J2462" t="s">
        <v>1748</v>
      </c>
      <c r="K2462" t="s">
        <v>1868</v>
      </c>
      <c r="L2462" t="s">
        <v>1750</v>
      </c>
      <c r="M2462">
        <v>16</v>
      </c>
      <c r="N2462" t="b">
        <v>0</v>
      </c>
      <c r="O2462">
        <v>25</v>
      </c>
      <c r="P2462" t="s">
        <v>1752</v>
      </c>
      <c r="Q2462" t="s">
        <v>1753</v>
      </c>
      <c r="R2462" t="s">
        <v>1759</v>
      </c>
    </row>
    <row r="2463" spans="1:18" x14ac:dyDescent="0.25">
      <c r="A2463" t="s">
        <v>5526</v>
      </c>
      <c r="B2463" t="s">
        <v>2150</v>
      </c>
      <c r="C2463" t="s">
        <v>4</v>
      </c>
      <c r="D2463" t="s">
        <v>5525</v>
      </c>
      <c r="E2463" s="2">
        <v>45433</v>
      </c>
      <c r="F2463">
        <v>178</v>
      </c>
      <c r="G2463" t="s">
        <v>1746</v>
      </c>
      <c r="H2463" t="s">
        <v>1747</v>
      </c>
      <c r="I2463" t="b">
        <v>1</v>
      </c>
      <c r="J2463" t="s">
        <v>1748</v>
      </c>
      <c r="K2463" t="s">
        <v>1822</v>
      </c>
      <c r="L2463" t="s">
        <v>1817</v>
      </c>
      <c r="M2463">
        <v>16</v>
      </c>
      <c r="N2463" t="b">
        <v>1</v>
      </c>
      <c r="O2463">
        <v>421</v>
      </c>
      <c r="P2463" t="s">
        <v>1819</v>
      </c>
      <c r="Q2463" t="s">
        <v>1753</v>
      </c>
      <c r="R2463" t="s">
        <v>1759</v>
      </c>
    </row>
    <row r="2464" spans="1:18" x14ac:dyDescent="0.25">
      <c r="A2464" t="s">
        <v>5528</v>
      </c>
      <c r="B2464" t="s">
        <v>3867</v>
      </c>
      <c r="C2464" t="s">
        <v>6</v>
      </c>
      <c r="D2464" t="s">
        <v>5527</v>
      </c>
      <c r="E2464" s="2">
        <v>42292</v>
      </c>
      <c r="F2464">
        <v>3319</v>
      </c>
      <c r="G2464" t="s">
        <v>1746</v>
      </c>
      <c r="H2464" t="s">
        <v>1747</v>
      </c>
      <c r="I2464" t="b">
        <v>1</v>
      </c>
      <c r="J2464" t="s">
        <v>1748</v>
      </c>
      <c r="K2464" t="s">
        <v>1863</v>
      </c>
      <c r="L2464" t="s">
        <v>1750</v>
      </c>
      <c r="M2464">
        <v>16</v>
      </c>
      <c r="N2464" t="b">
        <v>0</v>
      </c>
      <c r="O2464">
        <v>50</v>
      </c>
      <c r="P2464" t="s">
        <v>1752</v>
      </c>
      <c r="Q2464" t="s">
        <v>1753</v>
      </c>
      <c r="R2464" t="s">
        <v>1828</v>
      </c>
    </row>
    <row r="2465" spans="1:18" x14ac:dyDescent="0.25">
      <c r="A2465" t="s">
        <v>5530</v>
      </c>
      <c r="B2465" t="s">
        <v>2229</v>
      </c>
      <c r="C2465" t="s">
        <v>4</v>
      </c>
      <c r="D2465" t="s">
        <v>5529</v>
      </c>
      <c r="E2465" s="2">
        <v>42348</v>
      </c>
      <c r="F2465">
        <v>3263</v>
      </c>
      <c r="G2465" t="s">
        <v>1746</v>
      </c>
      <c r="H2465" t="s">
        <v>1798</v>
      </c>
      <c r="I2465" t="b">
        <v>0</v>
      </c>
      <c r="J2465" t="s">
        <v>1748</v>
      </c>
      <c r="K2465" t="s">
        <v>1846</v>
      </c>
      <c r="L2465" t="s">
        <v>1750</v>
      </c>
      <c r="M2465">
        <v>16</v>
      </c>
      <c r="N2465" t="b">
        <v>1</v>
      </c>
      <c r="O2465">
        <v>126</v>
      </c>
      <c r="P2465" t="s">
        <v>1752</v>
      </c>
      <c r="Q2465" t="s">
        <v>1753</v>
      </c>
    </row>
    <row r="2466" spans="1:18" x14ac:dyDescent="0.25">
      <c r="A2466" t="s">
        <v>5532</v>
      </c>
      <c r="B2466" t="s">
        <v>2150</v>
      </c>
      <c r="C2466" t="s">
        <v>4</v>
      </c>
      <c r="D2466" t="s">
        <v>5531</v>
      </c>
      <c r="E2466" s="2">
        <v>44104</v>
      </c>
      <c r="F2466">
        <v>1507</v>
      </c>
      <c r="G2466" t="s">
        <v>1746</v>
      </c>
      <c r="H2466" t="s">
        <v>1805</v>
      </c>
      <c r="I2466" t="b">
        <v>0</v>
      </c>
      <c r="J2466" t="s">
        <v>1748</v>
      </c>
      <c r="K2466" t="s">
        <v>1848</v>
      </c>
      <c r="L2466" t="s">
        <v>1750</v>
      </c>
      <c r="M2466">
        <v>16</v>
      </c>
      <c r="N2466" t="b">
        <v>0</v>
      </c>
      <c r="O2466">
        <v>32</v>
      </c>
      <c r="P2466" t="s">
        <v>1752</v>
      </c>
      <c r="Q2466" t="s">
        <v>1753</v>
      </c>
    </row>
    <row r="2467" spans="1:18" x14ac:dyDescent="0.25">
      <c r="A2467" t="s">
        <v>5534</v>
      </c>
      <c r="B2467" t="s">
        <v>2173</v>
      </c>
      <c r="C2467" t="s">
        <v>6</v>
      </c>
      <c r="D2467" t="s">
        <v>5533</v>
      </c>
      <c r="E2467" s="2">
        <v>44006</v>
      </c>
      <c r="F2467">
        <v>1605</v>
      </c>
      <c r="G2467" t="s">
        <v>1746</v>
      </c>
      <c r="H2467" t="s">
        <v>1747</v>
      </c>
      <c r="I2467" t="b">
        <v>1</v>
      </c>
      <c r="J2467" t="s">
        <v>1761</v>
      </c>
      <c r="K2467" t="s">
        <v>1824</v>
      </c>
      <c r="L2467" t="s">
        <v>1750</v>
      </c>
      <c r="M2467">
        <v>16</v>
      </c>
      <c r="N2467" t="b">
        <v>0</v>
      </c>
      <c r="O2467">
        <v>221</v>
      </c>
      <c r="P2467" t="s">
        <v>1752</v>
      </c>
      <c r="Q2467" t="s">
        <v>1753</v>
      </c>
      <c r="R2467" t="s">
        <v>1828</v>
      </c>
    </row>
    <row r="2468" spans="1:18" x14ac:dyDescent="0.25">
      <c r="A2468" t="s">
        <v>5536</v>
      </c>
      <c r="B2468" t="s">
        <v>1704</v>
      </c>
      <c r="C2468" t="s">
        <v>1249</v>
      </c>
      <c r="D2468" t="s">
        <v>5535</v>
      </c>
      <c r="E2468" s="2">
        <v>42836</v>
      </c>
      <c r="F2468">
        <v>2775</v>
      </c>
      <c r="G2468" t="s">
        <v>1746</v>
      </c>
      <c r="H2468" t="s">
        <v>1747</v>
      </c>
      <c r="I2468" t="b">
        <v>0</v>
      </c>
      <c r="J2468" t="s">
        <v>1748</v>
      </c>
      <c r="K2468" t="s">
        <v>1823</v>
      </c>
      <c r="L2468" t="s">
        <v>2102</v>
      </c>
      <c r="M2468">
        <v>16</v>
      </c>
      <c r="N2468" t="b">
        <v>0</v>
      </c>
      <c r="P2468" t="s">
        <v>2070</v>
      </c>
      <c r="Q2468" t="s">
        <v>1779</v>
      </c>
    </row>
    <row r="2469" spans="1:18" x14ac:dyDescent="0.25">
      <c r="A2469" t="s">
        <v>5538</v>
      </c>
      <c r="B2469" t="s">
        <v>2150</v>
      </c>
      <c r="C2469" t="s">
        <v>4</v>
      </c>
      <c r="D2469" t="s">
        <v>5537</v>
      </c>
      <c r="E2469" s="2">
        <v>44454</v>
      </c>
      <c r="F2469">
        <v>1157</v>
      </c>
      <c r="G2469" t="s">
        <v>1833</v>
      </c>
      <c r="H2469" t="s">
        <v>1747</v>
      </c>
      <c r="I2469" t="b">
        <v>0</v>
      </c>
      <c r="J2469" t="s">
        <v>1761</v>
      </c>
      <c r="K2469" t="s">
        <v>1853</v>
      </c>
      <c r="L2469" t="s">
        <v>1750</v>
      </c>
      <c r="M2469">
        <v>16</v>
      </c>
      <c r="N2469" t="b">
        <v>1</v>
      </c>
      <c r="O2469">
        <v>386</v>
      </c>
      <c r="P2469" t="s">
        <v>1752</v>
      </c>
      <c r="Q2469" t="s">
        <v>1753</v>
      </c>
      <c r="R2469" t="s">
        <v>1772</v>
      </c>
    </row>
    <row r="2470" spans="1:18" x14ac:dyDescent="0.25">
      <c r="A2470" t="s">
        <v>5540</v>
      </c>
      <c r="B2470" t="s">
        <v>2483</v>
      </c>
      <c r="C2470" t="s">
        <v>4</v>
      </c>
      <c r="D2470" t="s">
        <v>5539</v>
      </c>
      <c r="E2470" s="2">
        <v>45119</v>
      </c>
      <c r="F2470">
        <v>492</v>
      </c>
      <c r="G2470" t="s">
        <v>1746</v>
      </c>
      <c r="H2470" t="s">
        <v>1747</v>
      </c>
      <c r="I2470" t="b">
        <v>0</v>
      </c>
      <c r="J2470" t="s">
        <v>1748</v>
      </c>
      <c r="K2470" t="s">
        <v>1755</v>
      </c>
      <c r="L2470" t="s">
        <v>1817</v>
      </c>
      <c r="M2470">
        <v>16</v>
      </c>
      <c r="N2470" t="b">
        <v>0</v>
      </c>
      <c r="O2470">
        <v>122</v>
      </c>
      <c r="P2470" t="s">
        <v>1819</v>
      </c>
      <c r="Q2470" t="s">
        <v>1753</v>
      </c>
    </row>
    <row r="2471" spans="1:18" x14ac:dyDescent="0.25">
      <c r="A2471" t="s">
        <v>5542</v>
      </c>
      <c r="B2471" t="s">
        <v>2173</v>
      </c>
      <c r="C2471" t="s">
        <v>6</v>
      </c>
      <c r="D2471" t="s">
        <v>5541</v>
      </c>
      <c r="E2471" s="2">
        <v>43622</v>
      </c>
      <c r="F2471">
        <v>1989</v>
      </c>
      <c r="G2471" t="s">
        <v>1746</v>
      </c>
      <c r="H2471" t="s">
        <v>1747</v>
      </c>
      <c r="I2471" t="b">
        <v>0</v>
      </c>
      <c r="J2471" t="s">
        <v>1748</v>
      </c>
      <c r="K2471" t="s">
        <v>2021</v>
      </c>
      <c r="L2471" t="s">
        <v>1817</v>
      </c>
      <c r="M2471">
        <v>15</v>
      </c>
      <c r="N2471" t="b">
        <v>0</v>
      </c>
      <c r="O2471">
        <v>254</v>
      </c>
      <c r="P2471" t="s">
        <v>1819</v>
      </c>
      <c r="Q2471" t="s">
        <v>1753</v>
      </c>
      <c r="R2471" t="s">
        <v>1772</v>
      </c>
    </row>
    <row r="2472" spans="1:18" x14ac:dyDescent="0.25">
      <c r="A2472" t="s">
        <v>5544</v>
      </c>
      <c r="B2472" t="s">
        <v>2150</v>
      </c>
      <c r="C2472" t="s">
        <v>4</v>
      </c>
      <c r="D2472" t="s">
        <v>5543</v>
      </c>
      <c r="E2472" s="2">
        <v>44932</v>
      </c>
      <c r="F2472">
        <v>679</v>
      </c>
      <c r="G2472" t="s">
        <v>1746</v>
      </c>
      <c r="H2472" t="s">
        <v>1747</v>
      </c>
      <c r="I2472" t="b">
        <v>0</v>
      </c>
      <c r="J2472" t="s">
        <v>1748</v>
      </c>
      <c r="K2472" t="s">
        <v>1856</v>
      </c>
      <c r="L2472" t="s">
        <v>1750</v>
      </c>
      <c r="M2472">
        <v>15</v>
      </c>
      <c r="N2472" t="b">
        <v>0</v>
      </c>
      <c r="P2472" t="s">
        <v>1819</v>
      </c>
      <c r="Q2472" t="s">
        <v>1753</v>
      </c>
      <c r="R2472" t="s">
        <v>1772</v>
      </c>
    </row>
    <row r="2473" spans="1:18" x14ac:dyDescent="0.25">
      <c r="A2473" t="s">
        <v>5546</v>
      </c>
      <c r="B2473" t="s">
        <v>2173</v>
      </c>
      <c r="C2473" t="s">
        <v>4</v>
      </c>
      <c r="D2473" t="s">
        <v>5545</v>
      </c>
      <c r="E2473" s="2">
        <v>44020</v>
      </c>
      <c r="F2473">
        <v>1591</v>
      </c>
      <c r="G2473" t="s">
        <v>1746</v>
      </c>
      <c r="H2473" t="s">
        <v>1747</v>
      </c>
      <c r="I2473" t="b">
        <v>0</v>
      </c>
      <c r="J2473" t="s">
        <v>1748</v>
      </c>
      <c r="K2473" t="s">
        <v>1771</v>
      </c>
      <c r="L2473" t="s">
        <v>2102</v>
      </c>
      <c r="M2473">
        <v>15</v>
      </c>
      <c r="N2473" t="b">
        <v>0</v>
      </c>
      <c r="P2473" t="s">
        <v>1752</v>
      </c>
      <c r="Q2473" t="s">
        <v>1753</v>
      </c>
    </row>
    <row r="2474" spans="1:18" x14ac:dyDescent="0.25">
      <c r="A2474" t="s">
        <v>5548</v>
      </c>
      <c r="B2474" t="s">
        <v>1907</v>
      </c>
      <c r="C2474" t="s">
        <v>4</v>
      </c>
      <c r="D2474" t="s">
        <v>5547</v>
      </c>
      <c r="E2474" s="2">
        <v>44404</v>
      </c>
      <c r="F2474">
        <v>1207</v>
      </c>
      <c r="G2474" t="s">
        <v>1746</v>
      </c>
      <c r="H2474" t="s">
        <v>1798</v>
      </c>
      <c r="I2474" t="b">
        <v>0</v>
      </c>
      <c r="J2474" t="s">
        <v>1761</v>
      </c>
      <c r="K2474" t="s">
        <v>1891</v>
      </c>
      <c r="L2474" t="s">
        <v>1750</v>
      </c>
      <c r="M2474">
        <v>15</v>
      </c>
      <c r="N2474" t="b">
        <v>1</v>
      </c>
      <c r="O2474">
        <v>114</v>
      </c>
      <c r="P2474" t="s">
        <v>1752</v>
      </c>
      <c r="Q2474" t="s">
        <v>1753</v>
      </c>
      <c r="R2474" t="s">
        <v>1828</v>
      </c>
    </row>
    <row r="2475" spans="1:18" x14ac:dyDescent="0.25">
      <c r="A2475" t="s">
        <v>5549</v>
      </c>
      <c r="B2475" t="s">
        <v>2106</v>
      </c>
      <c r="C2475" t="s">
        <v>6</v>
      </c>
      <c r="D2475" t="s">
        <v>164</v>
      </c>
      <c r="E2475" s="2">
        <v>44456</v>
      </c>
      <c r="F2475">
        <v>1155</v>
      </c>
      <c r="G2475" t="s">
        <v>1746</v>
      </c>
      <c r="H2475" t="s">
        <v>1798</v>
      </c>
      <c r="I2475" t="b">
        <v>0</v>
      </c>
      <c r="J2475" t="s">
        <v>1748</v>
      </c>
      <c r="K2475" t="s">
        <v>1853</v>
      </c>
      <c r="L2475" t="s">
        <v>1750</v>
      </c>
      <c r="M2475">
        <v>15</v>
      </c>
      <c r="N2475" t="b">
        <v>1</v>
      </c>
      <c r="O2475">
        <v>99</v>
      </c>
      <c r="P2475" t="s">
        <v>1752</v>
      </c>
      <c r="Q2475" t="s">
        <v>1753</v>
      </c>
      <c r="R2475" t="s">
        <v>1828</v>
      </c>
    </row>
    <row r="2476" spans="1:18" x14ac:dyDescent="0.25">
      <c r="A2476" t="s">
        <v>5550</v>
      </c>
      <c r="B2476" t="s">
        <v>1876</v>
      </c>
      <c r="C2476" t="s">
        <v>4</v>
      </c>
      <c r="D2476" t="s">
        <v>1348</v>
      </c>
      <c r="E2476" s="2">
        <v>44811</v>
      </c>
      <c r="F2476">
        <v>800</v>
      </c>
      <c r="G2476" t="s">
        <v>1746</v>
      </c>
      <c r="H2476" t="s">
        <v>1747</v>
      </c>
      <c r="I2476" t="b">
        <v>0</v>
      </c>
      <c r="J2476" t="s">
        <v>1748</v>
      </c>
      <c r="K2476" t="s">
        <v>1856</v>
      </c>
      <c r="L2476" t="s">
        <v>1750</v>
      </c>
      <c r="M2476">
        <v>15</v>
      </c>
      <c r="N2476" t="b">
        <v>1</v>
      </c>
      <c r="O2476">
        <v>33</v>
      </c>
      <c r="P2476" t="s">
        <v>1752</v>
      </c>
      <c r="Q2476" t="s">
        <v>1753</v>
      </c>
      <c r="R2476" t="s">
        <v>1759</v>
      </c>
    </row>
    <row r="2477" spans="1:18" x14ac:dyDescent="0.25">
      <c r="A2477" t="s">
        <v>5552</v>
      </c>
      <c r="B2477" t="s">
        <v>2997</v>
      </c>
      <c r="C2477" t="s">
        <v>4</v>
      </c>
      <c r="D2477" t="s">
        <v>5551</v>
      </c>
      <c r="E2477" s="2">
        <v>45532</v>
      </c>
      <c r="F2477">
        <v>79</v>
      </c>
      <c r="G2477" t="s">
        <v>1746</v>
      </c>
      <c r="H2477" t="s">
        <v>1798</v>
      </c>
      <c r="I2477" t="b">
        <v>1</v>
      </c>
      <c r="J2477" t="s">
        <v>1748</v>
      </c>
      <c r="K2477" t="s">
        <v>1755</v>
      </c>
      <c r="L2477" t="s">
        <v>1817</v>
      </c>
      <c r="M2477">
        <v>15</v>
      </c>
      <c r="N2477" t="b">
        <v>0</v>
      </c>
      <c r="O2477">
        <v>52</v>
      </c>
      <c r="P2477" t="s">
        <v>1819</v>
      </c>
      <c r="Q2477" t="s">
        <v>1753</v>
      </c>
    </row>
    <row r="2478" spans="1:18" x14ac:dyDescent="0.25">
      <c r="A2478" t="s">
        <v>5554</v>
      </c>
      <c r="B2478" t="s">
        <v>2150</v>
      </c>
      <c r="C2478" t="s">
        <v>4</v>
      </c>
      <c r="D2478" t="s">
        <v>5553</v>
      </c>
      <c r="E2478" s="2">
        <v>43328</v>
      </c>
      <c r="F2478">
        <v>2283</v>
      </c>
      <c r="G2478" t="s">
        <v>1746</v>
      </c>
      <c r="H2478" t="s">
        <v>1798</v>
      </c>
      <c r="I2478" t="b">
        <v>0</v>
      </c>
      <c r="J2478" t="s">
        <v>1761</v>
      </c>
      <c r="K2478" t="s">
        <v>1757</v>
      </c>
      <c r="L2478" t="s">
        <v>1750</v>
      </c>
      <c r="M2478">
        <v>15</v>
      </c>
      <c r="N2478" t="b">
        <v>0</v>
      </c>
      <c r="O2478">
        <v>150</v>
      </c>
      <c r="P2478" t="s">
        <v>1752</v>
      </c>
      <c r="Q2478" t="s">
        <v>1753</v>
      </c>
      <c r="R2478" t="s">
        <v>1828</v>
      </c>
    </row>
    <row r="2479" spans="1:18" x14ac:dyDescent="0.25">
      <c r="A2479" t="s">
        <v>5556</v>
      </c>
      <c r="B2479" t="s">
        <v>2173</v>
      </c>
      <c r="C2479" t="s">
        <v>4</v>
      </c>
      <c r="D2479" t="s">
        <v>5555</v>
      </c>
      <c r="E2479" s="2">
        <v>45266</v>
      </c>
      <c r="F2479">
        <v>345</v>
      </c>
      <c r="G2479" t="s">
        <v>1746</v>
      </c>
      <c r="H2479" t="s">
        <v>2001</v>
      </c>
      <c r="I2479" t="b">
        <v>0</v>
      </c>
      <c r="J2479" t="s">
        <v>1748</v>
      </c>
      <c r="K2479" t="s">
        <v>1749</v>
      </c>
      <c r="L2479" t="s">
        <v>1817</v>
      </c>
      <c r="M2479">
        <v>15</v>
      </c>
      <c r="N2479" t="b">
        <v>0</v>
      </c>
      <c r="O2479">
        <v>275</v>
      </c>
      <c r="P2479" t="s">
        <v>1819</v>
      </c>
      <c r="Q2479" t="s">
        <v>1753</v>
      </c>
    </row>
    <row r="2480" spans="1:18" x14ac:dyDescent="0.25">
      <c r="A2480" t="s">
        <v>5408</v>
      </c>
      <c r="B2480" t="s">
        <v>1810</v>
      </c>
      <c r="C2480" t="s">
        <v>4</v>
      </c>
      <c r="D2480" t="s">
        <v>202</v>
      </c>
      <c r="E2480" s="2">
        <v>43038</v>
      </c>
      <c r="F2480">
        <v>2573</v>
      </c>
      <c r="G2480" t="s">
        <v>1746</v>
      </c>
      <c r="H2480" t="s">
        <v>1798</v>
      </c>
      <c r="I2480" t="b">
        <v>0</v>
      </c>
      <c r="J2480" t="s">
        <v>1748</v>
      </c>
      <c r="K2480" t="s">
        <v>1853</v>
      </c>
      <c r="L2480" t="s">
        <v>1750</v>
      </c>
      <c r="M2480">
        <v>15</v>
      </c>
      <c r="N2480" t="b">
        <v>0</v>
      </c>
      <c r="O2480">
        <v>86</v>
      </c>
      <c r="P2480" t="s">
        <v>1752</v>
      </c>
      <c r="Q2480" t="s">
        <v>1753</v>
      </c>
      <c r="R2480" t="s">
        <v>1828</v>
      </c>
    </row>
    <row r="2481" spans="1:18" x14ac:dyDescent="0.25">
      <c r="A2481" t="s">
        <v>655</v>
      </c>
      <c r="B2481" t="s">
        <v>2997</v>
      </c>
      <c r="C2481" t="s">
        <v>4</v>
      </c>
      <c r="D2481" t="s">
        <v>656</v>
      </c>
      <c r="E2481" s="2">
        <v>44615</v>
      </c>
      <c r="F2481">
        <v>996</v>
      </c>
      <c r="G2481" t="s">
        <v>1746</v>
      </c>
      <c r="H2481" t="s">
        <v>1798</v>
      </c>
      <c r="I2481" t="b">
        <v>0</v>
      </c>
      <c r="J2481" t="s">
        <v>1748</v>
      </c>
      <c r="K2481" t="s">
        <v>1856</v>
      </c>
      <c r="L2481" t="s">
        <v>1750</v>
      </c>
      <c r="M2481">
        <v>15</v>
      </c>
      <c r="N2481" t="b">
        <v>0</v>
      </c>
      <c r="O2481">
        <v>433</v>
      </c>
      <c r="P2481" t="s">
        <v>1752</v>
      </c>
      <c r="Q2481" t="s">
        <v>1753</v>
      </c>
    </row>
    <row r="2482" spans="1:18" x14ac:dyDescent="0.25">
      <c r="A2482" t="s">
        <v>5558</v>
      </c>
      <c r="B2482" t="s">
        <v>4135</v>
      </c>
      <c r="C2482" t="s">
        <v>2338</v>
      </c>
      <c r="D2482" t="s">
        <v>5557</v>
      </c>
      <c r="E2482" s="2">
        <v>44592</v>
      </c>
      <c r="F2482">
        <v>1019</v>
      </c>
      <c r="G2482" t="s">
        <v>1746</v>
      </c>
      <c r="H2482" t="s">
        <v>1747</v>
      </c>
      <c r="I2482" t="b">
        <v>0</v>
      </c>
      <c r="J2482" t="s">
        <v>1748</v>
      </c>
      <c r="K2482" t="s">
        <v>1935</v>
      </c>
      <c r="L2482" t="s">
        <v>1775</v>
      </c>
      <c r="M2482">
        <v>15</v>
      </c>
      <c r="N2482" t="b">
        <v>0</v>
      </c>
      <c r="P2482" t="s">
        <v>2283</v>
      </c>
      <c r="Q2482" t="s">
        <v>1705</v>
      </c>
    </row>
    <row r="2483" spans="1:18" x14ac:dyDescent="0.25">
      <c r="A2483" t="s">
        <v>5560</v>
      </c>
      <c r="B2483" t="s">
        <v>2353</v>
      </c>
      <c r="C2483" t="s">
        <v>4</v>
      </c>
      <c r="D2483" t="s">
        <v>5559</v>
      </c>
      <c r="E2483" s="2">
        <v>44082</v>
      </c>
      <c r="F2483">
        <v>1529</v>
      </c>
      <c r="G2483" t="s">
        <v>1833</v>
      </c>
      <c r="H2483" t="s">
        <v>1798</v>
      </c>
      <c r="I2483" t="b">
        <v>0</v>
      </c>
      <c r="J2483" t="s">
        <v>1748</v>
      </c>
      <c r="K2483" t="s">
        <v>1776</v>
      </c>
      <c r="L2483" t="s">
        <v>1750</v>
      </c>
      <c r="M2483">
        <v>15</v>
      </c>
      <c r="N2483" t="b">
        <v>1</v>
      </c>
      <c r="O2483">
        <v>14748</v>
      </c>
      <c r="P2483" t="s">
        <v>1752</v>
      </c>
      <c r="Q2483" t="s">
        <v>1753</v>
      </c>
      <c r="R2483" t="s">
        <v>1759</v>
      </c>
    </row>
    <row r="2484" spans="1:18" x14ac:dyDescent="0.25">
      <c r="A2484" t="s">
        <v>5562</v>
      </c>
      <c r="B2484" t="s">
        <v>2483</v>
      </c>
      <c r="C2484" t="s">
        <v>4</v>
      </c>
      <c r="D2484" t="s">
        <v>5561</v>
      </c>
      <c r="E2484" s="2">
        <v>45195</v>
      </c>
      <c r="F2484">
        <v>416</v>
      </c>
      <c r="G2484" t="s">
        <v>1746</v>
      </c>
      <c r="H2484" t="s">
        <v>1747</v>
      </c>
      <c r="I2484" t="b">
        <v>0</v>
      </c>
      <c r="J2484" t="s">
        <v>1748</v>
      </c>
      <c r="K2484" t="s">
        <v>1853</v>
      </c>
      <c r="L2484" t="s">
        <v>1750</v>
      </c>
      <c r="M2484">
        <v>15</v>
      </c>
      <c r="N2484" t="b">
        <v>1</v>
      </c>
      <c r="O2484">
        <v>634</v>
      </c>
      <c r="P2484" t="s">
        <v>1752</v>
      </c>
      <c r="Q2484" t="s">
        <v>1753</v>
      </c>
      <c r="R2484" t="s">
        <v>1759</v>
      </c>
    </row>
    <row r="2485" spans="1:18" x14ac:dyDescent="0.25">
      <c r="A2485" t="s">
        <v>5563</v>
      </c>
      <c r="B2485" t="s">
        <v>1874</v>
      </c>
      <c r="C2485" t="s">
        <v>4</v>
      </c>
      <c r="D2485" t="s">
        <v>313</v>
      </c>
      <c r="E2485" s="2">
        <v>43559</v>
      </c>
      <c r="F2485">
        <v>2052</v>
      </c>
      <c r="G2485" t="s">
        <v>1746</v>
      </c>
      <c r="H2485" t="s">
        <v>1747</v>
      </c>
      <c r="I2485" t="b">
        <v>0</v>
      </c>
      <c r="J2485" t="s">
        <v>1748</v>
      </c>
      <c r="K2485" t="s">
        <v>1806</v>
      </c>
      <c r="L2485" t="s">
        <v>1750</v>
      </c>
      <c r="M2485">
        <v>15</v>
      </c>
      <c r="N2485" t="b">
        <v>0</v>
      </c>
      <c r="O2485">
        <v>41</v>
      </c>
      <c r="P2485" t="s">
        <v>1752</v>
      </c>
      <c r="Q2485" t="s">
        <v>1753</v>
      </c>
      <c r="R2485" t="s">
        <v>1759</v>
      </c>
    </row>
    <row r="2486" spans="1:18" x14ac:dyDescent="0.25">
      <c r="A2486" t="s">
        <v>5565</v>
      </c>
      <c r="B2486" t="s">
        <v>2173</v>
      </c>
      <c r="C2486" t="s">
        <v>4</v>
      </c>
      <c r="D2486" t="s">
        <v>5564</v>
      </c>
      <c r="E2486" s="2">
        <v>44334</v>
      </c>
      <c r="F2486">
        <v>1277</v>
      </c>
      <c r="G2486" t="s">
        <v>1746</v>
      </c>
      <c r="H2486" t="s">
        <v>2001</v>
      </c>
      <c r="I2486" t="b">
        <v>0</v>
      </c>
      <c r="J2486" t="s">
        <v>1748</v>
      </c>
      <c r="K2486" t="s">
        <v>1846</v>
      </c>
      <c r="L2486" t="s">
        <v>1750</v>
      </c>
      <c r="M2486">
        <v>15</v>
      </c>
      <c r="N2486" t="b">
        <v>1</v>
      </c>
      <c r="O2486">
        <v>609</v>
      </c>
      <c r="P2486" t="s">
        <v>1752</v>
      </c>
      <c r="Q2486" t="s">
        <v>1753</v>
      </c>
      <c r="R2486" t="s">
        <v>1759</v>
      </c>
    </row>
    <row r="2487" spans="1:18" x14ac:dyDescent="0.25">
      <c r="A2487" t="s">
        <v>5567</v>
      </c>
      <c r="B2487" t="s">
        <v>1978</v>
      </c>
      <c r="C2487" t="s">
        <v>4</v>
      </c>
      <c r="D2487" t="s">
        <v>5566</v>
      </c>
      <c r="E2487" s="2">
        <v>45594</v>
      </c>
      <c r="F2487">
        <v>17</v>
      </c>
      <c r="G2487" t="s">
        <v>1833</v>
      </c>
      <c r="H2487" t="s">
        <v>1747</v>
      </c>
      <c r="I2487" t="b">
        <v>0</v>
      </c>
      <c r="J2487" t="s">
        <v>1761</v>
      </c>
      <c r="K2487" t="s">
        <v>1880</v>
      </c>
      <c r="L2487" t="s">
        <v>1750</v>
      </c>
      <c r="M2487">
        <v>14</v>
      </c>
      <c r="N2487" t="b">
        <v>0</v>
      </c>
      <c r="P2487" t="s">
        <v>1752</v>
      </c>
      <c r="Q2487" t="s">
        <v>1753</v>
      </c>
    </row>
    <row r="2488" spans="1:18" x14ac:dyDescent="0.25">
      <c r="A2488" t="s">
        <v>5569</v>
      </c>
      <c r="B2488" t="s">
        <v>2997</v>
      </c>
      <c r="C2488" t="s">
        <v>4</v>
      </c>
      <c r="D2488" t="s">
        <v>5568</v>
      </c>
      <c r="E2488" s="2">
        <v>45532</v>
      </c>
      <c r="F2488">
        <v>79</v>
      </c>
      <c r="G2488" t="s">
        <v>1746</v>
      </c>
      <c r="H2488" t="s">
        <v>1798</v>
      </c>
      <c r="I2488" t="b">
        <v>0</v>
      </c>
      <c r="J2488" t="s">
        <v>1748</v>
      </c>
      <c r="K2488" t="s">
        <v>1774</v>
      </c>
      <c r="L2488" t="s">
        <v>1817</v>
      </c>
      <c r="M2488">
        <v>14</v>
      </c>
      <c r="N2488" t="b">
        <v>1</v>
      </c>
      <c r="O2488">
        <v>213</v>
      </c>
      <c r="P2488" t="s">
        <v>1819</v>
      </c>
      <c r="Q2488" t="s">
        <v>1753</v>
      </c>
      <c r="R2488" t="s">
        <v>1759</v>
      </c>
    </row>
    <row r="2489" spans="1:18" x14ac:dyDescent="0.25">
      <c r="A2489" t="s">
        <v>5571</v>
      </c>
      <c r="B2489" t="s">
        <v>5572</v>
      </c>
      <c r="C2489" t="s">
        <v>4</v>
      </c>
      <c r="D2489" t="s">
        <v>5570</v>
      </c>
      <c r="E2489" s="2">
        <v>45504</v>
      </c>
      <c r="F2489">
        <v>107</v>
      </c>
      <c r="G2489" t="s">
        <v>1833</v>
      </c>
      <c r="H2489" t="s">
        <v>1747</v>
      </c>
      <c r="I2489" t="b">
        <v>0</v>
      </c>
      <c r="J2489" t="s">
        <v>1748</v>
      </c>
      <c r="K2489" t="s">
        <v>1853</v>
      </c>
      <c r="L2489" t="s">
        <v>1750</v>
      </c>
      <c r="M2489">
        <v>14</v>
      </c>
      <c r="N2489" t="b">
        <v>1</v>
      </c>
      <c r="O2489">
        <v>348</v>
      </c>
      <c r="P2489" t="s">
        <v>1752</v>
      </c>
      <c r="Q2489" t="s">
        <v>1753</v>
      </c>
      <c r="R2489" t="s">
        <v>1759</v>
      </c>
    </row>
    <row r="2490" spans="1:18" x14ac:dyDescent="0.25">
      <c r="A2490" t="s">
        <v>5574</v>
      </c>
      <c r="B2490" t="s">
        <v>2150</v>
      </c>
      <c r="C2490" t="s">
        <v>4</v>
      </c>
      <c r="D2490" t="s">
        <v>5573</v>
      </c>
      <c r="E2490" s="2">
        <v>45243</v>
      </c>
      <c r="F2490">
        <v>368</v>
      </c>
      <c r="G2490" t="s">
        <v>1746</v>
      </c>
      <c r="H2490" t="s">
        <v>1805</v>
      </c>
      <c r="I2490" t="b">
        <v>0</v>
      </c>
      <c r="J2490" t="s">
        <v>1761</v>
      </c>
      <c r="K2490" t="s">
        <v>1771</v>
      </c>
      <c r="L2490" t="s">
        <v>1750</v>
      </c>
      <c r="M2490">
        <v>14</v>
      </c>
      <c r="N2490" t="b">
        <v>1</v>
      </c>
      <c r="O2490">
        <v>94</v>
      </c>
      <c r="P2490" t="s">
        <v>1752</v>
      </c>
      <c r="Q2490" t="s">
        <v>1753</v>
      </c>
    </row>
    <row r="2491" spans="1:18" x14ac:dyDescent="0.25">
      <c r="A2491" t="s">
        <v>5576</v>
      </c>
      <c r="B2491" t="s">
        <v>2150</v>
      </c>
      <c r="C2491" t="s">
        <v>6</v>
      </c>
      <c r="D2491" t="s">
        <v>5575</v>
      </c>
      <c r="E2491" s="2">
        <v>44713</v>
      </c>
      <c r="F2491">
        <v>898</v>
      </c>
      <c r="G2491" t="s">
        <v>1746</v>
      </c>
      <c r="H2491" t="s">
        <v>1805</v>
      </c>
      <c r="I2491" t="b">
        <v>0</v>
      </c>
      <c r="J2491" t="s">
        <v>1761</v>
      </c>
      <c r="K2491" t="s">
        <v>1826</v>
      </c>
      <c r="L2491" t="s">
        <v>1750</v>
      </c>
      <c r="M2491">
        <v>14</v>
      </c>
      <c r="N2491" t="b">
        <v>1</v>
      </c>
      <c r="O2491">
        <v>172</v>
      </c>
      <c r="P2491" t="s">
        <v>1752</v>
      </c>
      <c r="Q2491" t="s">
        <v>1753</v>
      </c>
      <c r="R2491" t="s">
        <v>1772</v>
      </c>
    </row>
    <row r="2492" spans="1:18" x14ac:dyDescent="0.25">
      <c r="A2492" t="s">
        <v>5578</v>
      </c>
      <c r="B2492" t="s">
        <v>2133</v>
      </c>
      <c r="C2492" t="s">
        <v>4</v>
      </c>
      <c r="D2492" t="s">
        <v>5577</v>
      </c>
      <c r="E2492" s="2">
        <v>45147</v>
      </c>
      <c r="F2492">
        <v>464</v>
      </c>
      <c r="G2492" t="s">
        <v>1833</v>
      </c>
      <c r="H2492" t="s">
        <v>1747</v>
      </c>
      <c r="I2492" t="b">
        <v>0</v>
      </c>
      <c r="J2492" t="s">
        <v>1761</v>
      </c>
      <c r="K2492" t="s">
        <v>1776</v>
      </c>
      <c r="L2492" t="s">
        <v>1756</v>
      </c>
      <c r="M2492">
        <v>14</v>
      </c>
      <c r="N2492" t="b">
        <v>1</v>
      </c>
      <c r="O2492">
        <v>290</v>
      </c>
      <c r="P2492" t="s">
        <v>1752</v>
      </c>
      <c r="Q2492" t="s">
        <v>1753</v>
      </c>
      <c r="R2492" t="s">
        <v>1759</v>
      </c>
    </row>
    <row r="2493" spans="1:18" x14ac:dyDescent="0.25">
      <c r="A2493" t="s">
        <v>5579</v>
      </c>
      <c r="B2493" t="s">
        <v>2353</v>
      </c>
      <c r="C2493" t="s">
        <v>6</v>
      </c>
      <c r="D2493" t="s">
        <v>1486</v>
      </c>
      <c r="E2493" s="2">
        <v>44847</v>
      </c>
      <c r="F2493">
        <v>764</v>
      </c>
      <c r="G2493" t="s">
        <v>1746</v>
      </c>
      <c r="H2493" t="s">
        <v>1798</v>
      </c>
      <c r="I2493" t="b">
        <v>0</v>
      </c>
      <c r="J2493" t="s">
        <v>1761</v>
      </c>
      <c r="K2493" t="s">
        <v>1770</v>
      </c>
      <c r="L2493" t="s">
        <v>1756</v>
      </c>
      <c r="M2493">
        <v>14</v>
      </c>
      <c r="N2493" t="b">
        <v>1</v>
      </c>
      <c r="O2493">
        <v>24</v>
      </c>
      <c r="P2493" t="s">
        <v>1819</v>
      </c>
      <c r="Q2493" t="s">
        <v>1753</v>
      </c>
      <c r="R2493" t="s">
        <v>1828</v>
      </c>
    </row>
    <row r="2494" spans="1:18" x14ac:dyDescent="0.25">
      <c r="A2494" t="s">
        <v>5580</v>
      </c>
      <c r="B2494" t="s">
        <v>2220</v>
      </c>
      <c r="C2494" t="s">
        <v>6</v>
      </c>
      <c r="D2494" t="s">
        <v>853</v>
      </c>
      <c r="E2494" s="2">
        <v>44368</v>
      </c>
      <c r="F2494">
        <v>1243</v>
      </c>
      <c r="G2494" t="s">
        <v>1746</v>
      </c>
      <c r="H2494" t="s">
        <v>1747</v>
      </c>
      <c r="I2494" t="b">
        <v>0</v>
      </c>
      <c r="J2494" t="s">
        <v>1748</v>
      </c>
      <c r="K2494" t="s">
        <v>1776</v>
      </c>
      <c r="L2494" t="s">
        <v>1817</v>
      </c>
      <c r="M2494">
        <v>14</v>
      </c>
      <c r="N2494" t="b">
        <v>1</v>
      </c>
      <c r="O2494">
        <v>843</v>
      </c>
      <c r="P2494" t="s">
        <v>1819</v>
      </c>
      <c r="Q2494" t="s">
        <v>1753</v>
      </c>
      <c r="R2494" t="s">
        <v>1759</v>
      </c>
    </row>
    <row r="2495" spans="1:18" x14ac:dyDescent="0.25">
      <c r="A2495" t="s">
        <v>5581</v>
      </c>
      <c r="B2495" t="s">
        <v>1860</v>
      </c>
      <c r="C2495" t="s">
        <v>6</v>
      </c>
      <c r="D2495" t="s">
        <v>1145</v>
      </c>
      <c r="E2495" s="2">
        <v>45085</v>
      </c>
      <c r="F2495">
        <v>526</v>
      </c>
      <c r="G2495" t="s">
        <v>1746</v>
      </c>
      <c r="H2495" t="s">
        <v>1747</v>
      </c>
      <c r="I2495" t="b">
        <v>0</v>
      </c>
      <c r="J2495" t="s">
        <v>1748</v>
      </c>
      <c r="K2495" t="s">
        <v>1824</v>
      </c>
      <c r="L2495" t="s">
        <v>1817</v>
      </c>
      <c r="M2495">
        <v>14</v>
      </c>
      <c r="N2495" t="b">
        <v>1</v>
      </c>
      <c r="O2495">
        <v>180</v>
      </c>
      <c r="P2495" t="s">
        <v>1819</v>
      </c>
      <c r="Q2495" t="s">
        <v>1753</v>
      </c>
      <c r="R2495" t="s">
        <v>1759</v>
      </c>
    </row>
    <row r="2496" spans="1:18" x14ac:dyDescent="0.25">
      <c r="A2496" t="s">
        <v>5582</v>
      </c>
      <c r="B2496" t="s">
        <v>1876</v>
      </c>
      <c r="C2496" t="s">
        <v>4</v>
      </c>
      <c r="D2496" t="s">
        <v>1545</v>
      </c>
      <c r="E2496" s="2">
        <v>44798</v>
      </c>
      <c r="F2496">
        <v>813</v>
      </c>
      <c r="G2496" t="s">
        <v>1746</v>
      </c>
      <c r="H2496" t="s">
        <v>1747</v>
      </c>
      <c r="I2496" t="b">
        <v>0</v>
      </c>
      <c r="J2496" t="s">
        <v>1748</v>
      </c>
      <c r="K2496" t="s">
        <v>1824</v>
      </c>
      <c r="L2496" t="s">
        <v>1750</v>
      </c>
      <c r="M2496">
        <v>14</v>
      </c>
      <c r="N2496" t="b">
        <v>1</v>
      </c>
      <c r="O2496">
        <v>224</v>
      </c>
      <c r="P2496" t="s">
        <v>1752</v>
      </c>
      <c r="Q2496" t="s">
        <v>1753</v>
      </c>
    </row>
    <row r="2497" spans="1:18" x14ac:dyDescent="0.25">
      <c r="A2497" t="s">
        <v>5583</v>
      </c>
      <c r="B2497" t="s">
        <v>2060</v>
      </c>
      <c r="C2497" t="s">
        <v>6</v>
      </c>
      <c r="D2497" t="s">
        <v>1504</v>
      </c>
      <c r="E2497" s="2">
        <v>40317</v>
      </c>
      <c r="F2497">
        <v>5294</v>
      </c>
      <c r="G2497" t="s">
        <v>1746</v>
      </c>
      <c r="H2497" t="s">
        <v>3505</v>
      </c>
      <c r="I2497" t="b">
        <v>1</v>
      </c>
      <c r="J2497" t="s">
        <v>1748</v>
      </c>
      <c r="K2497" t="s">
        <v>1776</v>
      </c>
      <c r="L2497" t="s">
        <v>1817</v>
      </c>
      <c r="M2497">
        <v>14</v>
      </c>
      <c r="N2497" t="b">
        <v>0</v>
      </c>
      <c r="O2497">
        <v>28</v>
      </c>
      <c r="P2497" t="s">
        <v>1819</v>
      </c>
      <c r="Q2497" t="s">
        <v>1753</v>
      </c>
    </row>
    <row r="2498" spans="1:18" x14ac:dyDescent="0.25">
      <c r="A2498" t="s">
        <v>5585</v>
      </c>
      <c r="B2498" t="s">
        <v>1907</v>
      </c>
      <c r="C2498" t="s">
        <v>572</v>
      </c>
      <c r="D2498" t="s">
        <v>5584</v>
      </c>
      <c r="E2498" s="2">
        <v>44313</v>
      </c>
      <c r="F2498">
        <v>1298</v>
      </c>
      <c r="G2498" t="s">
        <v>1746</v>
      </c>
      <c r="H2498" t="s">
        <v>1798</v>
      </c>
      <c r="I2498" t="b">
        <v>0</v>
      </c>
      <c r="J2498" t="s">
        <v>1761</v>
      </c>
      <c r="K2498" t="s">
        <v>1788</v>
      </c>
      <c r="L2498" t="s">
        <v>1750</v>
      </c>
      <c r="M2498">
        <v>14</v>
      </c>
      <c r="N2498" t="b">
        <v>0</v>
      </c>
      <c r="O2498">
        <v>50</v>
      </c>
      <c r="P2498" t="s">
        <v>1752</v>
      </c>
      <c r="Q2498" t="s">
        <v>1753</v>
      </c>
    </row>
    <row r="2499" spans="1:18" x14ac:dyDescent="0.25">
      <c r="A2499" t="s">
        <v>5587</v>
      </c>
      <c r="B2499" t="s">
        <v>2133</v>
      </c>
      <c r="C2499" t="s">
        <v>6</v>
      </c>
      <c r="D2499" t="s">
        <v>5586</v>
      </c>
      <c r="E2499" s="2">
        <v>44021</v>
      </c>
      <c r="F2499">
        <v>1590</v>
      </c>
      <c r="G2499" t="s">
        <v>1746</v>
      </c>
      <c r="H2499" t="s">
        <v>1747</v>
      </c>
      <c r="I2499" t="b">
        <v>1</v>
      </c>
      <c r="J2499" t="s">
        <v>1748</v>
      </c>
      <c r="K2499" t="s">
        <v>1765</v>
      </c>
      <c r="L2499" t="s">
        <v>1817</v>
      </c>
      <c r="M2499">
        <v>14</v>
      </c>
      <c r="N2499" t="b">
        <v>0</v>
      </c>
      <c r="O2499">
        <v>92</v>
      </c>
      <c r="P2499" t="s">
        <v>1819</v>
      </c>
      <c r="Q2499" t="s">
        <v>1753</v>
      </c>
    </row>
    <row r="2500" spans="1:18" x14ac:dyDescent="0.25">
      <c r="A2500" t="s">
        <v>5588</v>
      </c>
      <c r="B2500" t="s">
        <v>1860</v>
      </c>
      <c r="C2500" t="s">
        <v>4</v>
      </c>
      <c r="D2500" t="s">
        <v>1206</v>
      </c>
      <c r="E2500" s="2">
        <v>44398</v>
      </c>
      <c r="F2500">
        <v>1213</v>
      </c>
      <c r="G2500" t="s">
        <v>1746</v>
      </c>
      <c r="H2500" t="s">
        <v>2001</v>
      </c>
      <c r="I2500" t="b">
        <v>0</v>
      </c>
      <c r="J2500" t="s">
        <v>1748</v>
      </c>
      <c r="K2500" t="s">
        <v>1824</v>
      </c>
      <c r="L2500" t="s">
        <v>1750</v>
      </c>
      <c r="M2500">
        <v>14</v>
      </c>
      <c r="N2500" t="b">
        <v>1</v>
      </c>
      <c r="O2500">
        <v>179</v>
      </c>
      <c r="P2500" t="s">
        <v>1752</v>
      </c>
      <c r="Q2500" t="s">
        <v>1753</v>
      </c>
    </row>
    <row r="2501" spans="1:18" x14ac:dyDescent="0.25">
      <c r="A2501" t="s">
        <v>5589</v>
      </c>
      <c r="B2501" t="s">
        <v>1876</v>
      </c>
      <c r="C2501" t="s">
        <v>4</v>
      </c>
      <c r="D2501" t="s">
        <v>269</v>
      </c>
      <c r="E2501" s="2">
        <v>44537</v>
      </c>
      <c r="F2501">
        <v>1074</v>
      </c>
      <c r="G2501" t="s">
        <v>1746</v>
      </c>
      <c r="H2501" t="s">
        <v>1747</v>
      </c>
      <c r="I2501" t="b">
        <v>0</v>
      </c>
      <c r="J2501" t="s">
        <v>1748</v>
      </c>
      <c r="K2501" t="s">
        <v>1868</v>
      </c>
      <c r="L2501" t="s">
        <v>1750</v>
      </c>
      <c r="M2501">
        <v>14</v>
      </c>
      <c r="N2501" t="b">
        <v>0</v>
      </c>
      <c r="O2501">
        <v>37</v>
      </c>
      <c r="P2501" t="s">
        <v>1752</v>
      </c>
      <c r="Q2501" t="s">
        <v>1753</v>
      </c>
      <c r="R2501" t="s">
        <v>1759</v>
      </c>
    </row>
    <row r="2502" spans="1:18" x14ac:dyDescent="0.25">
      <c r="A2502" t="s">
        <v>5591</v>
      </c>
      <c r="B2502" t="s">
        <v>2133</v>
      </c>
      <c r="C2502" t="s">
        <v>4</v>
      </c>
      <c r="D2502" t="s">
        <v>5590</v>
      </c>
      <c r="E2502" s="2">
        <v>43937</v>
      </c>
      <c r="F2502">
        <v>1674</v>
      </c>
      <c r="G2502" t="s">
        <v>1746</v>
      </c>
      <c r="H2502" t="s">
        <v>1747</v>
      </c>
      <c r="I2502" t="b">
        <v>0</v>
      </c>
      <c r="J2502" t="s">
        <v>1748</v>
      </c>
      <c r="K2502" t="s">
        <v>1800</v>
      </c>
      <c r="L2502" t="s">
        <v>1775</v>
      </c>
      <c r="M2502">
        <v>14</v>
      </c>
      <c r="N2502" t="b">
        <v>0</v>
      </c>
      <c r="P2502" t="s">
        <v>1778</v>
      </c>
      <c r="Q2502" t="s">
        <v>1779</v>
      </c>
    </row>
    <row r="2503" spans="1:18" x14ac:dyDescent="0.25">
      <c r="A2503" t="s">
        <v>5593</v>
      </c>
      <c r="B2503" t="s">
        <v>2284</v>
      </c>
      <c r="C2503" t="s">
        <v>2338</v>
      </c>
      <c r="D2503" t="s">
        <v>5592</v>
      </c>
      <c r="E2503" s="2">
        <v>44677</v>
      </c>
      <c r="F2503">
        <v>934</v>
      </c>
      <c r="G2503" t="s">
        <v>1746</v>
      </c>
      <c r="H2503" t="s">
        <v>1747</v>
      </c>
      <c r="I2503" t="b">
        <v>0</v>
      </c>
      <c r="J2503" t="s">
        <v>1748</v>
      </c>
      <c r="K2503" t="s">
        <v>1757</v>
      </c>
      <c r="L2503" t="s">
        <v>1775</v>
      </c>
      <c r="M2503">
        <v>14</v>
      </c>
      <c r="N2503" t="b">
        <v>0</v>
      </c>
      <c r="P2503" t="s">
        <v>2283</v>
      </c>
      <c r="Q2503" t="s">
        <v>1705</v>
      </c>
    </row>
    <row r="2504" spans="1:18" x14ac:dyDescent="0.25">
      <c r="A2504" t="s">
        <v>5595</v>
      </c>
      <c r="B2504" t="s">
        <v>2150</v>
      </c>
      <c r="C2504" t="s">
        <v>4</v>
      </c>
      <c r="D2504" t="s">
        <v>5594</v>
      </c>
      <c r="E2504" s="2">
        <v>44260</v>
      </c>
      <c r="F2504">
        <v>1351</v>
      </c>
      <c r="G2504" t="s">
        <v>1746</v>
      </c>
      <c r="H2504" t="s">
        <v>1805</v>
      </c>
      <c r="I2504" t="b">
        <v>0</v>
      </c>
      <c r="J2504" t="s">
        <v>1761</v>
      </c>
      <c r="K2504" t="s">
        <v>1770</v>
      </c>
      <c r="L2504" t="s">
        <v>1750</v>
      </c>
      <c r="M2504">
        <v>14</v>
      </c>
      <c r="N2504" t="b">
        <v>1</v>
      </c>
      <c r="O2504">
        <v>97</v>
      </c>
      <c r="P2504" t="s">
        <v>1752</v>
      </c>
      <c r="Q2504" t="s">
        <v>1753</v>
      </c>
    </row>
    <row r="2505" spans="1:18" x14ac:dyDescent="0.25">
      <c r="A2505" t="s">
        <v>5596</v>
      </c>
      <c r="B2505" t="s">
        <v>1876</v>
      </c>
      <c r="C2505" t="s">
        <v>4</v>
      </c>
      <c r="D2505" t="s">
        <v>452</v>
      </c>
      <c r="E2505" s="2">
        <v>44536</v>
      </c>
      <c r="F2505">
        <v>1075</v>
      </c>
      <c r="G2505" t="s">
        <v>1746</v>
      </c>
      <c r="H2505" t="s">
        <v>1747</v>
      </c>
      <c r="I2505" t="b">
        <v>0</v>
      </c>
      <c r="J2505" t="s">
        <v>1748</v>
      </c>
      <c r="K2505" t="s">
        <v>1809</v>
      </c>
      <c r="L2505" t="s">
        <v>1750</v>
      </c>
      <c r="M2505">
        <v>13</v>
      </c>
      <c r="N2505" t="b">
        <v>1</v>
      </c>
      <c r="O2505">
        <v>554</v>
      </c>
      <c r="P2505" t="s">
        <v>1752</v>
      </c>
      <c r="Q2505" t="s">
        <v>1753</v>
      </c>
      <c r="R2505" t="s">
        <v>1759</v>
      </c>
    </row>
    <row r="2506" spans="1:18" x14ac:dyDescent="0.25">
      <c r="A2506" t="s">
        <v>5597</v>
      </c>
      <c r="B2506" t="s">
        <v>1860</v>
      </c>
      <c r="C2506" t="s">
        <v>4</v>
      </c>
      <c r="D2506" t="s">
        <v>1230</v>
      </c>
      <c r="E2506" s="2">
        <v>44253</v>
      </c>
      <c r="F2506">
        <v>1358</v>
      </c>
      <c r="G2506" t="s">
        <v>1746</v>
      </c>
      <c r="H2506" t="s">
        <v>1747</v>
      </c>
      <c r="I2506" t="b">
        <v>0</v>
      </c>
      <c r="J2506" t="s">
        <v>1748</v>
      </c>
      <c r="K2506" t="s">
        <v>1809</v>
      </c>
      <c r="L2506" t="s">
        <v>1750</v>
      </c>
      <c r="M2506">
        <v>13</v>
      </c>
      <c r="N2506" t="b">
        <v>1</v>
      </c>
      <c r="O2506">
        <v>804</v>
      </c>
      <c r="P2506" t="s">
        <v>1752</v>
      </c>
      <c r="Q2506" t="s">
        <v>1753</v>
      </c>
      <c r="R2506" t="s">
        <v>1759</v>
      </c>
    </row>
    <row r="2507" spans="1:18" x14ac:dyDescent="0.25">
      <c r="A2507" t="s">
        <v>5598</v>
      </c>
      <c r="B2507" t="s">
        <v>2997</v>
      </c>
      <c r="C2507" t="s">
        <v>4</v>
      </c>
      <c r="D2507" t="s">
        <v>1108</v>
      </c>
      <c r="E2507" s="2">
        <v>44452</v>
      </c>
      <c r="F2507">
        <v>1159</v>
      </c>
      <c r="G2507" t="s">
        <v>1746</v>
      </c>
      <c r="H2507" t="s">
        <v>1798</v>
      </c>
      <c r="I2507" t="b">
        <v>0</v>
      </c>
      <c r="J2507" t="s">
        <v>1748</v>
      </c>
      <c r="K2507" t="s">
        <v>1909</v>
      </c>
      <c r="L2507" t="s">
        <v>1750</v>
      </c>
      <c r="M2507">
        <v>13</v>
      </c>
      <c r="N2507" t="b">
        <v>1</v>
      </c>
      <c r="O2507">
        <v>765</v>
      </c>
      <c r="P2507" t="s">
        <v>1752</v>
      </c>
      <c r="Q2507" t="s">
        <v>1753</v>
      </c>
      <c r="R2507" t="s">
        <v>1759</v>
      </c>
    </row>
    <row r="2508" spans="1:18" x14ac:dyDescent="0.25">
      <c r="A2508" t="s">
        <v>1497</v>
      </c>
      <c r="B2508" t="s">
        <v>1876</v>
      </c>
      <c r="C2508" t="s">
        <v>6</v>
      </c>
      <c r="D2508" t="s">
        <v>1498</v>
      </c>
      <c r="E2508" s="2">
        <v>44651</v>
      </c>
      <c r="F2508">
        <v>960</v>
      </c>
      <c r="G2508" t="s">
        <v>1746</v>
      </c>
      <c r="H2508" t="s">
        <v>1747</v>
      </c>
      <c r="I2508" t="b">
        <v>0</v>
      </c>
      <c r="J2508" t="s">
        <v>1748</v>
      </c>
      <c r="K2508" t="s">
        <v>1896</v>
      </c>
      <c r="L2508" t="s">
        <v>1750</v>
      </c>
      <c r="M2508">
        <v>13</v>
      </c>
      <c r="N2508" t="b">
        <v>1</v>
      </c>
      <c r="O2508">
        <v>101</v>
      </c>
      <c r="P2508" t="s">
        <v>1752</v>
      </c>
      <c r="Q2508" t="s">
        <v>1753</v>
      </c>
    </row>
    <row r="2509" spans="1:18" x14ac:dyDescent="0.25">
      <c r="A2509" t="s">
        <v>5600</v>
      </c>
      <c r="B2509" t="s">
        <v>1704</v>
      </c>
      <c r="C2509" t="s">
        <v>1249</v>
      </c>
      <c r="D2509" t="s">
        <v>5599</v>
      </c>
      <c r="E2509" s="2">
        <v>42843</v>
      </c>
      <c r="F2509">
        <v>2768</v>
      </c>
      <c r="G2509" t="s">
        <v>1746</v>
      </c>
      <c r="H2509" t="s">
        <v>1747</v>
      </c>
      <c r="I2509" t="b">
        <v>0</v>
      </c>
      <c r="J2509" t="s">
        <v>1748</v>
      </c>
      <c r="K2509" t="s">
        <v>1823</v>
      </c>
      <c r="L2509" t="s">
        <v>2102</v>
      </c>
      <c r="M2509">
        <v>13</v>
      </c>
      <c r="N2509" t="b">
        <v>0</v>
      </c>
      <c r="P2509" t="s">
        <v>2070</v>
      </c>
      <c r="Q2509" t="s">
        <v>1779</v>
      </c>
    </row>
    <row r="2510" spans="1:18" x14ac:dyDescent="0.25">
      <c r="A2510" t="s">
        <v>5602</v>
      </c>
      <c r="B2510" t="s">
        <v>1704</v>
      </c>
      <c r="C2510" t="s">
        <v>572</v>
      </c>
      <c r="D2510" t="s">
        <v>5601</v>
      </c>
      <c r="E2510" s="2">
        <v>45387</v>
      </c>
      <c r="F2510">
        <v>224</v>
      </c>
      <c r="G2510" t="s">
        <v>1746</v>
      </c>
      <c r="H2510" t="s">
        <v>1747</v>
      </c>
      <c r="I2510" t="b">
        <v>0</v>
      </c>
      <c r="J2510" t="s">
        <v>1748</v>
      </c>
      <c r="K2510" t="s">
        <v>1853</v>
      </c>
      <c r="L2510" t="s">
        <v>1775</v>
      </c>
      <c r="M2510">
        <v>13</v>
      </c>
      <c r="N2510" t="b">
        <v>0</v>
      </c>
      <c r="P2510" t="s">
        <v>2283</v>
      </c>
      <c r="Q2510" t="s">
        <v>1705</v>
      </c>
    </row>
    <row r="2511" spans="1:18" x14ac:dyDescent="0.25">
      <c r="A2511" t="s">
        <v>5604</v>
      </c>
      <c r="B2511" t="s">
        <v>1876</v>
      </c>
      <c r="C2511" t="s">
        <v>4</v>
      </c>
      <c r="D2511" t="s">
        <v>5603</v>
      </c>
      <c r="E2511" s="2">
        <v>45394</v>
      </c>
      <c r="F2511">
        <v>217</v>
      </c>
      <c r="G2511" t="s">
        <v>1833</v>
      </c>
      <c r="H2511" t="s">
        <v>1747</v>
      </c>
      <c r="I2511" t="b">
        <v>0</v>
      </c>
      <c r="J2511" t="s">
        <v>1748</v>
      </c>
      <c r="K2511" t="s">
        <v>1848</v>
      </c>
      <c r="L2511" t="s">
        <v>1750</v>
      </c>
      <c r="M2511">
        <v>13</v>
      </c>
      <c r="N2511" t="b">
        <v>1</v>
      </c>
      <c r="O2511">
        <v>41</v>
      </c>
      <c r="P2511" t="s">
        <v>1752</v>
      </c>
      <c r="Q2511" t="s">
        <v>1753</v>
      </c>
      <c r="R2511" t="s">
        <v>1759</v>
      </c>
    </row>
    <row r="2512" spans="1:18" x14ac:dyDescent="0.25">
      <c r="A2512" t="s">
        <v>5606</v>
      </c>
      <c r="B2512" t="s">
        <v>3294</v>
      </c>
      <c r="C2512" t="s">
        <v>4</v>
      </c>
      <c r="D2512" t="s">
        <v>5605</v>
      </c>
      <c r="E2512" s="2">
        <v>45230</v>
      </c>
      <c r="F2512">
        <v>381</v>
      </c>
      <c r="G2512" t="s">
        <v>1833</v>
      </c>
      <c r="H2512" t="s">
        <v>1798</v>
      </c>
      <c r="I2512" t="b">
        <v>0</v>
      </c>
      <c r="J2512" t="s">
        <v>1761</v>
      </c>
      <c r="K2512" t="s">
        <v>1824</v>
      </c>
      <c r="L2512" t="s">
        <v>1750</v>
      </c>
      <c r="M2512">
        <v>13</v>
      </c>
      <c r="N2512" t="b">
        <v>1</v>
      </c>
      <c r="P2512" t="s">
        <v>1819</v>
      </c>
      <c r="Q2512" t="s">
        <v>1753</v>
      </c>
      <c r="R2512" t="s">
        <v>1759</v>
      </c>
    </row>
    <row r="2513" spans="1:18" x14ac:dyDescent="0.25">
      <c r="A2513" t="s">
        <v>5607</v>
      </c>
      <c r="B2513" t="s">
        <v>1876</v>
      </c>
      <c r="C2513" t="s">
        <v>4</v>
      </c>
      <c r="D2513" t="s">
        <v>287</v>
      </c>
      <c r="E2513" s="2">
        <v>44978</v>
      </c>
      <c r="F2513">
        <v>633</v>
      </c>
      <c r="G2513" t="s">
        <v>1746</v>
      </c>
      <c r="H2513" t="s">
        <v>1747</v>
      </c>
      <c r="I2513" t="b">
        <v>0</v>
      </c>
      <c r="J2513" t="s">
        <v>1748</v>
      </c>
      <c r="K2513" t="s">
        <v>1868</v>
      </c>
      <c r="L2513" t="s">
        <v>1766</v>
      </c>
      <c r="M2513">
        <v>13</v>
      </c>
      <c r="N2513" t="b">
        <v>0</v>
      </c>
      <c r="P2513" t="s">
        <v>1752</v>
      </c>
      <c r="Q2513" t="s">
        <v>1753</v>
      </c>
    </row>
    <row r="2514" spans="1:18" x14ac:dyDescent="0.25">
      <c r="A2514" t="s">
        <v>5609</v>
      </c>
      <c r="B2514" t="s">
        <v>1907</v>
      </c>
      <c r="C2514" t="s">
        <v>4</v>
      </c>
      <c r="D2514" t="s">
        <v>5608</v>
      </c>
      <c r="E2514" s="2">
        <v>44062</v>
      </c>
      <c r="F2514">
        <v>1549</v>
      </c>
      <c r="G2514" t="s">
        <v>1746</v>
      </c>
      <c r="H2514" t="s">
        <v>1747</v>
      </c>
      <c r="I2514" t="b">
        <v>1</v>
      </c>
      <c r="J2514" t="s">
        <v>1761</v>
      </c>
      <c r="K2514" t="s">
        <v>1853</v>
      </c>
      <c r="L2514" t="s">
        <v>1756</v>
      </c>
      <c r="M2514">
        <v>13</v>
      </c>
      <c r="N2514" t="b">
        <v>0</v>
      </c>
      <c r="O2514">
        <v>262</v>
      </c>
      <c r="P2514" t="s">
        <v>1752</v>
      </c>
      <c r="Q2514" t="s">
        <v>1753</v>
      </c>
      <c r="R2514" t="s">
        <v>1759</v>
      </c>
    </row>
    <row r="2515" spans="1:18" x14ac:dyDescent="0.25">
      <c r="A2515" t="s">
        <v>5611</v>
      </c>
      <c r="B2515" t="s">
        <v>1803</v>
      </c>
      <c r="C2515" t="s">
        <v>572</v>
      </c>
      <c r="D2515" t="s">
        <v>5610</v>
      </c>
      <c r="E2515" s="2">
        <v>42310</v>
      </c>
      <c r="F2515">
        <v>3301</v>
      </c>
      <c r="G2515" t="s">
        <v>1746</v>
      </c>
      <c r="H2515" t="s">
        <v>1798</v>
      </c>
      <c r="I2515" t="b">
        <v>0</v>
      </c>
      <c r="J2515" t="s">
        <v>1761</v>
      </c>
      <c r="K2515" t="s">
        <v>1824</v>
      </c>
      <c r="L2515" t="s">
        <v>1750</v>
      </c>
      <c r="M2515">
        <v>13</v>
      </c>
      <c r="N2515" t="b">
        <v>0</v>
      </c>
      <c r="O2515">
        <v>27</v>
      </c>
      <c r="P2515" t="s">
        <v>1819</v>
      </c>
      <c r="Q2515" t="s">
        <v>1753</v>
      </c>
      <c r="R2515" t="s">
        <v>1828</v>
      </c>
    </row>
    <row r="2516" spans="1:18" x14ac:dyDescent="0.25">
      <c r="A2516" t="s">
        <v>5613</v>
      </c>
      <c r="B2516" t="s">
        <v>4245</v>
      </c>
      <c r="C2516" t="s">
        <v>4</v>
      </c>
      <c r="D2516" t="s">
        <v>5612</v>
      </c>
      <c r="E2516" s="2">
        <v>44112</v>
      </c>
      <c r="F2516">
        <v>1499</v>
      </c>
      <c r="G2516" t="s">
        <v>1746</v>
      </c>
      <c r="H2516" t="s">
        <v>1805</v>
      </c>
      <c r="I2516" t="b">
        <v>0</v>
      </c>
      <c r="J2516" t="s">
        <v>1748</v>
      </c>
      <c r="K2516" t="s">
        <v>1774</v>
      </c>
      <c r="L2516" t="s">
        <v>1750</v>
      </c>
      <c r="M2516">
        <v>13</v>
      </c>
      <c r="N2516" t="b">
        <v>1</v>
      </c>
      <c r="O2516">
        <v>81</v>
      </c>
      <c r="P2516" t="s">
        <v>1752</v>
      </c>
      <c r="Q2516" t="s">
        <v>1753</v>
      </c>
    </row>
    <row r="2517" spans="1:18" x14ac:dyDescent="0.25">
      <c r="A2517" t="s">
        <v>5614</v>
      </c>
      <c r="B2517" t="s">
        <v>1874</v>
      </c>
      <c r="C2517" t="s">
        <v>4</v>
      </c>
      <c r="D2517" t="s">
        <v>185</v>
      </c>
      <c r="E2517" s="2">
        <v>44635</v>
      </c>
      <c r="F2517">
        <v>976</v>
      </c>
      <c r="G2517" t="s">
        <v>1746</v>
      </c>
      <c r="H2517" t="s">
        <v>1747</v>
      </c>
      <c r="I2517" t="b">
        <v>0</v>
      </c>
      <c r="J2517" t="s">
        <v>1748</v>
      </c>
      <c r="K2517" t="s">
        <v>1757</v>
      </c>
      <c r="L2517" t="s">
        <v>1750</v>
      </c>
      <c r="M2517">
        <v>13</v>
      </c>
      <c r="N2517" t="b">
        <v>1</v>
      </c>
      <c r="O2517">
        <v>21</v>
      </c>
      <c r="P2517" t="s">
        <v>1752</v>
      </c>
      <c r="Q2517" t="s">
        <v>1753</v>
      </c>
    </row>
    <row r="2518" spans="1:18" x14ac:dyDescent="0.25">
      <c r="A2518" t="s">
        <v>5615</v>
      </c>
      <c r="B2518" t="s">
        <v>1754</v>
      </c>
      <c r="C2518" t="s">
        <v>6</v>
      </c>
      <c r="D2518" t="s">
        <v>1118</v>
      </c>
      <c r="E2518" s="2">
        <v>40941</v>
      </c>
      <c r="F2518">
        <v>4670</v>
      </c>
      <c r="G2518" t="s">
        <v>1746</v>
      </c>
      <c r="H2518" t="s">
        <v>1747</v>
      </c>
      <c r="I2518" t="b">
        <v>0</v>
      </c>
      <c r="J2518" t="s">
        <v>1761</v>
      </c>
      <c r="K2518" t="s">
        <v>1749</v>
      </c>
      <c r="L2518" t="s">
        <v>1750</v>
      </c>
      <c r="M2518">
        <v>13</v>
      </c>
      <c r="N2518" t="b">
        <v>0</v>
      </c>
      <c r="O2518">
        <v>12</v>
      </c>
      <c r="P2518" t="s">
        <v>1819</v>
      </c>
      <c r="Q2518" t="s">
        <v>1753</v>
      </c>
    </row>
    <row r="2519" spans="1:18" x14ac:dyDescent="0.25">
      <c r="A2519" t="s">
        <v>5617</v>
      </c>
      <c r="B2519" t="s">
        <v>3181</v>
      </c>
      <c r="C2519" t="s">
        <v>6</v>
      </c>
      <c r="D2519" t="s">
        <v>5616</v>
      </c>
      <c r="E2519" s="2">
        <v>42865</v>
      </c>
      <c r="F2519">
        <v>2746</v>
      </c>
      <c r="G2519" t="s">
        <v>1746</v>
      </c>
      <c r="H2519" t="s">
        <v>1798</v>
      </c>
      <c r="I2519" t="b">
        <v>0</v>
      </c>
      <c r="J2519" t="s">
        <v>1748</v>
      </c>
      <c r="K2519" t="s">
        <v>1913</v>
      </c>
      <c r="L2519" t="s">
        <v>1766</v>
      </c>
      <c r="M2519">
        <v>13</v>
      </c>
      <c r="N2519" t="b">
        <v>0</v>
      </c>
      <c r="P2519" t="s">
        <v>1752</v>
      </c>
      <c r="Q2519" t="s">
        <v>1753</v>
      </c>
      <c r="R2519" t="s">
        <v>1759</v>
      </c>
    </row>
    <row r="2520" spans="1:18" x14ac:dyDescent="0.25">
      <c r="A2520" t="s">
        <v>4307</v>
      </c>
      <c r="B2520" t="s">
        <v>2060</v>
      </c>
      <c r="C2520" t="s">
        <v>4</v>
      </c>
      <c r="D2520" t="s">
        <v>200</v>
      </c>
      <c r="E2520" s="2">
        <v>43038</v>
      </c>
      <c r="F2520">
        <v>2573</v>
      </c>
      <c r="G2520" t="s">
        <v>1746</v>
      </c>
      <c r="H2520" t="s">
        <v>1747</v>
      </c>
      <c r="I2520" t="b">
        <v>0</v>
      </c>
      <c r="J2520" t="s">
        <v>1748</v>
      </c>
      <c r="K2520" t="s">
        <v>1868</v>
      </c>
      <c r="L2520" t="s">
        <v>1750</v>
      </c>
      <c r="M2520">
        <v>13</v>
      </c>
      <c r="N2520" t="b">
        <v>0</v>
      </c>
      <c r="O2520">
        <v>145</v>
      </c>
      <c r="P2520" t="s">
        <v>1752</v>
      </c>
      <c r="Q2520" t="s">
        <v>1753</v>
      </c>
      <c r="R2520" t="s">
        <v>1772</v>
      </c>
    </row>
    <row r="2521" spans="1:18" x14ac:dyDescent="0.25">
      <c r="A2521" t="s">
        <v>5618</v>
      </c>
      <c r="B2521" t="s">
        <v>1876</v>
      </c>
      <c r="C2521" t="s">
        <v>4</v>
      </c>
      <c r="D2521" t="s">
        <v>980</v>
      </c>
      <c r="E2521" s="2">
        <v>44102</v>
      </c>
      <c r="F2521">
        <v>1509</v>
      </c>
      <c r="G2521" t="s">
        <v>1833</v>
      </c>
      <c r="H2521" t="s">
        <v>1747</v>
      </c>
      <c r="I2521" t="b">
        <v>0</v>
      </c>
      <c r="J2521" t="s">
        <v>1748</v>
      </c>
      <c r="K2521" t="s">
        <v>1848</v>
      </c>
      <c r="L2521" t="s">
        <v>1817</v>
      </c>
      <c r="M2521">
        <v>13</v>
      </c>
      <c r="N2521" t="b">
        <v>0</v>
      </c>
      <c r="O2521">
        <v>44</v>
      </c>
      <c r="P2521" t="s">
        <v>1752</v>
      </c>
      <c r="Q2521" t="s">
        <v>1753</v>
      </c>
      <c r="R2521" t="s">
        <v>1759</v>
      </c>
    </row>
    <row r="2522" spans="1:18" x14ac:dyDescent="0.25">
      <c r="A2522" t="s">
        <v>5620</v>
      </c>
      <c r="B2522" t="s">
        <v>2284</v>
      </c>
      <c r="C2522" t="s">
        <v>186</v>
      </c>
      <c r="D2522" t="s">
        <v>5619</v>
      </c>
      <c r="E2522" s="2">
        <v>44524</v>
      </c>
      <c r="F2522">
        <v>1087</v>
      </c>
      <c r="G2522" t="s">
        <v>1746</v>
      </c>
      <c r="H2522" t="s">
        <v>1747</v>
      </c>
      <c r="I2522" t="b">
        <v>0</v>
      </c>
      <c r="J2522" t="s">
        <v>1748</v>
      </c>
      <c r="K2522" t="s">
        <v>2021</v>
      </c>
      <c r="L2522" t="s">
        <v>1775</v>
      </c>
      <c r="M2522">
        <v>13</v>
      </c>
      <c r="N2522" t="b">
        <v>0</v>
      </c>
      <c r="P2522" t="s">
        <v>2283</v>
      </c>
      <c r="Q2522" t="s">
        <v>1705</v>
      </c>
    </row>
    <row r="2523" spans="1:18" x14ac:dyDescent="0.25">
      <c r="A2523" t="s">
        <v>5622</v>
      </c>
      <c r="B2523" t="s">
        <v>1876</v>
      </c>
      <c r="C2523" t="s">
        <v>4</v>
      </c>
      <c r="D2523" t="s">
        <v>5621</v>
      </c>
      <c r="E2523" s="2">
        <v>45394</v>
      </c>
      <c r="F2523">
        <v>217</v>
      </c>
      <c r="G2523" t="s">
        <v>1833</v>
      </c>
      <c r="H2523" t="s">
        <v>1747</v>
      </c>
      <c r="I2523" t="b">
        <v>0</v>
      </c>
      <c r="J2523" t="s">
        <v>1748</v>
      </c>
      <c r="K2523" t="s">
        <v>1848</v>
      </c>
      <c r="L2523" t="s">
        <v>1750</v>
      </c>
      <c r="M2523">
        <v>13</v>
      </c>
      <c r="N2523" t="b">
        <v>1</v>
      </c>
      <c r="O2523">
        <v>32</v>
      </c>
      <c r="P2523" t="s">
        <v>1752</v>
      </c>
      <c r="Q2523" t="s">
        <v>1753</v>
      </c>
      <c r="R2523" t="s">
        <v>1759</v>
      </c>
    </row>
    <row r="2524" spans="1:18" x14ac:dyDescent="0.25">
      <c r="A2524" t="s">
        <v>5623</v>
      </c>
      <c r="B2524" t="s">
        <v>1829</v>
      </c>
      <c r="C2524" t="s">
        <v>4</v>
      </c>
      <c r="D2524" t="s">
        <v>408</v>
      </c>
      <c r="E2524" s="2">
        <v>43705</v>
      </c>
      <c r="F2524">
        <v>1906</v>
      </c>
      <c r="G2524" t="s">
        <v>1746</v>
      </c>
      <c r="H2524" t="s">
        <v>1798</v>
      </c>
      <c r="I2524" t="b">
        <v>0</v>
      </c>
      <c r="J2524" t="s">
        <v>1761</v>
      </c>
      <c r="K2524" t="s">
        <v>1822</v>
      </c>
      <c r="L2524" t="s">
        <v>1817</v>
      </c>
      <c r="M2524">
        <v>13</v>
      </c>
      <c r="N2524" t="b">
        <v>0</v>
      </c>
      <c r="O2524">
        <v>29</v>
      </c>
      <c r="P2524" t="s">
        <v>1819</v>
      </c>
      <c r="Q2524" t="s">
        <v>1753</v>
      </c>
      <c r="R2524" t="s">
        <v>1828</v>
      </c>
    </row>
    <row r="2525" spans="1:18" x14ac:dyDescent="0.25">
      <c r="A2525" t="s">
        <v>5625</v>
      </c>
      <c r="B2525" t="s">
        <v>1907</v>
      </c>
      <c r="C2525" t="s">
        <v>4</v>
      </c>
      <c r="D2525" t="s">
        <v>5624</v>
      </c>
      <c r="E2525" s="2">
        <v>44824</v>
      </c>
      <c r="F2525">
        <v>787</v>
      </c>
      <c r="G2525" t="s">
        <v>1746</v>
      </c>
      <c r="H2525" t="s">
        <v>1798</v>
      </c>
      <c r="I2525" t="b">
        <v>1</v>
      </c>
      <c r="J2525" t="s">
        <v>1761</v>
      </c>
      <c r="K2525" t="s">
        <v>1770</v>
      </c>
      <c r="L2525" t="s">
        <v>1750</v>
      </c>
      <c r="M2525">
        <v>13</v>
      </c>
      <c r="N2525" t="b">
        <v>1</v>
      </c>
      <c r="O2525">
        <v>35</v>
      </c>
      <c r="P2525" t="s">
        <v>1752</v>
      </c>
      <c r="Q2525" t="s">
        <v>1753</v>
      </c>
      <c r="R2525" t="s">
        <v>1759</v>
      </c>
    </row>
    <row r="2526" spans="1:18" x14ac:dyDescent="0.25">
      <c r="A2526" t="s">
        <v>5627</v>
      </c>
      <c r="B2526" t="s">
        <v>2150</v>
      </c>
      <c r="C2526" t="s">
        <v>4</v>
      </c>
      <c r="D2526" t="s">
        <v>5626</v>
      </c>
      <c r="E2526" s="2">
        <v>44686</v>
      </c>
      <c r="F2526">
        <v>925</v>
      </c>
      <c r="G2526" t="s">
        <v>1746</v>
      </c>
      <c r="H2526" t="s">
        <v>1747</v>
      </c>
      <c r="I2526" t="b">
        <v>0</v>
      </c>
      <c r="J2526" t="s">
        <v>1761</v>
      </c>
      <c r="K2526" t="s">
        <v>1846</v>
      </c>
      <c r="L2526" t="s">
        <v>1750</v>
      </c>
      <c r="M2526">
        <v>13</v>
      </c>
      <c r="N2526" t="b">
        <v>0</v>
      </c>
      <c r="O2526">
        <v>110</v>
      </c>
      <c r="P2526" t="s">
        <v>1819</v>
      </c>
      <c r="Q2526" t="s">
        <v>1753</v>
      </c>
    </row>
    <row r="2527" spans="1:18" x14ac:dyDescent="0.25">
      <c r="A2527" t="s">
        <v>5629</v>
      </c>
      <c r="B2527" t="s">
        <v>1907</v>
      </c>
      <c r="C2527" t="s">
        <v>6</v>
      </c>
      <c r="D2527" t="s">
        <v>5628</v>
      </c>
      <c r="E2527" s="2">
        <v>43845</v>
      </c>
      <c r="F2527">
        <v>1766</v>
      </c>
      <c r="G2527" t="s">
        <v>1746</v>
      </c>
      <c r="H2527" t="s">
        <v>1798</v>
      </c>
      <c r="I2527" t="b">
        <v>1</v>
      </c>
      <c r="J2527" t="s">
        <v>1748</v>
      </c>
      <c r="K2527" t="s">
        <v>1765</v>
      </c>
      <c r="L2527" t="s">
        <v>1817</v>
      </c>
      <c r="M2527">
        <v>13</v>
      </c>
      <c r="N2527" t="b">
        <v>0</v>
      </c>
      <c r="O2527">
        <v>1047</v>
      </c>
      <c r="P2527" t="s">
        <v>1819</v>
      </c>
      <c r="Q2527" t="s">
        <v>1753</v>
      </c>
      <c r="R2527" t="s">
        <v>1759</v>
      </c>
    </row>
    <row r="2528" spans="1:18" x14ac:dyDescent="0.25">
      <c r="A2528" t="s">
        <v>5631</v>
      </c>
      <c r="B2528" t="s">
        <v>1907</v>
      </c>
      <c r="C2528" t="s">
        <v>4</v>
      </c>
      <c r="D2528" t="s">
        <v>5630</v>
      </c>
      <c r="E2528" s="2">
        <v>44824</v>
      </c>
      <c r="F2528">
        <v>787</v>
      </c>
      <c r="G2528" t="s">
        <v>1746</v>
      </c>
      <c r="H2528" t="s">
        <v>1798</v>
      </c>
      <c r="I2528" t="b">
        <v>1</v>
      </c>
      <c r="J2528" t="s">
        <v>1761</v>
      </c>
      <c r="K2528" t="s">
        <v>1770</v>
      </c>
      <c r="L2528" t="s">
        <v>1750</v>
      </c>
      <c r="M2528">
        <v>13</v>
      </c>
      <c r="N2528" t="b">
        <v>1</v>
      </c>
      <c r="O2528">
        <v>22</v>
      </c>
      <c r="P2528" t="s">
        <v>1752</v>
      </c>
      <c r="Q2528" t="s">
        <v>1753</v>
      </c>
      <c r="R2528" t="s">
        <v>1759</v>
      </c>
    </row>
    <row r="2529" spans="1:18" x14ac:dyDescent="0.25">
      <c r="A2529" t="s">
        <v>5633</v>
      </c>
      <c r="B2529" t="s">
        <v>1978</v>
      </c>
      <c r="C2529" t="s">
        <v>4</v>
      </c>
      <c r="D2529" t="s">
        <v>5632</v>
      </c>
      <c r="E2529" s="2">
        <v>42068</v>
      </c>
      <c r="F2529">
        <v>3543</v>
      </c>
      <c r="G2529" t="s">
        <v>1746</v>
      </c>
      <c r="H2529" t="s">
        <v>1805</v>
      </c>
      <c r="I2529" t="b">
        <v>0</v>
      </c>
      <c r="J2529" t="s">
        <v>1748</v>
      </c>
      <c r="K2529" t="s">
        <v>1808</v>
      </c>
      <c r="L2529" t="s">
        <v>2102</v>
      </c>
      <c r="M2529">
        <v>13</v>
      </c>
      <c r="N2529" t="b">
        <v>0</v>
      </c>
      <c r="P2529" t="s">
        <v>2070</v>
      </c>
      <c r="Q2529" t="s">
        <v>1753</v>
      </c>
    </row>
    <row r="2530" spans="1:18" x14ac:dyDescent="0.25">
      <c r="A2530" t="s">
        <v>5635</v>
      </c>
      <c r="B2530" t="s">
        <v>2085</v>
      </c>
      <c r="C2530" t="s">
        <v>4</v>
      </c>
      <c r="D2530" t="s">
        <v>5634</v>
      </c>
      <c r="E2530" s="2">
        <v>43154</v>
      </c>
      <c r="F2530">
        <v>2457</v>
      </c>
      <c r="G2530" t="s">
        <v>1746</v>
      </c>
      <c r="H2530" t="s">
        <v>1798</v>
      </c>
      <c r="I2530" t="b">
        <v>1</v>
      </c>
      <c r="J2530" t="s">
        <v>1761</v>
      </c>
      <c r="K2530" t="s">
        <v>1776</v>
      </c>
      <c r="L2530" t="s">
        <v>1756</v>
      </c>
      <c r="M2530">
        <v>13</v>
      </c>
      <c r="N2530" t="b">
        <v>0</v>
      </c>
      <c r="O2530">
        <v>162</v>
      </c>
      <c r="P2530" t="s">
        <v>1752</v>
      </c>
      <c r="Q2530" t="s">
        <v>1753</v>
      </c>
      <c r="R2530" t="s">
        <v>1828</v>
      </c>
    </row>
    <row r="2531" spans="1:18" x14ac:dyDescent="0.25">
      <c r="A2531" t="s">
        <v>5637</v>
      </c>
      <c r="B2531" t="s">
        <v>4245</v>
      </c>
      <c r="C2531" t="s">
        <v>4</v>
      </c>
      <c r="D2531" t="s">
        <v>5636</v>
      </c>
      <c r="E2531" s="2">
        <v>44747</v>
      </c>
      <c r="F2531">
        <v>864</v>
      </c>
      <c r="G2531" t="s">
        <v>1746</v>
      </c>
      <c r="H2531" t="s">
        <v>1747</v>
      </c>
      <c r="I2531" t="b">
        <v>0</v>
      </c>
      <c r="J2531" t="s">
        <v>1761</v>
      </c>
      <c r="K2531" t="s">
        <v>1770</v>
      </c>
      <c r="L2531" t="s">
        <v>1750</v>
      </c>
      <c r="M2531">
        <v>13</v>
      </c>
      <c r="N2531" t="b">
        <v>1</v>
      </c>
      <c r="O2531">
        <v>228</v>
      </c>
      <c r="P2531" t="s">
        <v>1752</v>
      </c>
      <c r="Q2531" t="s">
        <v>1753</v>
      </c>
    </row>
    <row r="2532" spans="1:18" x14ac:dyDescent="0.25">
      <c r="A2532" t="s">
        <v>5638</v>
      </c>
      <c r="B2532" t="s">
        <v>2353</v>
      </c>
      <c r="C2532" t="s">
        <v>6</v>
      </c>
      <c r="D2532" t="s">
        <v>29</v>
      </c>
      <c r="E2532" s="2">
        <v>44642</v>
      </c>
      <c r="F2532">
        <v>969</v>
      </c>
      <c r="G2532" t="s">
        <v>1746</v>
      </c>
      <c r="H2532" t="s">
        <v>1747</v>
      </c>
      <c r="I2532" t="b">
        <v>0</v>
      </c>
      <c r="J2532" t="s">
        <v>1748</v>
      </c>
      <c r="K2532" t="s">
        <v>1934</v>
      </c>
      <c r="L2532" t="s">
        <v>1817</v>
      </c>
      <c r="M2532">
        <v>12</v>
      </c>
      <c r="N2532" t="b">
        <v>1</v>
      </c>
      <c r="O2532">
        <v>2929</v>
      </c>
      <c r="P2532" t="s">
        <v>1819</v>
      </c>
      <c r="Q2532" t="s">
        <v>1753</v>
      </c>
      <c r="R2532" t="s">
        <v>1759</v>
      </c>
    </row>
    <row r="2533" spans="1:18" x14ac:dyDescent="0.25">
      <c r="A2533" t="s">
        <v>5640</v>
      </c>
      <c r="B2533" t="s">
        <v>1803</v>
      </c>
      <c r="C2533" t="s">
        <v>572</v>
      </c>
      <c r="D2533" t="s">
        <v>5639</v>
      </c>
      <c r="E2533" s="2">
        <v>39875</v>
      </c>
      <c r="F2533">
        <v>5736</v>
      </c>
      <c r="G2533" t="s">
        <v>1746</v>
      </c>
      <c r="H2533" t="s">
        <v>1798</v>
      </c>
      <c r="I2533" t="b">
        <v>0</v>
      </c>
      <c r="J2533" t="s">
        <v>1761</v>
      </c>
      <c r="K2533" t="s">
        <v>1824</v>
      </c>
      <c r="L2533" t="s">
        <v>1750</v>
      </c>
      <c r="M2533">
        <v>12</v>
      </c>
      <c r="N2533" t="b">
        <v>0</v>
      </c>
      <c r="O2533">
        <v>25</v>
      </c>
      <c r="P2533" t="s">
        <v>1819</v>
      </c>
      <c r="Q2533" t="s">
        <v>1753</v>
      </c>
      <c r="R2533" t="s">
        <v>1828</v>
      </c>
    </row>
    <row r="2534" spans="1:18" x14ac:dyDescent="0.25">
      <c r="A2534" t="s">
        <v>5642</v>
      </c>
      <c r="B2534" t="s">
        <v>2173</v>
      </c>
      <c r="C2534" t="s">
        <v>4</v>
      </c>
      <c r="D2534" t="s">
        <v>5641</v>
      </c>
      <c r="E2534" s="2">
        <v>42402</v>
      </c>
      <c r="F2534">
        <v>3209</v>
      </c>
      <c r="G2534" t="s">
        <v>1746</v>
      </c>
      <c r="H2534" t="s">
        <v>2231</v>
      </c>
      <c r="I2534" t="b">
        <v>0</v>
      </c>
      <c r="J2534" t="s">
        <v>1748</v>
      </c>
      <c r="K2534" t="s">
        <v>1856</v>
      </c>
      <c r="L2534" t="s">
        <v>1756</v>
      </c>
      <c r="M2534">
        <v>12</v>
      </c>
      <c r="N2534" t="b">
        <v>1</v>
      </c>
      <c r="O2534">
        <v>496</v>
      </c>
      <c r="P2534" t="s">
        <v>1752</v>
      </c>
      <c r="Q2534" t="s">
        <v>1753</v>
      </c>
    </row>
    <row r="2535" spans="1:18" x14ac:dyDescent="0.25">
      <c r="A2535" t="s">
        <v>5644</v>
      </c>
      <c r="B2535" t="s">
        <v>1803</v>
      </c>
      <c r="C2535" t="s">
        <v>4</v>
      </c>
      <c r="D2535" t="s">
        <v>5643</v>
      </c>
      <c r="E2535" s="2">
        <v>40002</v>
      </c>
      <c r="F2535">
        <v>5609</v>
      </c>
      <c r="G2535" t="s">
        <v>1746</v>
      </c>
      <c r="H2535" t="s">
        <v>1798</v>
      </c>
      <c r="I2535" t="b">
        <v>0</v>
      </c>
      <c r="J2535" t="s">
        <v>1748</v>
      </c>
      <c r="K2535" t="s">
        <v>1755</v>
      </c>
      <c r="L2535" t="s">
        <v>1766</v>
      </c>
      <c r="M2535">
        <v>12</v>
      </c>
      <c r="N2535" t="b">
        <v>0</v>
      </c>
      <c r="P2535" t="s">
        <v>1752</v>
      </c>
      <c r="Q2535" t="s">
        <v>1753</v>
      </c>
      <c r="R2535" t="s">
        <v>1828</v>
      </c>
    </row>
    <row r="2536" spans="1:18" x14ac:dyDescent="0.25">
      <c r="A2536" t="s">
        <v>5646</v>
      </c>
      <c r="B2536" t="s">
        <v>1803</v>
      </c>
      <c r="C2536" t="s">
        <v>572</v>
      </c>
      <c r="D2536" t="s">
        <v>5645</v>
      </c>
      <c r="E2536" s="2">
        <v>37445</v>
      </c>
      <c r="F2536">
        <v>8166</v>
      </c>
      <c r="G2536" t="s">
        <v>1746</v>
      </c>
      <c r="H2536" t="s">
        <v>1798</v>
      </c>
      <c r="I2536" t="b">
        <v>0</v>
      </c>
      <c r="J2536" t="s">
        <v>1761</v>
      </c>
      <c r="K2536" t="s">
        <v>1912</v>
      </c>
      <c r="L2536" t="s">
        <v>1750</v>
      </c>
      <c r="M2536">
        <v>12</v>
      </c>
      <c r="N2536" t="b">
        <v>0</v>
      </c>
      <c r="O2536">
        <v>11</v>
      </c>
      <c r="P2536" t="s">
        <v>1752</v>
      </c>
      <c r="Q2536" t="s">
        <v>1753</v>
      </c>
      <c r="R2536" t="s">
        <v>1828</v>
      </c>
    </row>
    <row r="2537" spans="1:18" x14ac:dyDescent="0.25">
      <c r="A2537" t="s">
        <v>5647</v>
      </c>
      <c r="B2537" t="s">
        <v>2220</v>
      </c>
      <c r="C2537" t="s">
        <v>6</v>
      </c>
      <c r="D2537" t="s">
        <v>1179</v>
      </c>
      <c r="E2537" s="2">
        <v>44651</v>
      </c>
      <c r="F2537">
        <v>960</v>
      </c>
      <c r="G2537" t="s">
        <v>1746</v>
      </c>
      <c r="H2537" t="s">
        <v>1747</v>
      </c>
      <c r="I2537" t="b">
        <v>0</v>
      </c>
      <c r="J2537" t="s">
        <v>1748</v>
      </c>
      <c r="K2537" t="s">
        <v>1755</v>
      </c>
      <c r="L2537" t="s">
        <v>1817</v>
      </c>
      <c r="M2537">
        <v>12</v>
      </c>
      <c r="N2537" t="b">
        <v>1</v>
      </c>
      <c r="O2537">
        <v>177</v>
      </c>
      <c r="P2537" t="s">
        <v>1819</v>
      </c>
      <c r="Q2537" t="s">
        <v>1753</v>
      </c>
    </row>
    <row r="2538" spans="1:18" x14ac:dyDescent="0.25">
      <c r="A2538" t="s">
        <v>5649</v>
      </c>
      <c r="B2538" t="s">
        <v>5572</v>
      </c>
      <c r="C2538" t="s">
        <v>4</v>
      </c>
      <c r="D2538" t="s">
        <v>5648</v>
      </c>
      <c r="E2538" s="2">
        <v>45504</v>
      </c>
      <c r="F2538">
        <v>107</v>
      </c>
      <c r="G2538" t="s">
        <v>1833</v>
      </c>
      <c r="H2538" t="s">
        <v>1747</v>
      </c>
      <c r="I2538" t="b">
        <v>0</v>
      </c>
      <c r="J2538" t="s">
        <v>1748</v>
      </c>
      <c r="K2538" t="s">
        <v>1853</v>
      </c>
      <c r="L2538" t="s">
        <v>1750</v>
      </c>
      <c r="M2538">
        <v>12</v>
      </c>
      <c r="N2538" t="b">
        <v>1</v>
      </c>
      <c r="O2538">
        <v>261</v>
      </c>
      <c r="P2538" t="s">
        <v>1752</v>
      </c>
      <c r="Q2538" t="s">
        <v>1753</v>
      </c>
      <c r="R2538" t="s">
        <v>2028</v>
      </c>
    </row>
    <row r="2539" spans="1:18" x14ac:dyDescent="0.25">
      <c r="A2539" t="s">
        <v>5650</v>
      </c>
      <c r="B2539" t="s">
        <v>2046</v>
      </c>
      <c r="C2539" t="s">
        <v>6</v>
      </c>
      <c r="D2539" t="s">
        <v>1190</v>
      </c>
      <c r="E2539" s="2">
        <v>42398</v>
      </c>
      <c r="F2539">
        <v>3213</v>
      </c>
      <c r="G2539" t="s">
        <v>1746</v>
      </c>
      <c r="H2539" t="s">
        <v>1798</v>
      </c>
      <c r="I2539" t="b">
        <v>0</v>
      </c>
      <c r="J2539" t="s">
        <v>1761</v>
      </c>
      <c r="K2539" t="s">
        <v>1822</v>
      </c>
      <c r="L2539" t="s">
        <v>1750</v>
      </c>
      <c r="M2539">
        <v>12</v>
      </c>
      <c r="N2539" t="b">
        <v>0</v>
      </c>
      <c r="O2539">
        <v>96</v>
      </c>
      <c r="P2539" t="s">
        <v>1819</v>
      </c>
      <c r="Q2539" t="s">
        <v>1753</v>
      </c>
    </row>
    <row r="2540" spans="1:18" x14ac:dyDescent="0.25">
      <c r="A2540" t="s">
        <v>5651</v>
      </c>
      <c r="B2540" t="s">
        <v>1876</v>
      </c>
      <c r="C2540" t="s">
        <v>4</v>
      </c>
      <c r="D2540" t="s">
        <v>298</v>
      </c>
      <c r="E2540" s="2">
        <v>43773</v>
      </c>
      <c r="F2540">
        <v>1838</v>
      </c>
      <c r="G2540" t="s">
        <v>1746</v>
      </c>
      <c r="H2540" t="s">
        <v>1747</v>
      </c>
      <c r="I2540" t="b">
        <v>0</v>
      </c>
      <c r="J2540" t="s">
        <v>1748</v>
      </c>
      <c r="K2540" t="s">
        <v>1830</v>
      </c>
      <c r="L2540" t="s">
        <v>1750</v>
      </c>
      <c r="M2540">
        <v>12</v>
      </c>
      <c r="N2540" t="b">
        <v>0</v>
      </c>
      <c r="O2540">
        <v>750</v>
      </c>
      <c r="P2540" t="s">
        <v>1752</v>
      </c>
      <c r="Q2540" t="s">
        <v>1753</v>
      </c>
      <c r="R2540" t="s">
        <v>1772</v>
      </c>
    </row>
    <row r="2541" spans="1:18" x14ac:dyDescent="0.25">
      <c r="A2541" t="s">
        <v>5653</v>
      </c>
      <c r="B2541" t="s">
        <v>2177</v>
      </c>
      <c r="C2541" t="s">
        <v>4</v>
      </c>
      <c r="D2541" t="s">
        <v>5652</v>
      </c>
      <c r="E2541" s="2">
        <v>44344</v>
      </c>
      <c r="F2541">
        <v>1267</v>
      </c>
      <c r="G2541" t="s">
        <v>1746</v>
      </c>
      <c r="H2541" t="s">
        <v>1747</v>
      </c>
      <c r="I2541" t="b">
        <v>0</v>
      </c>
      <c r="J2541" t="s">
        <v>1748</v>
      </c>
      <c r="K2541" t="s">
        <v>1880</v>
      </c>
      <c r="L2541" t="s">
        <v>1817</v>
      </c>
      <c r="M2541">
        <v>12</v>
      </c>
      <c r="N2541" t="b">
        <v>1</v>
      </c>
      <c r="O2541">
        <v>605</v>
      </c>
      <c r="P2541" t="s">
        <v>1819</v>
      </c>
      <c r="Q2541" t="s">
        <v>1753</v>
      </c>
      <c r="R2541" t="s">
        <v>1772</v>
      </c>
    </row>
    <row r="2542" spans="1:18" x14ac:dyDescent="0.25">
      <c r="A2542" t="s">
        <v>5655</v>
      </c>
      <c r="B2542" t="s">
        <v>2150</v>
      </c>
      <c r="C2542" t="s">
        <v>6</v>
      </c>
      <c r="D2542" t="s">
        <v>5654</v>
      </c>
      <c r="E2542" s="2">
        <v>42034</v>
      </c>
      <c r="F2542">
        <v>3577</v>
      </c>
      <c r="G2542" t="s">
        <v>1746</v>
      </c>
      <c r="H2542" t="s">
        <v>1805</v>
      </c>
      <c r="I2542" t="b">
        <v>0</v>
      </c>
      <c r="J2542" t="s">
        <v>1748</v>
      </c>
      <c r="K2542" t="s">
        <v>1755</v>
      </c>
      <c r="L2542" t="s">
        <v>1750</v>
      </c>
      <c r="M2542">
        <v>12</v>
      </c>
      <c r="N2542" t="b">
        <v>1</v>
      </c>
      <c r="O2542">
        <v>38</v>
      </c>
      <c r="P2542" t="s">
        <v>1752</v>
      </c>
      <c r="Q2542" t="s">
        <v>1753</v>
      </c>
    </row>
    <row r="2543" spans="1:18" x14ac:dyDescent="0.25">
      <c r="A2543" t="s">
        <v>5657</v>
      </c>
      <c r="B2543" t="s">
        <v>2483</v>
      </c>
      <c r="C2543" t="s">
        <v>4</v>
      </c>
      <c r="D2543" t="s">
        <v>5656</v>
      </c>
      <c r="E2543" s="2">
        <v>45169</v>
      </c>
      <c r="F2543">
        <v>442</v>
      </c>
      <c r="G2543" t="s">
        <v>1833</v>
      </c>
      <c r="H2543" t="s">
        <v>1747</v>
      </c>
      <c r="I2543" t="b">
        <v>0</v>
      </c>
      <c r="J2543" t="s">
        <v>1748</v>
      </c>
      <c r="K2543" t="s">
        <v>2219</v>
      </c>
      <c r="L2543" t="s">
        <v>1750</v>
      </c>
      <c r="M2543">
        <v>12</v>
      </c>
      <c r="N2543" t="b">
        <v>0</v>
      </c>
      <c r="P2543" t="s">
        <v>1752</v>
      </c>
      <c r="Q2543" t="s">
        <v>1753</v>
      </c>
    </row>
    <row r="2544" spans="1:18" x14ac:dyDescent="0.25">
      <c r="A2544" t="s">
        <v>5658</v>
      </c>
      <c r="B2544" t="s">
        <v>1860</v>
      </c>
      <c r="C2544" t="s">
        <v>4</v>
      </c>
      <c r="D2544" t="s">
        <v>1213</v>
      </c>
      <c r="E2544" s="2">
        <v>44412</v>
      </c>
      <c r="F2544">
        <v>1199</v>
      </c>
      <c r="G2544" t="s">
        <v>1746</v>
      </c>
      <c r="H2544" t="s">
        <v>1747</v>
      </c>
      <c r="I2544" t="b">
        <v>0</v>
      </c>
      <c r="J2544" t="s">
        <v>1748</v>
      </c>
      <c r="K2544" t="s">
        <v>1770</v>
      </c>
      <c r="L2544" t="s">
        <v>1750</v>
      </c>
      <c r="M2544">
        <v>12</v>
      </c>
      <c r="N2544" t="b">
        <v>1</v>
      </c>
      <c r="O2544">
        <v>853</v>
      </c>
      <c r="P2544" t="s">
        <v>1752</v>
      </c>
      <c r="Q2544" t="s">
        <v>1753</v>
      </c>
      <c r="R2544" t="s">
        <v>1759</v>
      </c>
    </row>
    <row r="2545" spans="1:18" x14ac:dyDescent="0.25">
      <c r="A2545" t="s">
        <v>5660</v>
      </c>
      <c r="B2545" t="s">
        <v>1907</v>
      </c>
      <c r="C2545" t="s">
        <v>4</v>
      </c>
      <c r="D2545" t="s">
        <v>5659</v>
      </c>
      <c r="E2545" s="2">
        <v>44699</v>
      </c>
      <c r="F2545">
        <v>912</v>
      </c>
      <c r="G2545" t="s">
        <v>1746</v>
      </c>
      <c r="H2545" t="s">
        <v>1798</v>
      </c>
      <c r="I2545" t="b">
        <v>1</v>
      </c>
      <c r="J2545" t="s">
        <v>1748</v>
      </c>
      <c r="K2545" t="s">
        <v>1818</v>
      </c>
      <c r="L2545" t="s">
        <v>1750</v>
      </c>
      <c r="M2545">
        <v>12</v>
      </c>
      <c r="N2545" t="b">
        <v>0</v>
      </c>
      <c r="O2545">
        <v>40</v>
      </c>
      <c r="P2545" t="s">
        <v>2266</v>
      </c>
      <c r="Q2545" t="s">
        <v>1753</v>
      </c>
    </row>
    <row r="2546" spans="1:18" x14ac:dyDescent="0.25">
      <c r="A2546" t="s">
        <v>5661</v>
      </c>
      <c r="B2546" t="s">
        <v>1876</v>
      </c>
      <c r="C2546" t="s">
        <v>4</v>
      </c>
      <c r="D2546" t="s">
        <v>248</v>
      </c>
      <c r="E2546" s="2">
        <v>44641</v>
      </c>
      <c r="F2546">
        <v>970</v>
      </c>
      <c r="G2546" t="s">
        <v>1746</v>
      </c>
      <c r="H2546" t="s">
        <v>1747</v>
      </c>
      <c r="I2546" t="b">
        <v>0</v>
      </c>
      <c r="J2546" t="s">
        <v>1748</v>
      </c>
      <c r="K2546" t="s">
        <v>1809</v>
      </c>
      <c r="L2546" t="s">
        <v>1750</v>
      </c>
      <c r="M2546">
        <v>12</v>
      </c>
      <c r="N2546" t="b">
        <v>0</v>
      </c>
      <c r="O2546">
        <v>127</v>
      </c>
      <c r="P2546" t="s">
        <v>1752</v>
      </c>
      <c r="Q2546" t="s">
        <v>1753</v>
      </c>
    </row>
    <row r="2547" spans="1:18" x14ac:dyDescent="0.25">
      <c r="A2547" t="s">
        <v>5662</v>
      </c>
      <c r="B2547" t="s">
        <v>1876</v>
      </c>
      <c r="C2547" t="s">
        <v>4</v>
      </c>
      <c r="D2547" t="s">
        <v>1382</v>
      </c>
      <c r="E2547" s="2">
        <v>44426</v>
      </c>
      <c r="F2547">
        <v>1185</v>
      </c>
      <c r="G2547" t="s">
        <v>1746</v>
      </c>
      <c r="H2547" t="s">
        <v>1747</v>
      </c>
      <c r="I2547" t="b">
        <v>0</v>
      </c>
      <c r="J2547" t="s">
        <v>1748</v>
      </c>
      <c r="K2547" t="s">
        <v>1879</v>
      </c>
      <c r="L2547" t="s">
        <v>1750</v>
      </c>
      <c r="M2547">
        <v>12</v>
      </c>
      <c r="N2547" t="b">
        <v>1</v>
      </c>
      <c r="O2547">
        <v>683</v>
      </c>
      <c r="P2547" t="s">
        <v>1752</v>
      </c>
      <c r="Q2547" t="s">
        <v>1753</v>
      </c>
      <c r="R2547" t="s">
        <v>1772</v>
      </c>
    </row>
    <row r="2548" spans="1:18" x14ac:dyDescent="0.25">
      <c r="A2548" t="s">
        <v>5664</v>
      </c>
      <c r="B2548" t="s">
        <v>3629</v>
      </c>
      <c r="C2548" t="s">
        <v>6</v>
      </c>
      <c r="D2548" t="s">
        <v>5663</v>
      </c>
      <c r="E2548" s="2">
        <v>44091</v>
      </c>
      <c r="F2548">
        <v>1520</v>
      </c>
      <c r="G2548" t="s">
        <v>1746</v>
      </c>
      <c r="H2548" t="s">
        <v>1798</v>
      </c>
      <c r="I2548" t="b">
        <v>1</v>
      </c>
      <c r="J2548" t="s">
        <v>1761</v>
      </c>
      <c r="K2548" t="s">
        <v>1824</v>
      </c>
      <c r="L2548" t="s">
        <v>1750</v>
      </c>
      <c r="M2548">
        <v>12</v>
      </c>
      <c r="N2548" t="b">
        <v>0</v>
      </c>
      <c r="O2548">
        <v>55</v>
      </c>
      <c r="P2548" t="s">
        <v>1819</v>
      </c>
      <c r="Q2548" t="s">
        <v>1753</v>
      </c>
      <c r="R2548" t="s">
        <v>1828</v>
      </c>
    </row>
    <row r="2549" spans="1:18" x14ac:dyDescent="0.25">
      <c r="A2549" t="s">
        <v>5666</v>
      </c>
      <c r="B2549" t="s">
        <v>2173</v>
      </c>
      <c r="C2549" t="s">
        <v>4</v>
      </c>
      <c r="D2549" t="s">
        <v>5665</v>
      </c>
      <c r="E2549" s="2">
        <v>42318</v>
      </c>
      <c r="F2549">
        <v>3293</v>
      </c>
      <c r="G2549" t="s">
        <v>1746</v>
      </c>
      <c r="H2549" t="s">
        <v>2231</v>
      </c>
      <c r="I2549" t="b">
        <v>0</v>
      </c>
      <c r="J2549" t="s">
        <v>1761</v>
      </c>
      <c r="K2549" t="s">
        <v>1909</v>
      </c>
      <c r="L2549" t="s">
        <v>1750</v>
      </c>
      <c r="M2549">
        <v>12</v>
      </c>
      <c r="N2549" t="b">
        <v>1</v>
      </c>
      <c r="O2549">
        <v>147</v>
      </c>
      <c r="P2549" t="s">
        <v>1752</v>
      </c>
      <c r="Q2549" t="s">
        <v>1753</v>
      </c>
    </row>
    <row r="2550" spans="1:18" x14ac:dyDescent="0.25">
      <c r="A2550" t="s">
        <v>5667</v>
      </c>
      <c r="B2550" t="s">
        <v>1915</v>
      </c>
      <c r="C2550" t="s">
        <v>4</v>
      </c>
      <c r="D2550" t="s">
        <v>1279</v>
      </c>
      <c r="E2550" s="2">
        <v>44845</v>
      </c>
      <c r="F2550">
        <v>766</v>
      </c>
      <c r="G2550" t="s">
        <v>1746</v>
      </c>
      <c r="H2550" t="s">
        <v>1747</v>
      </c>
      <c r="I2550" t="b">
        <v>0</v>
      </c>
      <c r="J2550" t="s">
        <v>1761</v>
      </c>
      <c r="K2550" t="s">
        <v>1825</v>
      </c>
      <c r="L2550" t="s">
        <v>1750</v>
      </c>
      <c r="M2550">
        <v>12</v>
      </c>
      <c r="N2550" t="b">
        <v>1</v>
      </c>
      <c r="O2550">
        <v>2042</v>
      </c>
      <c r="P2550" t="s">
        <v>1752</v>
      </c>
      <c r="Q2550" t="s">
        <v>1753</v>
      </c>
      <c r="R2550" t="s">
        <v>2028</v>
      </c>
    </row>
    <row r="2551" spans="1:18" x14ac:dyDescent="0.25">
      <c r="A2551" t="s">
        <v>5669</v>
      </c>
      <c r="B2551" t="s">
        <v>2144</v>
      </c>
      <c r="C2551" t="s">
        <v>6</v>
      </c>
      <c r="D2551" t="s">
        <v>5668</v>
      </c>
      <c r="E2551" s="2">
        <v>44077</v>
      </c>
      <c r="F2551">
        <v>1534</v>
      </c>
      <c r="G2551" t="s">
        <v>1746</v>
      </c>
      <c r="H2551" t="s">
        <v>1798</v>
      </c>
      <c r="I2551" t="b">
        <v>0</v>
      </c>
      <c r="J2551" t="s">
        <v>1761</v>
      </c>
      <c r="K2551" t="s">
        <v>1853</v>
      </c>
      <c r="L2551" t="s">
        <v>1766</v>
      </c>
      <c r="M2551">
        <v>12</v>
      </c>
      <c r="N2551" t="b">
        <v>0</v>
      </c>
      <c r="P2551" t="s">
        <v>1752</v>
      </c>
      <c r="Q2551" t="s">
        <v>1753</v>
      </c>
      <c r="R2551" t="s">
        <v>1828</v>
      </c>
    </row>
    <row r="2552" spans="1:18" x14ac:dyDescent="0.25">
      <c r="A2552" t="s">
        <v>5671</v>
      </c>
      <c r="B2552" t="s">
        <v>1907</v>
      </c>
      <c r="C2552" t="s">
        <v>4</v>
      </c>
      <c r="D2552" t="s">
        <v>5670</v>
      </c>
      <c r="E2552" s="2">
        <v>45007</v>
      </c>
      <c r="F2552">
        <v>604</v>
      </c>
      <c r="G2552" t="s">
        <v>1746</v>
      </c>
      <c r="H2552" t="s">
        <v>1798</v>
      </c>
      <c r="I2552" t="b">
        <v>1</v>
      </c>
      <c r="J2552" t="s">
        <v>1748</v>
      </c>
      <c r="K2552" t="s">
        <v>1776</v>
      </c>
      <c r="L2552" t="s">
        <v>1817</v>
      </c>
      <c r="M2552">
        <v>12</v>
      </c>
      <c r="N2552" t="b">
        <v>0</v>
      </c>
      <c r="O2552">
        <v>508</v>
      </c>
      <c r="P2552" t="s">
        <v>1819</v>
      </c>
      <c r="Q2552" t="s">
        <v>1753</v>
      </c>
      <c r="R2552" t="s">
        <v>1759</v>
      </c>
    </row>
    <row r="2553" spans="1:18" x14ac:dyDescent="0.25">
      <c r="A2553" t="s">
        <v>5673</v>
      </c>
      <c r="B2553" t="s">
        <v>2378</v>
      </c>
      <c r="C2553" t="s">
        <v>4</v>
      </c>
      <c r="D2553" t="s">
        <v>5672</v>
      </c>
      <c r="E2553" s="2">
        <v>41373</v>
      </c>
      <c r="F2553">
        <v>4238</v>
      </c>
      <c r="G2553" t="s">
        <v>1746</v>
      </c>
      <c r="H2553" t="s">
        <v>1747</v>
      </c>
      <c r="I2553" t="b">
        <v>0</v>
      </c>
      <c r="J2553" t="s">
        <v>1748</v>
      </c>
      <c r="K2553" t="s">
        <v>1834</v>
      </c>
      <c r="L2553" t="s">
        <v>1750</v>
      </c>
      <c r="M2553">
        <v>12</v>
      </c>
      <c r="N2553" t="b">
        <v>0</v>
      </c>
      <c r="O2553">
        <v>151</v>
      </c>
      <c r="P2553" t="s">
        <v>1752</v>
      </c>
      <c r="Q2553" t="s">
        <v>1753</v>
      </c>
      <c r="R2553" t="s">
        <v>1772</v>
      </c>
    </row>
    <row r="2554" spans="1:18" x14ac:dyDescent="0.25">
      <c r="A2554" t="s">
        <v>5675</v>
      </c>
      <c r="B2554" t="s">
        <v>2133</v>
      </c>
      <c r="C2554" t="s">
        <v>4</v>
      </c>
      <c r="D2554" t="s">
        <v>5674</v>
      </c>
      <c r="E2554" s="2">
        <v>40646</v>
      </c>
      <c r="F2554">
        <v>4965</v>
      </c>
      <c r="G2554" t="s">
        <v>1746</v>
      </c>
      <c r="H2554" t="s">
        <v>1747</v>
      </c>
      <c r="I2554" t="b">
        <v>0</v>
      </c>
      <c r="J2554" t="s">
        <v>1748</v>
      </c>
      <c r="K2554" t="s">
        <v>1809</v>
      </c>
      <c r="L2554" t="s">
        <v>1775</v>
      </c>
      <c r="M2554">
        <v>12</v>
      </c>
      <c r="N2554" t="b">
        <v>0</v>
      </c>
      <c r="P2554" t="s">
        <v>1778</v>
      </c>
      <c r="Q2554" t="s">
        <v>1779</v>
      </c>
    </row>
    <row r="2555" spans="1:18" x14ac:dyDescent="0.25">
      <c r="A2555" t="s">
        <v>5677</v>
      </c>
      <c r="B2555" t="s">
        <v>1704</v>
      </c>
      <c r="C2555" t="s">
        <v>4</v>
      </c>
      <c r="D2555" t="s">
        <v>5676</v>
      </c>
      <c r="E2555" s="2">
        <v>45406</v>
      </c>
      <c r="F2555">
        <v>205</v>
      </c>
      <c r="G2555" t="s">
        <v>1746</v>
      </c>
      <c r="H2555" t="s">
        <v>1798</v>
      </c>
      <c r="I2555" t="b">
        <v>1</v>
      </c>
      <c r="J2555" t="s">
        <v>1748</v>
      </c>
      <c r="K2555" t="s">
        <v>1986</v>
      </c>
      <c r="L2555" t="s">
        <v>1756</v>
      </c>
      <c r="M2555">
        <v>12</v>
      </c>
      <c r="N2555" t="b">
        <v>0</v>
      </c>
      <c r="O2555">
        <v>1413</v>
      </c>
      <c r="P2555" t="s">
        <v>1752</v>
      </c>
      <c r="Q2555" t="s">
        <v>1753</v>
      </c>
      <c r="R2555" t="s">
        <v>1759</v>
      </c>
    </row>
    <row r="2556" spans="1:18" x14ac:dyDescent="0.25">
      <c r="A2556" t="s">
        <v>5679</v>
      </c>
      <c r="B2556" t="s">
        <v>2284</v>
      </c>
      <c r="C2556" t="s">
        <v>2338</v>
      </c>
      <c r="D2556" t="s">
        <v>5678</v>
      </c>
      <c r="E2556" s="2">
        <v>43650</v>
      </c>
      <c r="F2556">
        <v>1961</v>
      </c>
      <c r="G2556" t="s">
        <v>1746</v>
      </c>
      <c r="H2556" t="s">
        <v>1747</v>
      </c>
      <c r="I2556" t="b">
        <v>0</v>
      </c>
      <c r="J2556" t="s">
        <v>1748</v>
      </c>
      <c r="K2556" t="s">
        <v>1935</v>
      </c>
      <c r="L2556" t="s">
        <v>1775</v>
      </c>
      <c r="M2556">
        <v>12</v>
      </c>
      <c r="N2556" t="b">
        <v>0</v>
      </c>
      <c r="P2556" t="s">
        <v>2283</v>
      </c>
      <c r="Q2556" t="s">
        <v>1705</v>
      </c>
    </row>
    <row r="2557" spans="1:18" x14ac:dyDescent="0.25">
      <c r="A2557" t="s">
        <v>5680</v>
      </c>
      <c r="B2557" t="s">
        <v>2456</v>
      </c>
      <c r="C2557" t="s">
        <v>6</v>
      </c>
      <c r="D2557" t="s">
        <v>57</v>
      </c>
      <c r="E2557" s="2">
        <v>42759</v>
      </c>
      <c r="F2557">
        <v>2852</v>
      </c>
      <c r="G2557" t="s">
        <v>1746</v>
      </c>
      <c r="H2557" t="s">
        <v>1747</v>
      </c>
      <c r="I2557" t="b">
        <v>1</v>
      </c>
      <c r="J2557" t="s">
        <v>1748</v>
      </c>
      <c r="K2557" t="s">
        <v>1863</v>
      </c>
      <c r="L2557" t="s">
        <v>1750</v>
      </c>
      <c r="M2557">
        <v>12</v>
      </c>
      <c r="N2557" t="b">
        <v>0</v>
      </c>
      <c r="O2557">
        <v>48</v>
      </c>
      <c r="P2557" t="s">
        <v>1819</v>
      </c>
      <c r="Q2557" t="s">
        <v>1753</v>
      </c>
    </row>
    <row r="2558" spans="1:18" x14ac:dyDescent="0.25">
      <c r="A2558" t="s">
        <v>5682</v>
      </c>
      <c r="B2558" t="s">
        <v>1803</v>
      </c>
      <c r="C2558" t="s">
        <v>572</v>
      </c>
      <c r="D2558" t="s">
        <v>5681</v>
      </c>
      <c r="E2558" s="2">
        <v>39875</v>
      </c>
      <c r="F2558">
        <v>5736</v>
      </c>
      <c r="G2558" t="s">
        <v>1746</v>
      </c>
      <c r="H2558" t="s">
        <v>1798</v>
      </c>
      <c r="I2558" t="b">
        <v>0</v>
      </c>
      <c r="J2558" t="s">
        <v>1761</v>
      </c>
      <c r="K2558" t="s">
        <v>1824</v>
      </c>
      <c r="L2558" t="s">
        <v>1750</v>
      </c>
      <c r="M2558">
        <v>12</v>
      </c>
      <c r="N2558" t="b">
        <v>0</v>
      </c>
      <c r="O2558">
        <v>25</v>
      </c>
      <c r="P2558" t="s">
        <v>1819</v>
      </c>
      <c r="Q2558" t="s">
        <v>1753</v>
      </c>
      <c r="R2558" t="s">
        <v>1828</v>
      </c>
    </row>
    <row r="2559" spans="1:18" x14ac:dyDescent="0.25">
      <c r="A2559" t="s">
        <v>5684</v>
      </c>
      <c r="B2559" t="s">
        <v>2503</v>
      </c>
      <c r="C2559" t="s">
        <v>4</v>
      </c>
      <c r="D2559" t="s">
        <v>5683</v>
      </c>
      <c r="E2559" s="2">
        <v>43754</v>
      </c>
      <c r="F2559">
        <v>1857</v>
      </c>
      <c r="G2559" t="s">
        <v>1746</v>
      </c>
      <c r="H2559" t="s">
        <v>1747</v>
      </c>
      <c r="I2559" t="b">
        <v>1</v>
      </c>
      <c r="J2559" t="s">
        <v>1761</v>
      </c>
      <c r="K2559" t="s">
        <v>1770</v>
      </c>
      <c r="L2559" t="s">
        <v>1750</v>
      </c>
      <c r="M2559">
        <v>12</v>
      </c>
      <c r="N2559" t="b">
        <v>0</v>
      </c>
      <c r="O2559">
        <v>136</v>
      </c>
      <c r="P2559" t="s">
        <v>1752</v>
      </c>
      <c r="Q2559" t="s">
        <v>1753</v>
      </c>
      <c r="R2559" t="s">
        <v>1759</v>
      </c>
    </row>
    <row r="2560" spans="1:18" x14ac:dyDescent="0.25">
      <c r="A2560" t="s">
        <v>5686</v>
      </c>
      <c r="B2560" t="s">
        <v>2836</v>
      </c>
      <c r="C2560" t="s">
        <v>4</v>
      </c>
      <c r="D2560" t="s">
        <v>5685</v>
      </c>
      <c r="E2560" s="2">
        <v>45198</v>
      </c>
      <c r="F2560">
        <v>413</v>
      </c>
      <c r="G2560" t="s">
        <v>1746</v>
      </c>
      <c r="H2560" t="s">
        <v>1798</v>
      </c>
      <c r="I2560" t="b">
        <v>0</v>
      </c>
      <c r="J2560" t="s">
        <v>1748</v>
      </c>
      <c r="K2560" t="s">
        <v>1824</v>
      </c>
      <c r="L2560" t="s">
        <v>1817</v>
      </c>
      <c r="M2560">
        <v>12</v>
      </c>
      <c r="N2560" t="b">
        <v>1</v>
      </c>
      <c r="P2560" t="s">
        <v>1819</v>
      </c>
      <c r="Q2560" t="s">
        <v>1753</v>
      </c>
      <c r="R2560" t="s">
        <v>1759</v>
      </c>
    </row>
    <row r="2561" spans="1:18" x14ac:dyDescent="0.25">
      <c r="A2561" t="s">
        <v>5688</v>
      </c>
      <c r="B2561" t="s">
        <v>2085</v>
      </c>
      <c r="C2561" t="s">
        <v>4</v>
      </c>
      <c r="D2561" t="s">
        <v>5687</v>
      </c>
      <c r="E2561" s="2">
        <v>43154</v>
      </c>
      <c r="F2561">
        <v>2457</v>
      </c>
      <c r="G2561" t="s">
        <v>1746</v>
      </c>
      <c r="H2561" t="s">
        <v>1798</v>
      </c>
      <c r="I2561" t="b">
        <v>1</v>
      </c>
      <c r="J2561" t="s">
        <v>1761</v>
      </c>
      <c r="K2561" t="s">
        <v>1776</v>
      </c>
      <c r="L2561" t="s">
        <v>1756</v>
      </c>
      <c r="M2561">
        <v>12</v>
      </c>
      <c r="N2561" t="b">
        <v>0</v>
      </c>
      <c r="O2561">
        <v>126</v>
      </c>
      <c r="P2561" t="s">
        <v>1752</v>
      </c>
      <c r="Q2561" t="s">
        <v>1753</v>
      </c>
      <c r="R2561" t="s">
        <v>1828</v>
      </c>
    </row>
    <row r="2562" spans="1:18" x14ac:dyDescent="0.25">
      <c r="A2562" t="s">
        <v>5690</v>
      </c>
      <c r="B2562" t="s">
        <v>1907</v>
      </c>
      <c r="C2562" t="s">
        <v>4</v>
      </c>
      <c r="D2562" t="s">
        <v>5689</v>
      </c>
      <c r="E2562" s="2">
        <v>44824</v>
      </c>
      <c r="F2562">
        <v>787</v>
      </c>
      <c r="G2562" t="s">
        <v>1746</v>
      </c>
      <c r="H2562" t="s">
        <v>1798</v>
      </c>
      <c r="I2562" t="b">
        <v>1</v>
      </c>
      <c r="J2562" t="s">
        <v>1761</v>
      </c>
      <c r="K2562" t="s">
        <v>1770</v>
      </c>
      <c r="L2562" t="s">
        <v>1750</v>
      </c>
      <c r="M2562">
        <v>12</v>
      </c>
      <c r="N2562" t="b">
        <v>1</v>
      </c>
      <c r="O2562">
        <v>70</v>
      </c>
      <c r="P2562" t="s">
        <v>1752</v>
      </c>
      <c r="Q2562" t="s">
        <v>1753</v>
      </c>
      <c r="R2562" t="s">
        <v>1759</v>
      </c>
    </row>
    <row r="2563" spans="1:18" x14ac:dyDescent="0.25">
      <c r="A2563" t="s">
        <v>5691</v>
      </c>
      <c r="B2563" t="s">
        <v>2220</v>
      </c>
      <c r="C2563" t="s">
        <v>4</v>
      </c>
      <c r="D2563" t="s">
        <v>517</v>
      </c>
      <c r="E2563" s="2">
        <v>43376</v>
      </c>
      <c r="F2563">
        <v>2235</v>
      </c>
      <c r="G2563" t="s">
        <v>1746</v>
      </c>
      <c r="H2563" t="s">
        <v>1747</v>
      </c>
      <c r="I2563" t="b">
        <v>1</v>
      </c>
      <c r="J2563" t="s">
        <v>1761</v>
      </c>
      <c r="K2563" t="s">
        <v>1868</v>
      </c>
      <c r="L2563" t="s">
        <v>1750</v>
      </c>
      <c r="M2563">
        <v>12</v>
      </c>
      <c r="N2563" t="b">
        <v>0</v>
      </c>
      <c r="O2563">
        <v>298</v>
      </c>
      <c r="P2563" t="s">
        <v>1752</v>
      </c>
      <c r="Q2563" t="s">
        <v>1753</v>
      </c>
    </row>
    <row r="2564" spans="1:18" x14ac:dyDescent="0.25">
      <c r="A2564" t="s">
        <v>5693</v>
      </c>
      <c r="B2564" t="s">
        <v>5572</v>
      </c>
      <c r="C2564" t="s">
        <v>4</v>
      </c>
      <c r="D2564" t="s">
        <v>5692</v>
      </c>
      <c r="E2564" s="2">
        <v>45504</v>
      </c>
      <c r="F2564">
        <v>107</v>
      </c>
      <c r="G2564" t="s">
        <v>1833</v>
      </c>
      <c r="H2564" t="s">
        <v>1747</v>
      </c>
      <c r="I2564" t="b">
        <v>0</v>
      </c>
      <c r="J2564" t="s">
        <v>1748</v>
      </c>
      <c r="K2564" t="s">
        <v>1755</v>
      </c>
      <c r="L2564" t="s">
        <v>1750</v>
      </c>
      <c r="M2564">
        <v>11</v>
      </c>
      <c r="N2564" t="b">
        <v>1</v>
      </c>
      <c r="O2564">
        <v>210</v>
      </c>
      <c r="P2564" t="s">
        <v>1752</v>
      </c>
      <c r="Q2564" t="s">
        <v>1753</v>
      </c>
    </row>
    <row r="2565" spans="1:18" x14ac:dyDescent="0.25">
      <c r="A2565" t="s">
        <v>5695</v>
      </c>
      <c r="B2565" t="s">
        <v>1803</v>
      </c>
      <c r="C2565" t="s">
        <v>6</v>
      </c>
      <c r="D2565" t="s">
        <v>5694</v>
      </c>
      <c r="E2565" s="2">
        <v>40443</v>
      </c>
      <c r="F2565">
        <v>5168</v>
      </c>
      <c r="G2565" t="s">
        <v>1746</v>
      </c>
      <c r="H2565" t="s">
        <v>1798</v>
      </c>
      <c r="I2565" t="b">
        <v>0</v>
      </c>
      <c r="J2565" t="s">
        <v>1748</v>
      </c>
      <c r="K2565" t="s">
        <v>1824</v>
      </c>
      <c r="L2565" t="s">
        <v>1766</v>
      </c>
      <c r="M2565">
        <v>11</v>
      </c>
      <c r="N2565" t="b">
        <v>0</v>
      </c>
      <c r="P2565" t="s">
        <v>1819</v>
      </c>
      <c r="Q2565" t="s">
        <v>1753</v>
      </c>
      <c r="R2565" t="s">
        <v>1828</v>
      </c>
    </row>
    <row r="2566" spans="1:18" x14ac:dyDescent="0.25">
      <c r="A2566" t="s">
        <v>5696</v>
      </c>
      <c r="B2566" t="s">
        <v>4245</v>
      </c>
      <c r="C2566" t="s">
        <v>4</v>
      </c>
      <c r="D2566" t="s">
        <v>344</v>
      </c>
      <c r="E2566" s="2">
        <v>44754</v>
      </c>
      <c r="F2566">
        <v>857</v>
      </c>
      <c r="G2566" t="s">
        <v>1746</v>
      </c>
      <c r="H2566" t="s">
        <v>1798</v>
      </c>
      <c r="I2566" t="b">
        <v>1</v>
      </c>
      <c r="J2566" t="s">
        <v>1748</v>
      </c>
      <c r="K2566" t="s">
        <v>1822</v>
      </c>
      <c r="L2566" t="s">
        <v>1750</v>
      </c>
      <c r="M2566">
        <v>11</v>
      </c>
      <c r="N2566" t="b">
        <v>0</v>
      </c>
      <c r="O2566">
        <v>415</v>
      </c>
      <c r="P2566" t="s">
        <v>1752</v>
      </c>
      <c r="Q2566" t="s">
        <v>1753</v>
      </c>
      <c r="R2566" t="s">
        <v>1828</v>
      </c>
    </row>
    <row r="2567" spans="1:18" x14ac:dyDescent="0.25">
      <c r="A2567" t="s">
        <v>5698</v>
      </c>
      <c r="B2567" t="s">
        <v>2284</v>
      </c>
      <c r="C2567" t="s">
        <v>186</v>
      </c>
      <c r="D2567" t="s">
        <v>5697</v>
      </c>
      <c r="E2567" s="2">
        <v>44518</v>
      </c>
      <c r="F2567">
        <v>1093</v>
      </c>
      <c r="G2567" t="s">
        <v>1746</v>
      </c>
      <c r="H2567" t="s">
        <v>1747</v>
      </c>
      <c r="I2567" t="b">
        <v>0</v>
      </c>
      <c r="J2567" t="s">
        <v>1748</v>
      </c>
      <c r="K2567" t="s">
        <v>1751</v>
      </c>
      <c r="L2567" t="s">
        <v>1775</v>
      </c>
      <c r="M2567">
        <v>11</v>
      </c>
      <c r="N2567" t="b">
        <v>0</v>
      </c>
      <c r="P2567" t="s">
        <v>2283</v>
      </c>
      <c r="Q2567" t="s">
        <v>1705</v>
      </c>
    </row>
    <row r="2568" spans="1:18" x14ac:dyDescent="0.25">
      <c r="A2568" t="s">
        <v>5699</v>
      </c>
      <c r="B2568" t="s">
        <v>1945</v>
      </c>
      <c r="C2568" t="s">
        <v>6</v>
      </c>
      <c r="D2568" t="s">
        <v>140</v>
      </c>
      <c r="E2568" s="2">
        <v>42528</v>
      </c>
      <c r="F2568">
        <v>3083</v>
      </c>
      <c r="G2568" t="s">
        <v>1746</v>
      </c>
      <c r="H2568" t="s">
        <v>1798</v>
      </c>
      <c r="I2568" t="b">
        <v>0</v>
      </c>
      <c r="J2568" t="s">
        <v>1748</v>
      </c>
      <c r="K2568" t="s">
        <v>1879</v>
      </c>
      <c r="L2568" t="s">
        <v>1750</v>
      </c>
      <c r="M2568">
        <v>11</v>
      </c>
      <c r="N2568" t="b">
        <v>1</v>
      </c>
      <c r="P2568" t="s">
        <v>1752</v>
      </c>
      <c r="Q2568" t="s">
        <v>1753</v>
      </c>
    </row>
    <row r="2569" spans="1:18" x14ac:dyDescent="0.25">
      <c r="A2569" t="s">
        <v>5701</v>
      </c>
      <c r="B2569" t="s">
        <v>3294</v>
      </c>
      <c r="C2569" t="s">
        <v>4</v>
      </c>
      <c r="D2569" t="s">
        <v>5700</v>
      </c>
      <c r="E2569" s="2">
        <v>45182</v>
      </c>
      <c r="F2569">
        <v>429</v>
      </c>
      <c r="G2569" t="s">
        <v>1746</v>
      </c>
      <c r="H2569" t="s">
        <v>1747</v>
      </c>
      <c r="I2569" t="b">
        <v>0</v>
      </c>
      <c r="J2569" t="s">
        <v>1761</v>
      </c>
      <c r="K2569" t="s">
        <v>1776</v>
      </c>
      <c r="L2569" t="s">
        <v>1750</v>
      </c>
      <c r="M2569">
        <v>11</v>
      </c>
      <c r="N2569" t="b">
        <v>1</v>
      </c>
      <c r="O2569">
        <v>224</v>
      </c>
      <c r="P2569" t="s">
        <v>1752</v>
      </c>
      <c r="Q2569" t="s">
        <v>1753</v>
      </c>
      <c r="R2569" t="s">
        <v>1759</v>
      </c>
    </row>
    <row r="2570" spans="1:18" x14ac:dyDescent="0.25">
      <c r="A2570" t="s">
        <v>5703</v>
      </c>
      <c r="B2570" t="s">
        <v>2173</v>
      </c>
      <c r="C2570" t="s">
        <v>6</v>
      </c>
      <c r="D2570" t="s">
        <v>5702</v>
      </c>
      <c r="E2570" s="2">
        <v>42622</v>
      </c>
      <c r="F2570">
        <v>2989</v>
      </c>
      <c r="G2570" t="s">
        <v>1746</v>
      </c>
      <c r="H2570" t="s">
        <v>2231</v>
      </c>
      <c r="I2570" t="b">
        <v>1</v>
      </c>
      <c r="J2570" t="s">
        <v>1748</v>
      </c>
      <c r="K2570" t="s">
        <v>1776</v>
      </c>
      <c r="L2570" t="s">
        <v>1750</v>
      </c>
      <c r="M2570">
        <v>11</v>
      </c>
      <c r="N2570" t="b">
        <v>0</v>
      </c>
      <c r="O2570">
        <v>198</v>
      </c>
      <c r="P2570" t="s">
        <v>1752</v>
      </c>
      <c r="Q2570" t="s">
        <v>1753</v>
      </c>
    </row>
    <row r="2571" spans="1:18" x14ac:dyDescent="0.25">
      <c r="A2571" t="s">
        <v>5705</v>
      </c>
      <c r="B2571" t="s">
        <v>2836</v>
      </c>
      <c r="C2571" t="s">
        <v>6</v>
      </c>
      <c r="D2571" t="s">
        <v>5704</v>
      </c>
      <c r="E2571" s="2">
        <v>45407</v>
      </c>
      <c r="F2571">
        <v>204</v>
      </c>
      <c r="G2571" t="s">
        <v>1746</v>
      </c>
      <c r="H2571" t="s">
        <v>1798</v>
      </c>
      <c r="I2571" t="b">
        <v>0</v>
      </c>
      <c r="J2571" t="s">
        <v>1761</v>
      </c>
      <c r="K2571" t="s">
        <v>1863</v>
      </c>
      <c r="L2571" t="s">
        <v>1750</v>
      </c>
      <c r="M2571">
        <v>11</v>
      </c>
      <c r="N2571" t="b">
        <v>0</v>
      </c>
      <c r="O2571">
        <v>31</v>
      </c>
      <c r="P2571" t="s">
        <v>1819</v>
      </c>
      <c r="Q2571" t="s">
        <v>1753</v>
      </c>
      <c r="R2571" t="s">
        <v>1828</v>
      </c>
    </row>
    <row r="2572" spans="1:18" x14ac:dyDescent="0.25">
      <c r="A2572" t="s">
        <v>5707</v>
      </c>
      <c r="B2572" t="s">
        <v>2085</v>
      </c>
      <c r="C2572" t="s">
        <v>4</v>
      </c>
      <c r="D2572" t="s">
        <v>5706</v>
      </c>
      <c r="E2572" s="2">
        <v>43251</v>
      </c>
      <c r="F2572">
        <v>2360</v>
      </c>
      <c r="G2572" t="s">
        <v>1746</v>
      </c>
      <c r="H2572" t="s">
        <v>1747</v>
      </c>
      <c r="I2572" t="b">
        <v>0</v>
      </c>
      <c r="J2572" t="s">
        <v>1748</v>
      </c>
      <c r="K2572" t="s">
        <v>1868</v>
      </c>
      <c r="L2572" t="s">
        <v>1817</v>
      </c>
      <c r="M2572">
        <v>11</v>
      </c>
      <c r="N2572" t="b">
        <v>0</v>
      </c>
      <c r="O2572">
        <v>107</v>
      </c>
      <c r="P2572" t="s">
        <v>1819</v>
      </c>
      <c r="Q2572" t="s">
        <v>1753</v>
      </c>
      <c r="R2572" t="s">
        <v>2028</v>
      </c>
    </row>
    <row r="2573" spans="1:18" x14ac:dyDescent="0.25">
      <c r="A2573" t="s">
        <v>5709</v>
      </c>
      <c r="B2573" t="s">
        <v>1704</v>
      </c>
      <c r="C2573" t="s">
        <v>4</v>
      </c>
      <c r="D2573" t="s">
        <v>5708</v>
      </c>
      <c r="E2573" s="2">
        <v>44592</v>
      </c>
      <c r="F2573">
        <v>1019</v>
      </c>
      <c r="G2573" t="s">
        <v>1746</v>
      </c>
      <c r="H2573" t="s">
        <v>1747</v>
      </c>
      <c r="I2573" t="b">
        <v>1</v>
      </c>
      <c r="J2573" t="s">
        <v>1761</v>
      </c>
      <c r="K2573" t="s">
        <v>1913</v>
      </c>
      <c r="L2573" t="s">
        <v>1817</v>
      </c>
      <c r="M2573">
        <v>11</v>
      </c>
      <c r="N2573" t="b">
        <v>0</v>
      </c>
      <c r="O2573">
        <v>340</v>
      </c>
      <c r="P2573" t="s">
        <v>1819</v>
      </c>
      <c r="Q2573" t="s">
        <v>1753</v>
      </c>
      <c r="R2573" t="s">
        <v>1759</v>
      </c>
    </row>
    <row r="2574" spans="1:18" x14ac:dyDescent="0.25">
      <c r="A2574" t="s">
        <v>5711</v>
      </c>
      <c r="B2574" t="s">
        <v>1704</v>
      </c>
      <c r="C2574" t="s">
        <v>6</v>
      </c>
      <c r="D2574" t="s">
        <v>5710</v>
      </c>
      <c r="E2574" s="2">
        <v>45560</v>
      </c>
      <c r="F2574">
        <v>51</v>
      </c>
      <c r="G2574" t="s">
        <v>1746</v>
      </c>
      <c r="H2574" t="s">
        <v>1798</v>
      </c>
      <c r="I2574" t="b">
        <v>0</v>
      </c>
      <c r="J2574" t="s">
        <v>1761</v>
      </c>
      <c r="K2574" t="s">
        <v>1774</v>
      </c>
      <c r="L2574" t="s">
        <v>1817</v>
      </c>
      <c r="M2574">
        <v>11</v>
      </c>
      <c r="N2574" t="b">
        <v>1</v>
      </c>
      <c r="P2574" t="s">
        <v>1819</v>
      </c>
      <c r="Q2574" t="s">
        <v>1753</v>
      </c>
      <c r="R2574" t="s">
        <v>1759</v>
      </c>
    </row>
    <row r="2575" spans="1:18" x14ac:dyDescent="0.25">
      <c r="A2575" t="s">
        <v>5712</v>
      </c>
      <c r="B2575" t="s">
        <v>1781</v>
      </c>
      <c r="C2575" t="s">
        <v>186</v>
      </c>
      <c r="D2575" t="s">
        <v>1447</v>
      </c>
      <c r="E2575" s="2">
        <v>38987</v>
      </c>
      <c r="F2575">
        <v>6624</v>
      </c>
      <c r="G2575" t="s">
        <v>1746</v>
      </c>
      <c r="H2575" t="s">
        <v>1747</v>
      </c>
      <c r="I2575" t="b">
        <v>0</v>
      </c>
      <c r="J2575" t="s">
        <v>1748</v>
      </c>
      <c r="K2575" t="s">
        <v>1830</v>
      </c>
      <c r="L2575" t="s">
        <v>2102</v>
      </c>
      <c r="M2575">
        <v>11</v>
      </c>
      <c r="N2575" t="b">
        <v>0</v>
      </c>
      <c r="P2575" t="s">
        <v>2070</v>
      </c>
      <c r="Q2575" t="s">
        <v>1779</v>
      </c>
    </row>
    <row r="2576" spans="1:18" x14ac:dyDescent="0.25">
      <c r="A2576" t="s">
        <v>5713</v>
      </c>
      <c r="B2576" t="s">
        <v>2035</v>
      </c>
      <c r="C2576" t="s">
        <v>6</v>
      </c>
      <c r="D2576" t="s">
        <v>942</v>
      </c>
      <c r="E2576" s="2">
        <v>38954</v>
      </c>
      <c r="F2576">
        <v>6657</v>
      </c>
      <c r="G2576" t="s">
        <v>1746</v>
      </c>
      <c r="H2576" t="s">
        <v>1798</v>
      </c>
      <c r="I2576" t="b">
        <v>0</v>
      </c>
      <c r="J2576" t="s">
        <v>1748</v>
      </c>
      <c r="K2576" t="s">
        <v>1853</v>
      </c>
      <c r="L2576" t="s">
        <v>1766</v>
      </c>
      <c r="M2576">
        <v>11</v>
      </c>
      <c r="N2576" t="b">
        <v>0</v>
      </c>
      <c r="P2576" t="s">
        <v>1752</v>
      </c>
      <c r="Q2576" t="s">
        <v>1753</v>
      </c>
      <c r="R2576" t="s">
        <v>1828</v>
      </c>
    </row>
    <row r="2577" spans="1:18" x14ac:dyDescent="0.25">
      <c r="A2577" t="s">
        <v>5715</v>
      </c>
      <c r="B2577" t="s">
        <v>2150</v>
      </c>
      <c r="C2577" t="s">
        <v>4</v>
      </c>
      <c r="D2577" t="s">
        <v>5714</v>
      </c>
      <c r="E2577" s="2">
        <v>45433</v>
      </c>
      <c r="F2577">
        <v>178</v>
      </c>
      <c r="G2577" t="s">
        <v>1746</v>
      </c>
      <c r="H2577" t="s">
        <v>1747</v>
      </c>
      <c r="I2577" t="b">
        <v>1</v>
      </c>
      <c r="J2577" t="s">
        <v>1748</v>
      </c>
      <c r="K2577" t="s">
        <v>1822</v>
      </c>
      <c r="L2577" t="s">
        <v>1817</v>
      </c>
      <c r="M2577">
        <v>11</v>
      </c>
      <c r="N2577" t="b">
        <v>1</v>
      </c>
      <c r="O2577">
        <v>340</v>
      </c>
      <c r="P2577" t="s">
        <v>1819</v>
      </c>
      <c r="Q2577" t="s">
        <v>1753</v>
      </c>
      <c r="R2577" t="s">
        <v>1759</v>
      </c>
    </row>
    <row r="2578" spans="1:18" x14ac:dyDescent="0.25">
      <c r="A2578" t="s">
        <v>5717</v>
      </c>
      <c r="B2578" t="s">
        <v>2150</v>
      </c>
      <c r="C2578" t="s">
        <v>4</v>
      </c>
      <c r="D2578" t="s">
        <v>5716</v>
      </c>
      <c r="E2578" s="2">
        <v>45335</v>
      </c>
      <c r="F2578">
        <v>276</v>
      </c>
      <c r="G2578" t="s">
        <v>1746</v>
      </c>
      <c r="H2578" t="s">
        <v>1805</v>
      </c>
      <c r="I2578" t="b">
        <v>0</v>
      </c>
      <c r="J2578" t="s">
        <v>1761</v>
      </c>
      <c r="K2578" t="s">
        <v>1793</v>
      </c>
      <c r="L2578" t="s">
        <v>1750</v>
      </c>
      <c r="M2578">
        <v>11</v>
      </c>
      <c r="N2578" t="b">
        <v>1</v>
      </c>
      <c r="P2578" t="s">
        <v>1819</v>
      </c>
      <c r="Q2578" t="s">
        <v>1753</v>
      </c>
      <c r="R2578" t="s">
        <v>1759</v>
      </c>
    </row>
    <row r="2579" spans="1:18" x14ac:dyDescent="0.25">
      <c r="A2579" t="s">
        <v>5719</v>
      </c>
      <c r="B2579" t="s">
        <v>2173</v>
      </c>
      <c r="C2579" t="s">
        <v>6</v>
      </c>
      <c r="D2579" t="s">
        <v>5718</v>
      </c>
      <c r="E2579" s="2">
        <v>41704</v>
      </c>
      <c r="F2579">
        <v>3907</v>
      </c>
      <c r="G2579" t="s">
        <v>1746</v>
      </c>
      <c r="H2579" t="s">
        <v>1747</v>
      </c>
      <c r="I2579" t="b">
        <v>0</v>
      </c>
      <c r="J2579" t="s">
        <v>1748</v>
      </c>
      <c r="K2579" t="s">
        <v>1822</v>
      </c>
      <c r="L2579" t="s">
        <v>1817</v>
      </c>
      <c r="M2579">
        <v>11</v>
      </c>
      <c r="N2579" t="b">
        <v>1</v>
      </c>
      <c r="O2579">
        <v>3956</v>
      </c>
      <c r="P2579" t="s">
        <v>1819</v>
      </c>
      <c r="Q2579" t="s">
        <v>1753</v>
      </c>
      <c r="R2579" t="s">
        <v>1759</v>
      </c>
    </row>
    <row r="2580" spans="1:18" x14ac:dyDescent="0.25">
      <c r="A2580" t="s">
        <v>5720</v>
      </c>
      <c r="B2580" t="s">
        <v>1876</v>
      </c>
      <c r="C2580" t="s">
        <v>4</v>
      </c>
      <c r="D2580" t="s">
        <v>1588</v>
      </c>
      <c r="E2580" s="2">
        <v>44944</v>
      </c>
      <c r="F2580">
        <v>667</v>
      </c>
      <c r="G2580" t="s">
        <v>1746</v>
      </c>
      <c r="H2580" t="s">
        <v>1747</v>
      </c>
      <c r="I2580" t="b">
        <v>0</v>
      </c>
      <c r="J2580" t="s">
        <v>1748</v>
      </c>
      <c r="K2580" t="s">
        <v>1880</v>
      </c>
      <c r="L2580" t="s">
        <v>1750</v>
      </c>
      <c r="M2580">
        <v>11</v>
      </c>
      <c r="N2580" t="b">
        <v>1</v>
      </c>
      <c r="O2580">
        <v>95</v>
      </c>
      <c r="P2580" t="s">
        <v>1752</v>
      </c>
      <c r="Q2580" t="s">
        <v>1753</v>
      </c>
      <c r="R2580" t="s">
        <v>1759</v>
      </c>
    </row>
    <row r="2581" spans="1:18" x14ac:dyDescent="0.25">
      <c r="A2581" t="s">
        <v>5722</v>
      </c>
      <c r="B2581" t="s">
        <v>2133</v>
      </c>
      <c r="C2581" t="s">
        <v>4</v>
      </c>
      <c r="D2581" t="s">
        <v>5721</v>
      </c>
      <c r="E2581" s="2">
        <v>44979</v>
      </c>
      <c r="F2581">
        <v>632</v>
      </c>
      <c r="G2581" t="s">
        <v>1833</v>
      </c>
      <c r="H2581" t="s">
        <v>1747</v>
      </c>
      <c r="I2581" t="b">
        <v>0</v>
      </c>
      <c r="J2581" t="s">
        <v>1748</v>
      </c>
      <c r="K2581" t="s">
        <v>2021</v>
      </c>
      <c r="L2581" t="s">
        <v>1750</v>
      </c>
      <c r="M2581">
        <v>11</v>
      </c>
      <c r="N2581" t="b">
        <v>1</v>
      </c>
      <c r="P2581" t="s">
        <v>2266</v>
      </c>
      <c r="Q2581" t="s">
        <v>1753</v>
      </c>
      <c r="R2581" t="s">
        <v>1759</v>
      </c>
    </row>
    <row r="2582" spans="1:18" x14ac:dyDescent="0.25">
      <c r="A2582" t="s">
        <v>5724</v>
      </c>
      <c r="B2582" t="s">
        <v>2150</v>
      </c>
      <c r="C2582" t="s">
        <v>4</v>
      </c>
      <c r="D2582" t="s">
        <v>5723</v>
      </c>
      <c r="E2582" s="2">
        <v>44754</v>
      </c>
      <c r="F2582">
        <v>857</v>
      </c>
      <c r="G2582" t="s">
        <v>1746</v>
      </c>
      <c r="H2582" t="s">
        <v>1747</v>
      </c>
      <c r="I2582" t="b">
        <v>1</v>
      </c>
      <c r="J2582" t="s">
        <v>1761</v>
      </c>
      <c r="K2582" t="s">
        <v>1856</v>
      </c>
      <c r="L2582" t="s">
        <v>1756</v>
      </c>
      <c r="M2582">
        <v>11</v>
      </c>
      <c r="N2582" t="b">
        <v>0</v>
      </c>
      <c r="O2582">
        <v>910</v>
      </c>
      <c r="P2582" t="s">
        <v>1752</v>
      </c>
      <c r="Q2582" t="s">
        <v>1753</v>
      </c>
      <c r="R2582" t="s">
        <v>2028</v>
      </c>
    </row>
    <row r="2583" spans="1:18" x14ac:dyDescent="0.25">
      <c r="A2583" t="s">
        <v>5726</v>
      </c>
      <c r="B2583" t="s">
        <v>2177</v>
      </c>
      <c r="C2583" t="s">
        <v>4</v>
      </c>
      <c r="D2583" t="s">
        <v>5725</v>
      </c>
      <c r="E2583" s="2">
        <v>43333</v>
      </c>
      <c r="F2583">
        <v>2278</v>
      </c>
      <c r="G2583" t="s">
        <v>1746</v>
      </c>
      <c r="H2583" t="s">
        <v>1805</v>
      </c>
      <c r="I2583" t="b">
        <v>0</v>
      </c>
      <c r="J2583" t="s">
        <v>1761</v>
      </c>
      <c r="K2583" t="s">
        <v>1917</v>
      </c>
      <c r="L2583" t="s">
        <v>1817</v>
      </c>
      <c r="M2583">
        <v>11</v>
      </c>
      <c r="N2583" t="b">
        <v>0</v>
      </c>
      <c r="O2583">
        <v>139</v>
      </c>
      <c r="P2583" t="s">
        <v>1819</v>
      </c>
      <c r="Q2583" t="s">
        <v>1753</v>
      </c>
      <c r="R2583" t="s">
        <v>1828</v>
      </c>
    </row>
    <row r="2584" spans="1:18" x14ac:dyDescent="0.25">
      <c r="A2584" t="s">
        <v>5728</v>
      </c>
      <c r="B2584" t="s">
        <v>1803</v>
      </c>
      <c r="C2584" t="s">
        <v>4</v>
      </c>
      <c r="D2584" t="s">
        <v>5727</v>
      </c>
      <c r="E2584" s="2">
        <v>42846</v>
      </c>
      <c r="F2584">
        <v>2765</v>
      </c>
      <c r="G2584" t="s">
        <v>1746</v>
      </c>
      <c r="H2584" t="s">
        <v>1798</v>
      </c>
      <c r="I2584" t="b">
        <v>1</v>
      </c>
      <c r="J2584" t="s">
        <v>1748</v>
      </c>
      <c r="K2584" t="s">
        <v>1913</v>
      </c>
      <c r="L2584" t="s">
        <v>1756</v>
      </c>
      <c r="M2584">
        <v>11</v>
      </c>
      <c r="N2584" t="b">
        <v>0</v>
      </c>
      <c r="O2584">
        <v>482</v>
      </c>
      <c r="P2584" t="s">
        <v>1752</v>
      </c>
      <c r="Q2584" t="s">
        <v>1753</v>
      </c>
      <c r="R2584" t="s">
        <v>1759</v>
      </c>
    </row>
    <row r="2585" spans="1:18" x14ac:dyDescent="0.25">
      <c r="A2585" t="s">
        <v>5729</v>
      </c>
      <c r="B2585" t="s">
        <v>1810</v>
      </c>
      <c r="C2585" t="s">
        <v>6</v>
      </c>
      <c r="D2585" t="s">
        <v>1128</v>
      </c>
      <c r="E2585" s="2">
        <v>43278</v>
      </c>
      <c r="F2585">
        <v>2333</v>
      </c>
      <c r="G2585" t="s">
        <v>1746</v>
      </c>
      <c r="H2585" t="s">
        <v>1798</v>
      </c>
      <c r="I2585" t="b">
        <v>1</v>
      </c>
      <c r="J2585" t="s">
        <v>1748</v>
      </c>
      <c r="K2585" t="s">
        <v>1808</v>
      </c>
      <c r="L2585" t="s">
        <v>1750</v>
      </c>
      <c r="M2585">
        <v>11</v>
      </c>
      <c r="N2585" t="b">
        <v>0</v>
      </c>
      <c r="O2585">
        <v>559</v>
      </c>
      <c r="P2585" t="s">
        <v>1752</v>
      </c>
      <c r="Q2585" t="s">
        <v>1753</v>
      </c>
      <c r="R2585" t="s">
        <v>1828</v>
      </c>
    </row>
    <row r="2586" spans="1:18" x14ac:dyDescent="0.25">
      <c r="A2586" t="s">
        <v>5731</v>
      </c>
      <c r="B2586" t="s">
        <v>2611</v>
      </c>
      <c r="C2586" t="s">
        <v>4</v>
      </c>
      <c r="D2586" t="s">
        <v>5730</v>
      </c>
      <c r="E2586" s="2">
        <v>45398</v>
      </c>
      <c r="F2586">
        <v>213</v>
      </c>
      <c r="G2586" t="s">
        <v>1746</v>
      </c>
      <c r="H2586" t="s">
        <v>1747</v>
      </c>
      <c r="I2586" t="b">
        <v>0</v>
      </c>
      <c r="J2586" t="s">
        <v>1748</v>
      </c>
      <c r="K2586" t="s">
        <v>1787</v>
      </c>
      <c r="L2586" t="s">
        <v>1750</v>
      </c>
      <c r="M2586">
        <v>11</v>
      </c>
      <c r="N2586" t="b">
        <v>1</v>
      </c>
      <c r="O2586">
        <v>100</v>
      </c>
      <c r="P2586" t="s">
        <v>1752</v>
      </c>
      <c r="Q2586" t="s">
        <v>1753</v>
      </c>
    </row>
    <row r="2587" spans="1:18" x14ac:dyDescent="0.25">
      <c r="A2587" t="s">
        <v>5733</v>
      </c>
      <c r="B2587" t="s">
        <v>2150</v>
      </c>
      <c r="C2587" t="s">
        <v>4</v>
      </c>
      <c r="D2587" t="s">
        <v>5732</v>
      </c>
      <c r="E2587" s="2">
        <v>43794</v>
      </c>
      <c r="F2587">
        <v>1817</v>
      </c>
      <c r="G2587" t="s">
        <v>1746</v>
      </c>
      <c r="H2587" t="s">
        <v>1805</v>
      </c>
      <c r="I2587" t="b">
        <v>1</v>
      </c>
      <c r="J2587" t="s">
        <v>1761</v>
      </c>
      <c r="K2587" t="s">
        <v>1774</v>
      </c>
      <c r="L2587" t="s">
        <v>1817</v>
      </c>
      <c r="M2587">
        <v>11</v>
      </c>
      <c r="N2587" t="b">
        <v>0</v>
      </c>
      <c r="O2587">
        <v>1069</v>
      </c>
      <c r="P2587" t="s">
        <v>1819</v>
      </c>
      <c r="Q2587" t="s">
        <v>1753</v>
      </c>
      <c r="R2587" t="s">
        <v>1759</v>
      </c>
    </row>
    <row r="2588" spans="1:18" x14ac:dyDescent="0.25">
      <c r="A2588" t="s">
        <v>5735</v>
      </c>
      <c r="B2588" t="s">
        <v>1704</v>
      </c>
      <c r="C2588" t="s">
        <v>6</v>
      </c>
      <c r="D2588" t="s">
        <v>5734</v>
      </c>
      <c r="E2588" s="2">
        <v>45560</v>
      </c>
      <c r="F2588">
        <v>51</v>
      </c>
      <c r="G2588" t="s">
        <v>1746</v>
      </c>
      <c r="H2588" t="s">
        <v>1798</v>
      </c>
      <c r="I2588" t="b">
        <v>0</v>
      </c>
      <c r="J2588" t="s">
        <v>1761</v>
      </c>
      <c r="K2588" t="s">
        <v>1774</v>
      </c>
      <c r="L2588" t="s">
        <v>1817</v>
      </c>
      <c r="M2588">
        <v>11</v>
      </c>
      <c r="N2588" t="b">
        <v>1</v>
      </c>
      <c r="P2588" t="s">
        <v>1819</v>
      </c>
      <c r="Q2588" t="s">
        <v>1753</v>
      </c>
      <c r="R2588" t="s">
        <v>1759</v>
      </c>
    </row>
    <row r="2589" spans="1:18" x14ac:dyDescent="0.25">
      <c r="A2589" t="s">
        <v>5737</v>
      </c>
      <c r="B2589" t="s">
        <v>2150</v>
      </c>
      <c r="C2589" t="s">
        <v>4</v>
      </c>
      <c r="D2589" t="s">
        <v>5736</v>
      </c>
      <c r="E2589" s="2">
        <v>45433</v>
      </c>
      <c r="F2589">
        <v>178</v>
      </c>
      <c r="G2589" t="s">
        <v>1746</v>
      </c>
      <c r="H2589" t="s">
        <v>1747</v>
      </c>
      <c r="I2589" t="b">
        <v>1</v>
      </c>
      <c r="J2589" t="s">
        <v>1748</v>
      </c>
      <c r="K2589" t="s">
        <v>1822</v>
      </c>
      <c r="L2589" t="s">
        <v>1817</v>
      </c>
      <c r="M2589">
        <v>11</v>
      </c>
      <c r="N2589" t="b">
        <v>1</v>
      </c>
      <c r="O2589">
        <v>339</v>
      </c>
      <c r="P2589" t="s">
        <v>1819</v>
      </c>
      <c r="Q2589" t="s">
        <v>1753</v>
      </c>
      <c r="R2589" t="s">
        <v>1759</v>
      </c>
    </row>
    <row r="2590" spans="1:18" x14ac:dyDescent="0.25">
      <c r="A2590" t="s">
        <v>5739</v>
      </c>
      <c r="B2590" t="s">
        <v>2133</v>
      </c>
      <c r="C2590" t="s">
        <v>4</v>
      </c>
      <c r="D2590" t="s">
        <v>5738</v>
      </c>
      <c r="E2590" s="2">
        <v>44957</v>
      </c>
      <c r="F2590">
        <v>654</v>
      </c>
      <c r="G2590" t="s">
        <v>1746</v>
      </c>
      <c r="H2590" t="s">
        <v>1798</v>
      </c>
      <c r="I2590" t="b">
        <v>0</v>
      </c>
      <c r="J2590" t="s">
        <v>1748</v>
      </c>
      <c r="K2590" t="s">
        <v>1774</v>
      </c>
      <c r="L2590" t="s">
        <v>1750</v>
      </c>
      <c r="M2590">
        <v>11</v>
      </c>
      <c r="N2590" t="b">
        <v>1</v>
      </c>
      <c r="O2590">
        <v>327</v>
      </c>
      <c r="P2590" t="s">
        <v>1752</v>
      </c>
      <c r="Q2590" t="s">
        <v>1753</v>
      </c>
      <c r="R2590" t="s">
        <v>1828</v>
      </c>
    </row>
    <row r="2591" spans="1:18" x14ac:dyDescent="0.25">
      <c r="A2591" t="s">
        <v>5741</v>
      </c>
      <c r="B2591" t="s">
        <v>2150</v>
      </c>
      <c r="C2591" t="s">
        <v>4</v>
      </c>
      <c r="D2591" t="s">
        <v>5740</v>
      </c>
      <c r="E2591" s="2">
        <v>43762</v>
      </c>
      <c r="F2591">
        <v>1849</v>
      </c>
      <c r="G2591" t="s">
        <v>1746</v>
      </c>
      <c r="H2591" t="s">
        <v>1747</v>
      </c>
      <c r="I2591" t="b">
        <v>0</v>
      </c>
      <c r="J2591" t="s">
        <v>1748</v>
      </c>
      <c r="K2591" t="s">
        <v>1868</v>
      </c>
      <c r="L2591" t="s">
        <v>1766</v>
      </c>
      <c r="M2591">
        <v>11</v>
      </c>
      <c r="N2591" t="b">
        <v>0</v>
      </c>
      <c r="P2591" t="s">
        <v>1752</v>
      </c>
      <c r="Q2591" t="s">
        <v>1753</v>
      </c>
    </row>
    <row r="2592" spans="1:18" x14ac:dyDescent="0.25">
      <c r="A2592" t="s">
        <v>488</v>
      </c>
      <c r="B2592" t="s">
        <v>1876</v>
      </c>
      <c r="C2592" t="s">
        <v>4</v>
      </c>
      <c r="D2592" t="s">
        <v>489</v>
      </c>
      <c r="E2592" s="2">
        <v>45028</v>
      </c>
      <c r="F2592">
        <v>583</v>
      </c>
      <c r="G2592" t="s">
        <v>1746</v>
      </c>
      <c r="H2592" t="s">
        <v>1747</v>
      </c>
      <c r="I2592" t="b">
        <v>0</v>
      </c>
      <c r="J2592" t="s">
        <v>1748</v>
      </c>
      <c r="K2592" t="s">
        <v>1770</v>
      </c>
      <c r="L2592" t="s">
        <v>1750</v>
      </c>
      <c r="M2592">
        <v>11</v>
      </c>
      <c r="N2592" t="b">
        <v>1</v>
      </c>
      <c r="O2592">
        <v>32</v>
      </c>
      <c r="P2592" t="s">
        <v>1752</v>
      </c>
      <c r="Q2592" t="s">
        <v>1753</v>
      </c>
      <c r="R2592" t="s">
        <v>1759</v>
      </c>
    </row>
    <row r="2593" spans="1:18" x14ac:dyDescent="0.25">
      <c r="A2593" t="s">
        <v>5742</v>
      </c>
      <c r="B2593" t="s">
        <v>1876</v>
      </c>
      <c r="C2593" t="s">
        <v>4</v>
      </c>
      <c r="D2593" t="s">
        <v>1587</v>
      </c>
      <c r="E2593" s="2">
        <v>44944</v>
      </c>
      <c r="F2593">
        <v>667</v>
      </c>
      <c r="G2593" t="s">
        <v>1746</v>
      </c>
      <c r="H2593" t="s">
        <v>1747</v>
      </c>
      <c r="I2593" t="b">
        <v>0</v>
      </c>
      <c r="J2593" t="s">
        <v>1748</v>
      </c>
      <c r="K2593" t="s">
        <v>1880</v>
      </c>
      <c r="L2593" t="s">
        <v>1750</v>
      </c>
      <c r="M2593">
        <v>11</v>
      </c>
      <c r="N2593" t="b">
        <v>1</v>
      </c>
      <c r="O2593">
        <v>79</v>
      </c>
      <c r="P2593" t="s">
        <v>1752</v>
      </c>
      <c r="Q2593" t="s">
        <v>1753</v>
      </c>
      <c r="R2593" t="s">
        <v>1759</v>
      </c>
    </row>
    <row r="2594" spans="1:18" x14ac:dyDescent="0.25">
      <c r="A2594" t="s">
        <v>5744</v>
      </c>
      <c r="B2594" t="s">
        <v>1907</v>
      </c>
      <c r="C2594" t="s">
        <v>6</v>
      </c>
      <c r="D2594" t="s">
        <v>5743</v>
      </c>
      <c r="E2594" s="2">
        <v>44098</v>
      </c>
      <c r="F2594">
        <v>1513</v>
      </c>
      <c r="G2594" t="s">
        <v>1746</v>
      </c>
      <c r="H2594" t="s">
        <v>1798</v>
      </c>
      <c r="I2594" t="b">
        <v>1</v>
      </c>
      <c r="J2594" t="s">
        <v>1761</v>
      </c>
      <c r="K2594" t="s">
        <v>1749</v>
      </c>
      <c r="L2594" t="s">
        <v>1750</v>
      </c>
      <c r="M2594">
        <v>11</v>
      </c>
      <c r="N2594" t="b">
        <v>0</v>
      </c>
      <c r="O2594">
        <v>48</v>
      </c>
      <c r="P2594" t="s">
        <v>1819</v>
      </c>
      <c r="Q2594" t="s">
        <v>1753</v>
      </c>
      <c r="R2594" t="s">
        <v>1828</v>
      </c>
    </row>
    <row r="2595" spans="1:18" x14ac:dyDescent="0.25">
      <c r="A2595" t="s">
        <v>5746</v>
      </c>
      <c r="B2595" t="s">
        <v>1978</v>
      </c>
      <c r="C2595" t="s">
        <v>4</v>
      </c>
      <c r="D2595" t="s">
        <v>5745</v>
      </c>
      <c r="E2595" s="2">
        <v>45040</v>
      </c>
      <c r="F2595">
        <v>571</v>
      </c>
      <c r="G2595" t="s">
        <v>1833</v>
      </c>
      <c r="H2595" t="s">
        <v>1747</v>
      </c>
      <c r="I2595" t="b">
        <v>0</v>
      </c>
      <c r="J2595" t="s">
        <v>1748</v>
      </c>
      <c r="K2595" t="s">
        <v>1848</v>
      </c>
      <c r="L2595" t="s">
        <v>1750</v>
      </c>
      <c r="M2595">
        <v>11</v>
      </c>
      <c r="N2595" t="b">
        <v>1</v>
      </c>
      <c r="O2595">
        <v>441</v>
      </c>
      <c r="P2595" t="s">
        <v>1752</v>
      </c>
      <c r="Q2595" t="s">
        <v>1753</v>
      </c>
      <c r="R2595" t="s">
        <v>1759</v>
      </c>
    </row>
    <row r="2596" spans="1:18" x14ac:dyDescent="0.25">
      <c r="A2596" t="s">
        <v>5748</v>
      </c>
      <c r="B2596" t="s">
        <v>2173</v>
      </c>
      <c r="C2596" t="s">
        <v>4</v>
      </c>
      <c r="D2596" t="s">
        <v>5747</v>
      </c>
      <c r="E2596" s="2">
        <v>44476</v>
      </c>
      <c r="F2596">
        <v>1135</v>
      </c>
      <c r="G2596" t="s">
        <v>1746</v>
      </c>
      <c r="H2596" t="s">
        <v>1747</v>
      </c>
      <c r="I2596" t="b">
        <v>0</v>
      </c>
      <c r="J2596" t="s">
        <v>1748</v>
      </c>
      <c r="K2596" t="s">
        <v>1863</v>
      </c>
      <c r="L2596" t="s">
        <v>1817</v>
      </c>
      <c r="M2596">
        <v>11</v>
      </c>
      <c r="N2596" t="b">
        <v>1</v>
      </c>
      <c r="O2596">
        <v>317</v>
      </c>
      <c r="P2596" t="s">
        <v>1819</v>
      </c>
      <c r="Q2596" t="s">
        <v>1753</v>
      </c>
      <c r="R2596" t="s">
        <v>1759</v>
      </c>
    </row>
    <row r="2597" spans="1:18" x14ac:dyDescent="0.25">
      <c r="A2597" t="s">
        <v>5750</v>
      </c>
      <c r="B2597" t="s">
        <v>5572</v>
      </c>
      <c r="C2597" t="s">
        <v>4</v>
      </c>
      <c r="D2597" t="s">
        <v>5749</v>
      </c>
      <c r="E2597" s="2">
        <v>45504</v>
      </c>
      <c r="F2597">
        <v>107</v>
      </c>
      <c r="G2597" t="s">
        <v>1833</v>
      </c>
      <c r="H2597" t="s">
        <v>1747</v>
      </c>
      <c r="I2597" t="b">
        <v>0</v>
      </c>
      <c r="J2597" t="s">
        <v>1748</v>
      </c>
      <c r="K2597" t="s">
        <v>1853</v>
      </c>
      <c r="L2597" t="s">
        <v>1750</v>
      </c>
      <c r="M2597">
        <v>11</v>
      </c>
      <c r="N2597" t="b">
        <v>1</v>
      </c>
      <c r="O2597">
        <v>281</v>
      </c>
      <c r="P2597" t="s">
        <v>1752</v>
      </c>
      <c r="Q2597" t="s">
        <v>1753</v>
      </c>
      <c r="R2597" t="s">
        <v>1772</v>
      </c>
    </row>
    <row r="2598" spans="1:18" x14ac:dyDescent="0.25">
      <c r="A2598" t="s">
        <v>5752</v>
      </c>
      <c r="B2598" t="s">
        <v>1907</v>
      </c>
      <c r="C2598" t="s">
        <v>6</v>
      </c>
      <c r="D2598" t="s">
        <v>5751</v>
      </c>
      <c r="E2598" s="2">
        <v>44014</v>
      </c>
      <c r="F2598">
        <v>1597</v>
      </c>
      <c r="G2598" t="s">
        <v>1746</v>
      </c>
      <c r="H2598" t="s">
        <v>1798</v>
      </c>
      <c r="I2598" t="b">
        <v>0</v>
      </c>
      <c r="J2598" t="s">
        <v>1761</v>
      </c>
      <c r="K2598" t="s">
        <v>1853</v>
      </c>
      <c r="L2598" t="s">
        <v>1766</v>
      </c>
      <c r="M2598">
        <v>11</v>
      </c>
      <c r="N2598" t="b">
        <v>0</v>
      </c>
      <c r="P2598" t="s">
        <v>1752</v>
      </c>
      <c r="Q2598" t="s">
        <v>1753</v>
      </c>
      <c r="R2598" t="s">
        <v>1828</v>
      </c>
    </row>
    <row r="2599" spans="1:18" x14ac:dyDescent="0.25">
      <c r="A2599" t="s">
        <v>446</v>
      </c>
      <c r="B2599" t="s">
        <v>2060</v>
      </c>
      <c r="C2599" t="s">
        <v>4</v>
      </c>
      <c r="D2599" t="s">
        <v>447</v>
      </c>
      <c r="E2599" s="2">
        <v>39905</v>
      </c>
      <c r="F2599">
        <v>5706</v>
      </c>
      <c r="G2599" t="s">
        <v>1746</v>
      </c>
      <c r="H2599" t="s">
        <v>1747</v>
      </c>
      <c r="I2599" t="b">
        <v>0</v>
      </c>
      <c r="J2599" t="s">
        <v>1748</v>
      </c>
      <c r="K2599" t="s">
        <v>1774</v>
      </c>
      <c r="L2599" t="s">
        <v>1766</v>
      </c>
      <c r="M2599">
        <v>11</v>
      </c>
      <c r="N2599" t="b">
        <v>0</v>
      </c>
      <c r="P2599" t="s">
        <v>1752</v>
      </c>
      <c r="Q2599" t="s">
        <v>1753</v>
      </c>
    </row>
    <row r="2600" spans="1:18" x14ac:dyDescent="0.25">
      <c r="A2600" t="s">
        <v>5753</v>
      </c>
      <c r="B2600" t="s">
        <v>1876</v>
      </c>
      <c r="C2600" t="s">
        <v>4</v>
      </c>
      <c r="D2600" t="s">
        <v>347</v>
      </c>
      <c r="E2600" s="2">
        <v>44510</v>
      </c>
      <c r="F2600">
        <v>1101</v>
      </c>
      <c r="G2600" t="s">
        <v>1746</v>
      </c>
      <c r="H2600" t="s">
        <v>1747</v>
      </c>
      <c r="I2600" t="b">
        <v>0</v>
      </c>
      <c r="J2600" t="s">
        <v>1748</v>
      </c>
      <c r="K2600" t="s">
        <v>1770</v>
      </c>
      <c r="L2600" t="s">
        <v>1750</v>
      </c>
      <c r="M2600">
        <v>11</v>
      </c>
      <c r="N2600" t="b">
        <v>1</v>
      </c>
      <c r="O2600">
        <v>69</v>
      </c>
      <c r="P2600" t="s">
        <v>1752</v>
      </c>
      <c r="Q2600" t="s">
        <v>1753</v>
      </c>
    </row>
    <row r="2601" spans="1:18" x14ac:dyDescent="0.25">
      <c r="A2601" t="s">
        <v>5755</v>
      </c>
      <c r="B2601" t="s">
        <v>2173</v>
      </c>
      <c r="C2601" t="s">
        <v>6</v>
      </c>
      <c r="D2601" t="s">
        <v>5754</v>
      </c>
      <c r="E2601" s="2">
        <v>42460</v>
      </c>
      <c r="F2601">
        <v>3151</v>
      </c>
      <c r="G2601" t="s">
        <v>1746</v>
      </c>
      <c r="H2601" t="s">
        <v>2231</v>
      </c>
      <c r="I2601" t="b">
        <v>0</v>
      </c>
      <c r="J2601" t="s">
        <v>1748</v>
      </c>
      <c r="K2601" t="s">
        <v>1846</v>
      </c>
      <c r="L2601" t="s">
        <v>1817</v>
      </c>
      <c r="M2601">
        <v>11</v>
      </c>
      <c r="N2601" t="b">
        <v>0</v>
      </c>
      <c r="O2601">
        <v>629</v>
      </c>
      <c r="P2601" t="s">
        <v>1819</v>
      </c>
      <c r="Q2601" t="s">
        <v>1753</v>
      </c>
      <c r="R2601" t="s">
        <v>1772</v>
      </c>
    </row>
    <row r="2602" spans="1:18" x14ac:dyDescent="0.25">
      <c r="A2602" t="s">
        <v>5756</v>
      </c>
      <c r="B2602" t="s">
        <v>1915</v>
      </c>
      <c r="C2602" t="s">
        <v>4</v>
      </c>
      <c r="D2602" t="s">
        <v>1281</v>
      </c>
      <c r="E2602" s="2">
        <v>44845</v>
      </c>
      <c r="F2602">
        <v>766</v>
      </c>
      <c r="G2602" t="s">
        <v>1746</v>
      </c>
      <c r="H2602" t="s">
        <v>1747</v>
      </c>
      <c r="I2602" t="b">
        <v>0</v>
      </c>
      <c r="J2602" t="s">
        <v>1761</v>
      </c>
      <c r="K2602" t="s">
        <v>1988</v>
      </c>
      <c r="L2602" t="s">
        <v>1750</v>
      </c>
      <c r="M2602">
        <v>11</v>
      </c>
      <c r="N2602" t="b">
        <v>1</v>
      </c>
      <c r="O2602">
        <v>3620</v>
      </c>
      <c r="P2602" t="s">
        <v>1752</v>
      </c>
      <c r="Q2602" t="s">
        <v>1753</v>
      </c>
      <c r="R2602" t="s">
        <v>1772</v>
      </c>
    </row>
    <row r="2603" spans="1:18" x14ac:dyDescent="0.25">
      <c r="A2603" t="s">
        <v>5758</v>
      </c>
      <c r="B2603" t="s">
        <v>1704</v>
      </c>
      <c r="C2603" t="s">
        <v>4</v>
      </c>
      <c r="D2603" t="s">
        <v>5757</v>
      </c>
      <c r="E2603" s="2">
        <v>45224</v>
      </c>
      <c r="F2603">
        <v>387</v>
      </c>
      <c r="G2603" t="s">
        <v>1746</v>
      </c>
      <c r="H2603" t="s">
        <v>1798</v>
      </c>
      <c r="I2603" t="b">
        <v>1</v>
      </c>
      <c r="J2603" t="s">
        <v>1748</v>
      </c>
      <c r="K2603" t="s">
        <v>1776</v>
      </c>
      <c r="L2603" t="s">
        <v>1817</v>
      </c>
      <c r="M2603">
        <v>11</v>
      </c>
      <c r="N2603" t="b">
        <v>0</v>
      </c>
      <c r="O2603">
        <v>2686</v>
      </c>
      <c r="P2603" t="s">
        <v>1819</v>
      </c>
      <c r="Q2603" t="s">
        <v>1753</v>
      </c>
      <c r="R2603" t="s">
        <v>1759</v>
      </c>
    </row>
    <row r="2604" spans="1:18" x14ac:dyDescent="0.25">
      <c r="A2604" t="s">
        <v>5760</v>
      </c>
      <c r="B2604" t="s">
        <v>3816</v>
      </c>
      <c r="C2604" t="s">
        <v>4</v>
      </c>
      <c r="D2604" t="s">
        <v>5759</v>
      </c>
      <c r="E2604" s="2">
        <v>44742</v>
      </c>
      <c r="F2604">
        <v>869</v>
      </c>
      <c r="G2604" t="s">
        <v>1746</v>
      </c>
      <c r="H2604" t="s">
        <v>1798</v>
      </c>
      <c r="I2604" t="b">
        <v>0</v>
      </c>
      <c r="J2604" t="s">
        <v>1748</v>
      </c>
      <c r="K2604" t="s">
        <v>1824</v>
      </c>
      <c r="L2604" t="s">
        <v>1750</v>
      </c>
      <c r="M2604">
        <v>11</v>
      </c>
      <c r="N2604" t="b">
        <v>1</v>
      </c>
      <c r="O2604">
        <v>579</v>
      </c>
      <c r="P2604" t="s">
        <v>1752</v>
      </c>
      <c r="Q2604" t="s">
        <v>1753</v>
      </c>
    </row>
    <row r="2605" spans="1:18" x14ac:dyDescent="0.25">
      <c r="A2605" t="s">
        <v>1569</v>
      </c>
      <c r="B2605" t="s">
        <v>2269</v>
      </c>
      <c r="C2605" t="s">
        <v>4</v>
      </c>
      <c r="D2605" t="s">
        <v>1570</v>
      </c>
      <c r="E2605" s="2">
        <v>42682</v>
      </c>
      <c r="F2605">
        <v>2929</v>
      </c>
      <c r="G2605" t="s">
        <v>1746</v>
      </c>
      <c r="H2605" t="s">
        <v>1798</v>
      </c>
      <c r="I2605" t="b">
        <v>1</v>
      </c>
      <c r="J2605" t="s">
        <v>1761</v>
      </c>
      <c r="K2605" t="s">
        <v>1774</v>
      </c>
      <c r="L2605" t="s">
        <v>1750</v>
      </c>
      <c r="M2605">
        <v>11</v>
      </c>
      <c r="N2605" t="b">
        <v>1</v>
      </c>
      <c r="O2605">
        <v>205</v>
      </c>
      <c r="P2605" t="s">
        <v>1752</v>
      </c>
      <c r="Q2605" t="s">
        <v>1753</v>
      </c>
      <c r="R2605" t="s">
        <v>1828</v>
      </c>
    </row>
    <row r="2606" spans="1:18" x14ac:dyDescent="0.25">
      <c r="A2606" t="s">
        <v>1591</v>
      </c>
      <c r="B2606" t="s">
        <v>1876</v>
      </c>
      <c r="C2606" t="s">
        <v>4</v>
      </c>
      <c r="D2606" t="s">
        <v>1592</v>
      </c>
      <c r="E2606" s="2">
        <v>44944</v>
      </c>
      <c r="F2606">
        <v>667</v>
      </c>
      <c r="G2606" t="s">
        <v>1746</v>
      </c>
      <c r="H2606" t="s">
        <v>1747</v>
      </c>
      <c r="I2606" t="b">
        <v>0</v>
      </c>
      <c r="J2606" t="s">
        <v>1748</v>
      </c>
      <c r="K2606" t="s">
        <v>1880</v>
      </c>
      <c r="L2606" t="s">
        <v>1750</v>
      </c>
      <c r="M2606">
        <v>10</v>
      </c>
      <c r="N2606" t="b">
        <v>1</v>
      </c>
      <c r="O2606">
        <v>275</v>
      </c>
      <c r="P2606" t="s">
        <v>1752</v>
      </c>
      <c r="Q2606" t="s">
        <v>1753</v>
      </c>
      <c r="R2606" t="s">
        <v>1759</v>
      </c>
    </row>
    <row r="2607" spans="1:18" x14ac:dyDescent="0.25">
      <c r="A2607" t="s">
        <v>5761</v>
      </c>
      <c r="B2607" t="s">
        <v>2060</v>
      </c>
      <c r="C2607" t="s">
        <v>6</v>
      </c>
      <c r="D2607" t="s">
        <v>98</v>
      </c>
      <c r="E2607" s="2">
        <v>43536</v>
      </c>
      <c r="F2607">
        <v>2075</v>
      </c>
      <c r="G2607" t="s">
        <v>1746</v>
      </c>
      <c r="H2607" t="s">
        <v>1747</v>
      </c>
      <c r="I2607" t="b">
        <v>1</v>
      </c>
      <c r="J2607" t="s">
        <v>1761</v>
      </c>
      <c r="K2607" t="s">
        <v>1765</v>
      </c>
      <c r="L2607" t="s">
        <v>1750</v>
      </c>
      <c r="M2607">
        <v>10</v>
      </c>
      <c r="N2607" t="b">
        <v>0</v>
      </c>
      <c r="O2607">
        <v>288</v>
      </c>
      <c r="P2607" t="s">
        <v>1819</v>
      </c>
      <c r="Q2607" t="s">
        <v>1753</v>
      </c>
    </row>
    <row r="2608" spans="1:18" x14ac:dyDescent="0.25">
      <c r="A2608" t="s">
        <v>5763</v>
      </c>
      <c r="B2608" t="s">
        <v>1907</v>
      </c>
      <c r="C2608" t="s">
        <v>6</v>
      </c>
      <c r="D2608" t="s">
        <v>5762</v>
      </c>
      <c r="E2608" s="2">
        <v>44361</v>
      </c>
      <c r="F2608">
        <v>1250</v>
      </c>
      <c r="G2608" t="s">
        <v>1746</v>
      </c>
      <c r="H2608" t="s">
        <v>1798</v>
      </c>
      <c r="I2608" t="b">
        <v>1</v>
      </c>
      <c r="J2608" t="s">
        <v>1748</v>
      </c>
      <c r="K2608" t="s">
        <v>1784</v>
      </c>
      <c r="L2608" t="s">
        <v>1750</v>
      </c>
      <c r="M2608">
        <v>10</v>
      </c>
      <c r="N2608" t="b">
        <v>0</v>
      </c>
      <c r="O2608">
        <v>48</v>
      </c>
      <c r="P2608" t="s">
        <v>1819</v>
      </c>
      <c r="Q2608" t="s">
        <v>1753</v>
      </c>
    </row>
    <row r="2609" spans="1:18" x14ac:dyDescent="0.25">
      <c r="A2609" t="s">
        <v>5765</v>
      </c>
      <c r="B2609" t="s">
        <v>2585</v>
      </c>
      <c r="C2609" t="s">
        <v>4</v>
      </c>
      <c r="D2609" t="s">
        <v>5764</v>
      </c>
      <c r="E2609" s="2">
        <v>42808</v>
      </c>
      <c r="F2609">
        <v>2803</v>
      </c>
      <c r="G2609" t="s">
        <v>1746</v>
      </c>
      <c r="H2609" t="s">
        <v>1747</v>
      </c>
      <c r="I2609" t="b">
        <v>0</v>
      </c>
      <c r="J2609" t="s">
        <v>1748</v>
      </c>
      <c r="K2609" t="s">
        <v>2042</v>
      </c>
      <c r="L2609" t="s">
        <v>1750</v>
      </c>
      <c r="M2609">
        <v>10</v>
      </c>
      <c r="N2609" t="b">
        <v>0</v>
      </c>
      <c r="O2609">
        <v>53</v>
      </c>
      <c r="P2609" t="s">
        <v>1752</v>
      </c>
      <c r="Q2609" t="s">
        <v>1753</v>
      </c>
      <c r="R2609" t="s">
        <v>1759</v>
      </c>
    </row>
    <row r="2610" spans="1:18" x14ac:dyDescent="0.25">
      <c r="A2610" t="s">
        <v>5767</v>
      </c>
      <c r="B2610" t="s">
        <v>1704</v>
      </c>
      <c r="C2610" t="s">
        <v>4</v>
      </c>
      <c r="D2610" t="s">
        <v>5766</v>
      </c>
      <c r="E2610" s="2">
        <v>45476</v>
      </c>
      <c r="F2610">
        <v>135</v>
      </c>
      <c r="G2610" t="s">
        <v>1746</v>
      </c>
      <c r="H2610" t="s">
        <v>1747</v>
      </c>
      <c r="I2610" t="b">
        <v>1</v>
      </c>
      <c r="J2610" t="s">
        <v>1761</v>
      </c>
      <c r="K2610" t="s">
        <v>1825</v>
      </c>
      <c r="L2610" t="s">
        <v>1756</v>
      </c>
      <c r="M2610">
        <v>10</v>
      </c>
      <c r="N2610" t="b">
        <v>0</v>
      </c>
      <c r="O2610">
        <v>3553</v>
      </c>
      <c r="P2610" t="s">
        <v>1752</v>
      </c>
      <c r="Q2610" t="s">
        <v>1753</v>
      </c>
      <c r="R2610" t="s">
        <v>1759</v>
      </c>
    </row>
    <row r="2611" spans="1:18" x14ac:dyDescent="0.25">
      <c r="A2611" t="s">
        <v>5769</v>
      </c>
      <c r="B2611" t="s">
        <v>1785</v>
      </c>
      <c r="C2611" t="s">
        <v>6</v>
      </c>
      <c r="D2611" t="s">
        <v>5768</v>
      </c>
      <c r="E2611" s="2">
        <v>42451</v>
      </c>
      <c r="F2611">
        <v>3160</v>
      </c>
      <c r="G2611" t="s">
        <v>1746</v>
      </c>
      <c r="H2611" t="s">
        <v>1747</v>
      </c>
      <c r="I2611" t="b">
        <v>0</v>
      </c>
      <c r="J2611" t="s">
        <v>1761</v>
      </c>
      <c r="K2611" t="s">
        <v>1757</v>
      </c>
      <c r="L2611" t="s">
        <v>1750</v>
      </c>
      <c r="M2611">
        <v>10</v>
      </c>
      <c r="N2611" t="b">
        <v>0</v>
      </c>
      <c r="O2611">
        <v>50</v>
      </c>
      <c r="P2611" t="s">
        <v>1752</v>
      </c>
      <c r="Q2611" t="s">
        <v>1753</v>
      </c>
    </row>
    <row r="2612" spans="1:18" x14ac:dyDescent="0.25">
      <c r="A2612" t="s">
        <v>5771</v>
      </c>
      <c r="B2612" t="s">
        <v>5572</v>
      </c>
      <c r="C2612" t="s">
        <v>4</v>
      </c>
      <c r="D2612" t="s">
        <v>5770</v>
      </c>
      <c r="E2612" s="2">
        <v>45504</v>
      </c>
      <c r="F2612">
        <v>107</v>
      </c>
      <c r="G2612" t="s">
        <v>1833</v>
      </c>
      <c r="H2612" t="s">
        <v>1798</v>
      </c>
      <c r="I2612" t="b">
        <v>0</v>
      </c>
      <c r="J2612" t="s">
        <v>1748</v>
      </c>
      <c r="K2612" t="s">
        <v>1776</v>
      </c>
      <c r="L2612" t="s">
        <v>1750</v>
      </c>
      <c r="M2612">
        <v>10</v>
      </c>
      <c r="N2612" t="b">
        <v>1</v>
      </c>
      <c r="O2612">
        <v>230</v>
      </c>
      <c r="P2612" t="s">
        <v>1752</v>
      </c>
      <c r="Q2612" t="s">
        <v>1753</v>
      </c>
      <c r="R2612" t="s">
        <v>1828</v>
      </c>
    </row>
    <row r="2613" spans="1:18" x14ac:dyDescent="0.25">
      <c r="A2613" t="s">
        <v>5773</v>
      </c>
      <c r="B2613" t="s">
        <v>2177</v>
      </c>
      <c r="C2613" t="s">
        <v>4</v>
      </c>
      <c r="D2613" t="s">
        <v>5772</v>
      </c>
      <c r="E2613" s="2">
        <v>43549</v>
      </c>
      <c r="F2613">
        <v>2062</v>
      </c>
      <c r="G2613" t="s">
        <v>1746</v>
      </c>
      <c r="H2613" t="s">
        <v>1805</v>
      </c>
      <c r="I2613" t="b">
        <v>0</v>
      </c>
      <c r="J2613" t="s">
        <v>1761</v>
      </c>
      <c r="K2613" t="s">
        <v>1986</v>
      </c>
      <c r="L2613" t="s">
        <v>1750</v>
      </c>
      <c r="M2613">
        <v>10</v>
      </c>
      <c r="N2613" t="b">
        <v>1</v>
      </c>
      <c r="O2613">
        <v>316</v>
      </c>
      <c r="P2613" t="s">
        <v>1752</v>
      </c>
      <c r="Q2613" t="s">
        <v>1753</v>
      </c>
    </row>
    <row r="2614" spans="1:18" x14ac:dyDescent="0.25">
      <c r="A2614" t="s">
        <v>5775</v>
      </c>
      <c r="B2614" t="s">
        <v>2662</v>
      </c>
      <c r="C2614" t="s">
        <v>4</v>
      </c>
      <c r="D2614" t="s">
        <v>5774</v>
      </c>
      <c r="E2614" s="2">
        <v>45469</v>
      </c>
      <c r="F2614">
        <v>142</v>
      </c>
      <c r="G2614" t="s">
        <v>1746</v>
      </c>
      <c r="H2614" t="s">
        <v>1747</v>
      </c>
      <c r="I2614" t="b">
        <v>0</v>
      </c>
      <c r="J2614" t="s">
        <v>1761</v>
      </c>
      <c r="K2614" t="s">
        <v>1770</v>
      </c>
      <c r="L2614" t="s">
        <v>1756</v>
      </c>
      <c r="M2614">
        <v>10</v>
      </c>
      <c r="N2614" t="b">
        <v>1</v>
      </c>
      <c r="O2614">
        <v>339</v>
      </c>
      <c r="P2614" t="s">
        <v>2266</v>
      </c>
      <c r="Q2614" t="s">
        <v>1753</v>
      </c>
      <c r="R2614" t="s">
        <v>1759</v>
      </c>
    </row>
    <row r="2615" spans="1:18" x14ac:dyDescent="0.25">
      <c r="A2615" t="s">
        <v>5777</v>
      </c>
      <c r="B2615" t="s">
        <v>3816</v>
      </c>
      <c r="C2615" t="s">
        <v>6</v>
      </c>
      <c r="D2615" t="s">
        <v>5776</v>
      </c>
      <c r="E2615" s="2">
        <v>42486</v>
      </c>
      <c r="F2615">
        <v>3125</v>
      </c>
      <c r="G2615" t="s">
        <v>1746</v>
      </c>
      <c r="H2615" t="s">
        <v>2231</v>
      </c>
      <c r="I2615" t="b">
        <v>0</v>
      </c>
      <c r="J2615" t="s">
        <v>1748</v>
      </c>
      <c r="K2615" t="s">
        <v>1950</v>
      </c>
      <c r="L2615" t="s">
        <v>1766</v>
      </c>
      <c r="M2615">
        <v>10</v>
      </c>
      <c r="N2615" t="b">
        <v>0</v>
      </c>
      <c r="P2615" t="s">
        <v>1752</v>
      </c>
      <c r="Q2615" t="s">
        <v>1753</v>
      </c>
    </row>
    <row r="2616" spans="1:18" x14ac:dyDescent="0.25">
      <c r="A2616" t="s">
        <v>5779</v>
      </c>
      <c r="B2616" t="s">
        <v>2173</v>
      </c>
      <c r="C2616" t="s">
        <v>4</v>
      </c>
      <c r="D2616" t="s">
        <v>5778</v>
      </c>
      <c r="E2616" s="2">
        <v>43672</v>
      </c>
      <c r="F2616">
        <v>1939</v>
      </c>
      <c r="G2616" t="s">
        <v>1746</v>
      </c>
      <c r="H2616" t="s">
        <v>2231</v>
      </c>
      <c r="I2616" t="b">
        <v>1</v>
      </c>
      <c r="J2616" t="s">
        <v>1748</v>
      </c>
      <c r="K2616" t="s">
        <v>1913</v>
      </c>
      <c r="L2616" t="s">
        <v>1817</v>
      </c>
      <c r="M2616">
        <v>10</v>
      </c>
      <c r="N2616" t="b">
        <v>0</v>
      </c>
      <c r="O2616">
        <v>628</v>
      </c>
      <c r="P2616" t="s">
        <v>1819</v>
      </c>
      <c r="Q2616" t="s">
        <v>1753</v>
      </c>
      <c r="R2616" t="s">
        <v>1759</v>
      </c>
    </row>
    <row r="2617" spans="1:18" x14ac:dyDescent="0.25">
      <c r="A2617" t="s">
        <v>5781</v>
      </c>
      <c r="B2617" t="s">
        <v>1803</v>
      </c>
      <c r="C2617" t="s">
        <v>4</v>
      </c>
      <c r="D2617" t="s">
        <v>5780</v>
      </c>
      <c r="E2617" s="2">
        <v>40002</v>
      </c>
      <c r="F2617">
        <v>5609</v>
      </c>
      <c r="G2617" t="s">
        <v>1746</v>
      </c>
      <c r="H2617" t="s">
        <v>1798</v>
      </c>
      <c r="I2617" t="b">
        <v>0</v>
      </c>
      <c r="J2617" t="s">
        <v>1748</v>
      </c>
      <c r="K2617" t="s">
        <v>1755</v>
      </c>
      <c r="L2617" t="s">
        <v>1766</v>
      </c>
      <c r="M2617">
        <v>10</v>
      </c>
      <c r="N2617" t="b">
        <v>0</v>
      </c>
      <c r="P2617" t="s">
        <v>1752</v>
      </c>
      <c r="Q2617" t="s">
        <v>1753</v>
      </c>
      <c r="R2617" t="s">
        <v>1828</v>
      </c>
    </row>
    <row r="2618" spans="1:18" x14ac:dyDescent="0.25">
      <c r="A2618" t="s">
        <v>5783</v>
      </c>
      <c r="B2618" t="s">
        <v>1803</v>
      </c>
      <c r="C2618" t="s">
        <v>572</v>
      </c>
      <c r="D2618" t="s">
        <v>5782</v>
      </c>
      <c r="E2618" s="2">
        <v>39874</v>
      </c>
      <c r="F2618">
        <v>5737</v>
      </c>
      <c r="G2618" t="s">
        <v>1746</v>
      </c>
      <c r="H2618" t="s">
        <v>1798</v>
      </c>
      <c r="I2618" t="b">
        <v>0</v>
      </c>
      <c r="J2618" t="s">
        <v>1761</v>
      </c>
      <c r="K2618" t="s">
        <v>1824</v>
      </c>
      <c r="L2618" t="s">
        <v>1750</v>
      </c>
      <c r="M2618">
        <v>10</v>
      </c>
      <c r="N2618" t="b">
        <v>0</v>
      </c>
      <c r="O2618">
        <v>25</v>
      </c>
      <c r="P2618" t="s">
        <v>1819</v>
      </c>
      <c r="Q2618" t="s">
        <v>1753</v>
      </c>
      <c r="R2618" t="s">
        <v>1828</v>
      </c>
    </row>
    <row r="2619" spans="1:18" x14ac:dyDescent="0.25">
      <c r="A2619" t="s">
        <v>5785</v>
      </c>
      <c r="B2619" t="s">
        <v>2173</v>
      </c>
      <c r="C2619" t="s">
        <v>6</v>
      </c>
      <c r="D2619" t="s">
        <v>5784</v>
      </c>
      <c r="E2619" s="2">
        <v>44651</v>
      </c>
      <c r="F2619">
        <v>960</v>
      </c>
      <c r="G2619" t="s">
        <v>1746</v>
      </c>
      <c r="H2619" t="s">
        <v>2231</v>
      </c>
      <c r="I2619" t="b">
        <v>0</v>
      </c>
      <c r="J2619" t="s">
        <v>1748</v>
      </c>
      <c r="K2619" t="s">
        <v>1776</v>
      </c>
      <c r="L2619" t="s">
        <v>1817</v>
      </c>
      <c r="M2619">
        <v>10</v>
      </c>
      <c r="N2619" t="b">
        <v>1</v>
      </c>
      <c r="O2619">
        <v>177</v>
      </c>
      <c r="P2619" t="s">
        <v>1819</v>
      </c>
      <c r="Q2619" t="s">
        <v>1753</v>
      </c>
    </row>
    <row r="2620" spans="1:18" x14ac:dyDescent="0.25">
      <c r="A2620" t="s">
        <v>5787</v>
      </c>
      <c r="B2620" t="s">
        <v>1803</v>
      </c>
      <c r="C2620" t="s">
        <v>4</v>
      </c>
      <c r="D2620" t="s">
        <v>5786</v>
      </c>
      <c r="E2620" s="2">
        <v>40002</v>
      </c>
      <c r="F2620">
        <v>5609</v>
      </c>
      <c r="G2620" t="s">
        <v>1746</v>
      </c>
      <c r="H2620" t="s">
        <v>1798</v>
      </c>
      <c r="I2620" t="b">
        <v>0</v>
      </c>
      <c r="J2620" t="s">
        <v>1748</v>
      </c>
      <c r="K2620" t="s">
        <v>1755</v>
      </c>
      <c r="L2620" t="s">
        <v>1766</v>
      </c>
      <c r="M2620">
        <v>10</v>
      </c>
      <c r="N2620" t="b">
        <v>0</v>
      </c>
      <c r="P2620" t="s">
        <v>1752</v>
      </c>
      <c r="Q2620" t="s">
        <v>1753</v>
      </c>
      <c r="R2620" t="s">
        <v>1828</v>
      </c>
    </row>
    <row r="2621" spans="1:18" x14ac:dyDescent="0.25">
      <c r="A2621" t="s">
        <v>5789</v>
      </c>
      <c r="B2621" t="s">
        <v>2857</v>
      </c>
      <c r="C2621" t="s">
        <v>6</v>
      </c>
      <c r="D2621" t="s">
        <v>5788</v>
      </c>
      <c r="E2621" s="2">
        <v>42382</v>
      </c>
      <c r="F2621">
        <v>3229</v>
      </c>
      <c r="G2621" t="s">
        <v>1746</v>
      </c>
      <c r="H2621" t="s">
        <v>2231</v>
      </c>
      <c r="I2621" t="b">
        <v>1</v>
      </c>
      <c r="J2621" t="s">
        <v>1748</v>
      </c>
      <c r="K2621" t="s">
        <v>1809</v>
      </c>
      <c r="L2621" t="s">
        <v>1750</v>
      </c>
      <c r="M2621">
        <v>10</v>
      </c>
      <c r="N2621" t="b">
        <v>1</v>
      </c>
      <c r="O2621">
        <v>36</v>
      </c>
      <c r="P2621" t="s">
        <v>1752</v>
      </c>
      <c r="Q2621" t="s">
        <v>1753</v>
      </c>
    </row>
    <row r="2622" spans="1:18" x14ac:dyDescent="0.25">
      <c r="A2622" t="s">
        <v>5790</v>
      </c>
      <c r="B2622" t="s">
        <v>1876</v>
      </c>
      <c r="C2622" t="s">
        <v>4</v>
      </c>
      <c r="D2622" t="s">
        <v>1583</v>
      </c>
      <c r="E2622" s="2">
        <v>44754</v>
      </c>
      <c r="F2622">
        <v>857</v>
      </c>
      <c r="G2622" t="s">
        <v>1746</v>
      </c>
      <c r="H2622" t="s">
        <v>1747</v>
      </c>
      <c r="I2622" t="b">
        <v>1</v>
      </c>
      <c r="J2622" t="s">
        <v>1748</v>
      </c>
      <c r="K2622" t="s">
        <v>1853</v>
      </c>
      <c r="L2622" t="s">
        <v>1750</v>
      </c>
      <c r="M2622">
        <v>10</v>
      </c>
      <c r="N2622" t="b">
        <v>1</v>
      </c>
      <c r="O2622">
        <v>99</v>
      </c>
      <c r="P2622" t="s">
        <v>1752</v>
      </c>
      <c r="Q2622" t="s">
        <v>1753</v>
      </c>
      <c r="R2622" t="s">
        <v>1759</v>
      </c>
    </row>
    <row r="2623" spans="1:18" x14ac:dyDescent="0.25">
      <c r="A2623" t="s">
        <v>5792</v>
      </c>
      <c r="B2623" t="s">
        <v>2173</v>
      </c>
      <c r="C2623" t="s">
        <v>6</v>
      </c>
      <c r="D2623" t="s">
        <v>5791</v>
      </c>
      <c r="E2623" s="2">
        <v>42527</v>
      </c>
      <c r="F2623">
        <v>3084</v>
      </c>
      <c r="G2623" t="s">
        <v>1746</v>
      </c>
      <c r="H2623" t="s">
        <v>1747</v>
      </c>
      <c r="I2623" t="b">
        <v>0</v>
      </c>
      <c r="J2623" t="s">
        <v>1748</v>
      </c>
      <c r="K2623" t="s">
        <v>1891</v>
      </c>
      <c r="L2623" t="s">
        <v>1750</v>
      </c>
      <c r="M2623">
        <v>10</v>
      </c>
      <c r="N2623" t="b">
        <v>1</v>
      </c>
      <c r="O2623">
        <v>74</v>
      </c>
      <c r="P2623" t="s">
        <v>1752</v>
      </c>
      <c r="Q2623" t="s">
        <v>1753</v>
      </c>
      <c r="R2623" t="s">
        <v>1828</v>
      </c>
    </row>
    <row r="2624" spans="1:18" x14ac:dyDescent="0.25">
      <c r="A2624" t="s">
        <v>5794</v>
      </c>
      <c r="B2624" t="s">
        <v>1876</v>
      </c>
      <c r="C2624" t="s">
        <v>4</v>
      </c>
      <c r="D2624" t="s">
        <v>5793</v>
      </c>
      <c r="E2624" s="2">
        <v>45303</v>
      </c>
      <c r="F2624">
        <v>308</v>
      </c>
      <c r="G2624" t="s">
        <v>1746</v>
      </c>
      <c r="H2624" t="s">
        <v>1747</v>
      </c>
      <c r="I2624" t="b">
        <v>0</v>
      </c>
      <c r="J2624" t="s">
        <v>1748</v>
      </c>
      <c r="K2624" t="s">
        <v>1830</v>
      </c>
      <c r="L2624" t="s">
        <v>1750</v>
      </c>
      <c r="M2624">
        <v>10</v>
      </c>
      <c r="N2624" t="b">
        <v>0</v>
      </c>
      <c r="O2624">
        <v>105</v>
      </c>
      <c r="P2624" t="s">
        <v>1752</v>
      </c>
      <c r="Q2624" t="s">
        <v>1753</v>
      </c>
    </row>
    <row r="2625" spans="1:18" x14ac:dyDescent="0.25">
      <c r="A2625" t="s">
        <v>5796</v>
      </c>
      <c r="B2625" t="s">
        <v>2133</v>
      </c>
      <c r="C2625" t="s">
        <v>4</v>
      </c>
      <c r="D2625" t="s">
        <v>5795</v>
      </c>
      <c r="E2625" s="2">
        <v>44265</v>
      </c>
      <c r="F2625">
        <v>1346</v>
      </c>
      <c r="G2625" t="s">
        <v>1746</v>
      </c>
      <c r="H2625" t="s">
        <v>1798</v>
      </c>
      <c r="I2625" t="b">
        <v>0</v>
      </c>
      <c r="J2625" t="s">
        <v>1748</v>
      </c>
      <c r="K2625" t="s">
        <v>1826</v>
      </c>
      <c r="L2625" t="s">
        <v>1750</v>
      </c>
      <c r="M2625">
        <v>10</v>
      </c>
      <c r="N2625" t="b">
        <v>1</v>
      </c>
      <c r="O2625">
        <v>309</v>
      </c>
      <c r="P2625" t="s">
        <v>1752</v>
      </c>
      <c r="Q2625" t="s">
        <v>1753</v>
      </c>
      <c r="R2625" t="s">
        <v>1828</v>
      </c>
    </row>
    <row r="2626" spans="1:18" x14ac:dyDescent="0.25">
      <c r="A2626" t="s">
        <v>5798</v>
      </c>
      <c r="B2626" t="s">
        <v>2284</v>
      </c>
      <c r="C2626" t="s">
        <v>2338</v>
      </c>
      <c r="D2626" t="s">
        <v>5797</v>
      </c>
      <c r="E2626" s="2">
        <v>44216</v>
      </c>
      <c r="F2626">
        <v>1395</v>
      </c>
      <c r="G2626" t="s">
        <v>1746</v>
      </c>
      <c r="H2626" t="s">
        <v>1747</v>
      </c>
      <c r="I2626" t="b">
        <v>0</v>
      </c>
      <c r="J2626" t="s">
        <v>1748</v>
      </c>
      <c r="K2626" t="s">
        <v>1848</v>
      </c>
      <c r="L2626" t="s">
        <v>1775</v>
      </c>
      <c r="M2626">
        <v>10</v>
      </c>
      <c r="N2626" t="b">
        <v>0</v>
      </c>
      <c r="P2626" t="s">
        <v>2283</v>
      </c>
      <c r="Q2626" t="s">
        <v>1705</v>
      </c>
    </row>
    <row r="2627" spans="1:18" x14ac:dyDescent="0.25">
      <c r="A2627" t="s">
        <v>5800</v>
      </c>
      <c r="B2627" t="s">
        <v>2150</v>
      </c>
      <c r="C2627" t="s">
        <v>4</v>
      </c>
      <c r="D2627" t="s">
        <v>5799</v>
      </c>
      <c r="E2627" s="2">
        <v>44427</v>
      </c>
      <c r="F2627">
        <v>1184</v>
      </c>
      <c r="G2627" t="s">
        <v>1746</v>
      </c>
      <c r="H2627" t="s">
        <v>1747</v>
      </c>
      <c r="I2627" t="b">
        <v>0</v>
      </c>
      <c r="J2627" t="s">
        <v>1761</v>
      </c>
      <c r="K2627" t="s">
        <v>1891</v>
      </c>
      <c r="L2627" t="s">
        <v>1750</v>
      </c>
      <c r="M2627">
        <v>10</v>
      </c>
      <c r="N2627" t="b">
        <v>1</v>
      </c>
      <c r="O2627">
        <v>765</v>
      </c>
      <c r="P2627" t="s">
        <v>1752</v>
      </c>
      <c r="Q2627" t="s">
        <v>1753</v>
      </c>
      <c r="R2627" t="s">
        <v>1759</v>
      </c>
    </row>
    <row r="2628" spans="1:18" x14ac:dyDescent="0.25">
      <c r="A2628" t="s">
        <v>5802</v>
      </c>
      <c r="B2628" t="s">
        <v>2177</v>
      </c>
      <c r="C2628" t="s">
        <v>4</v>
      </c>
      <c r="D2628" t="s">
        <v>5801</v>
      </c>
      <c r="E2628" s="2">
        <v>43945</v>
      </c>
      <c r="F2628">
        <v>1666</v>
      </c>
      <c r="G2628" t="s">
        <v>1746</v>
      </c>
      <c r="H2628" t="s">
        <v>1747</v>
      </c>
      <c r="I2628" t="b">
        <v>0</v>
      </c>
      <c r="J2628" t="s">
        <v>1748</v>
      </c>
      <c r="K2628" t="s">
        <v>1757</v>
      </c>
      <c r="L2628" t="s">
        <v>1750</v>
      </c>
      <c r="M2628">
        <v>10</v>
      </c>
      <c r="N2628" t="b">
        <v>1</v>
      </c>
      <c r="O2628">
        <v>84</v>
      </c>
      <c r="P2628" t="s">
        <v>1752</v>
      </c>
      <c r="Q2628" t="s">
        <v>1753</v>
      </c>
    </row>
    <row r="2629" spans="1:18" x14ac:dyDescent="0.25">
      <c r="A2629" t="s">
        <v>5804</v>
      </c>
      <c r="B2629" t="s">
        <v>2177</v>
      </c>
      <c r="C2629" t="s">
        <v>6</v>
      </c>
      <c r="D2629" t="s">
        <v>5803</v>
      </c>
      <c r="E2629" s="2">
        <v>42153</v>
      </c>
      <c r="F2629">
        <v>3458</v>
      </c>
      <c r="G2629" t="s">
        <v>1746</v>
      </c>
      <c r="H2629" t="s">
        <v>1805</v>
      </c>
      <c r="I2629" t="b">
        <v>1</v>
      </c>
      <c r="J2629" t="s">
        <v>1748</v>
      </c>
      <c r="K2629" t="s">
        <v>1891</v>
      </c>
      <c r="L2629" t="s">
        <v>1750</v>
      </c>
      <c r="M2629">
        <v>10</v>
      </c>
      <c r="N2629" t="b">
        <v>0</v>
      </c>
      <c r="O2629">
        <v>46</v>
      </c>
      <c r="P2629" t="s">
        <v>1752</v>
      </c>
      <c r="Q2629" t="s">
        <v>1753</v>
      </c>
    </row>
    <row r="2630" spans="1:18" x14ac:dyDescent="0.25">
      <c r="A2630" t="s">
        <v>5806</v>
      </c>
      <c r="B2630" t="s">
        <v>1907</v>
      </c>
      <c r="C2630" t="s">
        <v>186</v>
      </c>
      <c r="D2630" t="s">
        <v>5805</v>
      </c>
      <c r="E2630" s="2">
        <v>44756</v>
      </c>
      <c r="F2630">
        <v>855</v>
      </c>
      <c r="G2630" t="s">
        <v>1746</v>
      </c>
      <c r="H2630" t="s">
        <v>1747</v>
      </c>
      <c r="I2630" t="b">
        <v>0</v>
      </c>
      <c r="J2630" t="s">
        <v>1748</v>
      </c>
      <c r="K2630" t="s">
        <v>1799</v>
      </c>
      <c r="L2630" t="s">
        <v>1775</v>
      </c>
      <c r="M2630">
        <v>10</v>
      </c>
      <c r="N2630" t="b">
        <v>0</v>
      </c>
      <c r="P2630" t="s">
        <v>2283</v>
      </c>
      <c r="Q2630" t="s">
        <v>1705</v>
      </c>
    </row>
    <row r="2631" spans="1:18" x14ac:dyDescent="0.25">
      <c r="A2631" t="s">
        <v>5808</v>
      </c>
      <c r="B2631" t="s">
        <v>3294</v>
      </c>
      <c r="C2631" t="s">
        <v>4</v>
      </c>
      <c r="D2631" t="s">
        <v>5807</v>
      </c>
      <c r="E2631" s="2">
        <v>45345</v>
      </c>
      <c r="F2631">
        <v>266</v>
      </c>
      <c r="G2631" t="s">
        <v>1746</v>
      </c>
      <c r="H2631" t="s">
        <v>1747</v>
      </c>
      <c r="I2631" t="b">
        <v>1</v>
      </c>
      <c r="J2631" t="s">
        <v>1748</v>
      </c>
      <c r="K2631" t="s">
        <v>2219</v>
      </c>
      <c r="L2631" t="s">
        <v>1750</v>
      </c>
      <c r="M2631">
        <v>10</v>
      </c>
      <c r="N2631" t="b">
        <v>0</v>
      </c>
      <c r="O2631">
        <v>32</v>
      </c>
      <c r="P2631" t="s">
        <v>1752</v>
      </c>
      <c r="Q2631" t="s">
        <v>1753</v>
      </c>
      <c r="R2631" t="s">
        <v>1759</v>
      </c>
    </row>
    <row r="2632" spans="1:18" x14ac:dyDescent="0.25">
      <c r="A2632" t="s">
        <v>5810</v>
      </c>
      <c r="B2632" t="s">
        <v>2836</v>
      </c>
      <c r="C2632" t="s">
        <v>4</v>
      </c>
      <c r="D2632" t="s">
        <v>5809</v>
      </c>
      <c r="E2632" s="2">
        <v>45569</v>
      </c>
      <c r="F2632">
        <v>42</v>
      </c>
      <c r="G2632" t="s">
        <v>1746</v>
      </c>
      <c r="H2632" t="s">
        <v>1747</v>
      </c>
      <c r="I2632" t="b">
        <v>0</v>
      </c>
      <c r="J2632" t="s">
        <v>1748</v>
      </c>
      <c r="K2632" t="s">
        <v>1749</v>
      </c>
      <c r="L2632" t="s">
        <v>1817</v>
      </c>
      <c r="M2632">
        <v>10</v>
      </c>
      <c r="N2632" t="b">
        <v>0</v>
      </c>
      <c r="P2632" t="s">
        <v>1819</v>
      </c>
      <c r="Q2632" t="s">
        <v>1753</v>
      </c>
    </row>
    <row r="2633" spans="1:18" x14ac:dyDescent="0.25">
      <c r="A2633" t="s">
        <v>5812</v>
      </c>
      <c r="B2633" t="s">
        <v>2157</v>
      </c>
      <c r="C2633" t="s">
        <v>4</v>
      </c>
      <c r="D2633" t="s">
        <v>5811</v>
      </c>
      <c r="E2633" s="2">
        <v>45474</v>
      </c>
      <c r="F2633">
        <v>137</v>
      </c>
      <c r="G2633" t="s">
        <v>1833</v>
      </c>
      <c r="H2633" t="s">
        <v>1798</v>
      </c>
      <c r="I2633" t="b">
        <v>0</v>
      </c>
      <c r="J2633" t="s">
        <v>1748</v>
      </c>
      <c r="K2633" t="s">
        <v>1755</v>
      </c>
      <c r="L2633" t="s">
        <v>1750</v>
      </c>
      <c r="M2633">
        <v>10</v>
      </c>
      <c r="N2633" t="b">
        <v>1</v>
      </c>
      <c r="O2633">
        <v>113</v>
      </c>
      <c r="P2633" t="s">
        <v>1752</v>
      </c>
      <c r="Q2633" t="s">
        <v>1753</v>
      </c>
    </row>
    <row r="2634" spans="1:18" x14ac:dyDescent="0.25">
      <c r="A2634" t="s">
        <v>5813</v>
      </c>
      <c r="B2634" t="s">
        <v>2384</v>
      </c>
      <c r="C2634" t="s">
        <v>4</v>
      </c>
      <c r="D2634" t="s">
        <v>1283</v>
      </c>
      <c r="E2634" s="2">
        <v>44880</v>
      </c>
      <c r="F2634">
        <v>731</v>
      </c>
      <c r="G2634" t="s">
        <v>1746</v>
      </c>
      <c r="H2634" t="s">
        <v>1798</v>
      </c>
      <c r="I2634" t="b">
        <v>0</v>
      </c>
      <c r="J2634" t="s">
        <v>1761</v>
      </c>
      <c r="K2634" t="s">
        <v>1784</v>
      </c>
      <c r="L2634" t="s">
        <v>1817</v>
      </c>
      <c r="M2634">
        <v>10</v>
      </c>
      <c r="N2634" t="b">
        <v>1</v>
      </c>
      <c r="O2634">
        <v>1053</v>
      </c>
      <c r="P2634" t="s">
        <v>1819</v>
      </c>
      <c r="Q2634" t="s">
        <v>1753</v>
      </c>
      <c r="R2634" t="s">
        <v>1759</v>
      </c>
    </row>
    <row r="2635" spans="1:18" x14ac:dyDescent="0.25">
      <c r="A2635" t="s">
        <v>5814</v>
      </c>
      <c r="B2635" t="s">
        <v>1876</v>
      </c>
      <c r="C2635" t="s">
        <v>4</v>
      </c>
      <c r="D2635" t="s">
        <v>789</v>
      </c>
      <c r="E2635" s="2">
        <v>44342</v>
      </c>
      <c r="F2635">
        <v>1269</v>
      </c>
      <c r="G2635" t="s">
        <v>1746</v>
      </c>
      <c r="H2635" t="s">
        <v>1747</v>
      </c>
      <c r="I2635" t="b">
        <v>0</v>
      </c>
      <c r="J2635" t="s">
        <v>1748</v>
      </c>
      <c r="K2635" t="s">
        <v>1830</v>
      </c>
      <c r="L2635" t="s">
        <v>1750</v>
      </c>
      <c r="M2635">
        <v>10</v>
      </c>
      <c r="N2635" t="b">
        <v>1</v>
      </c>
      <c r="O2635">
        <v>41</v>
      </c>
      <c r="P2635" t="s">
        <v>1752</v>
      </c>
      <c r="Q2635" t="s">
        <v>1753</v>
      </c>
      <c r="R2635" t="s">
        <v>1759</v>
      </c>
    </row>
    <row r="2636" spans="1:18" x14ac:dyDescent="0.25">
      <c r="A2636" t="s">
        <v>5816</v>
      </c>
      <c r="B2636" t="s">
        <v>2997</v>
      </c>
      <c r="C2636" t="s">
        <v>4</v>
      </c>
      <c r="D2636" t="s">
        <v>5815</v>
      </c>
      <c r="E2636" s="2">
        <v>45532</v>
      </c>
      <c r="F2636">
        <v>79</v>
      </c>
      <c r="G2636" t="s">
        <v>1746</v>
      </c>
      <c r="H2636" t="s">
        <v>1798</v>
      </c>
      <c r="I2636" t="b">
        <v>0</v>
      </c>
      <c r="J2636" t="s">
        <v>1748</v>
      </c>
      <c r="K2636" t="s">
        <v>1774</v>
      </c>
      <c r="L2636" t="s">
        <v>1817</v>
      </c>
      <c r="M2636">
        <v>10</v>
      </c>
      <c r="N2636" t="b">
        <v>1</v>
      </c>
      <c r="O2636">
        <v>294</v>
      </c>
      <c r="P2636" t="s">
        <v>1819</v>
      </c>
      <c r="Q2636" t="s">
        <v>1753</v>
      </c>
      <c r="R2636" t="s">
        <v>1759</v>
      </c>
    </row>
    <row r="2637" spans="1:18" x14ac:dyDescent="0.25">
      <c r="A2637" t="s">
        <v>421</v>
      </c>
      <c r="B2637" t="s">
        <v>1814</v>
      </c>
      <c r="C2637" t="s">
        <v>4</v>
      </c>
      <c r="D2637" t="s">
        <v>422</v>
      </c>
      <c r="E2637" s="2">
        <v>39405</v>
      </c>
      <c r="F2637">
        <v>6206</v>
      </c>
      <c r="G2637" t="s">
        <v>1746</v>
      </c>
      <c r="H2637" t="s">
        <v>1798</v>
      </c>
      <c r="I2637" t="b">
        <v>1</v>
      </c>
      <c r="J2637" t="s">
        <v>1761</v>
      </c>
      <c r="K2637" t="s">
        <v>1917</v>
      </c>
      <c r="L2637" t="s">
        <v>1750</v>
      </c>
      <c r="M2637">
        <v>10</v>
      </c>
      <c r="N2637" t="b">
        <v>0</v>
      </c>
      <c r="O2637">
        <v>486</v>
      </c>
      <c r="P2637" t="s">
        <v>1752</v>
      </c>
      <c r="Q2637" t="s">
        <v>1753</v>
      </c>
      <c r="R2637" t="s">
        <v>1828</v>
      </c>
    </row>
    <row r="2638" spans="1:18" x14ac:dyDescent="0.25">
      <c r="A2638" t="s">
        <v>5818</v>
      </c>
      <c r="B2638" t="s">
        <v>2173</v>
      </c>
      <c r="C2638" t="s">
        <v>6</v>
      </c>
      <c r="D2638" t="s">
        <v>5817</v>
      </c>
      <c r="E2638" s="2">
        <v>44286</v>
      </c>
      <c r="F2638">
        <v>1325</v>
      </c>
      <c r="G2638" t="s">
        <v>1746</v>
      </c>
      <c r="H2638" t="s">
        <v>1747</v>
      </c>
      <c r="I2638" t="b">
        <v>0</v>
      </c>
      <c r="J2638" t="s">
        <v>1748</v>
      </c>
      <c r="K2638" t="s">
        <v>1826</v>
      </c>
      <c r="L2638" t="s">
        <v>1817</v>
      </c>
      <c r="M2638">
        <v>9</v>
      </c>
      <c r="N2638" t="b">
        <v>1</v>
      </c>
      <c r="O2638">
        <v>1037</v>
      </c>
      <c r="P2638" t="s">
        <v>1819</v>
      </c>
      <c r="Q2638" t="s">
        <v>1753</v>
      </c>
      <c r="R2638" t="s">
        <v>1759</v>
      </c>
    </row>
    <row r="2639" spans="1:18" x14ac:dyDescent="0.25">
      <c r="A2639" t="s">
        <v>5820</v>
      </c>
      <c r="B2639" t="s">
        <v>2085</v>
      </c>
      <c r="C2639" t="s">
        <v>4</v>
      </c>
      <c r="D2639" t="s">
        <v>5819</v>
      </c>
      <c r="E2639" s="2">
        <v>42892</v>
      </c>
      <c r="F2639">
        <v>2719</v>
      </c>
      <c r="G2639" t="s">
        <v>1746</v>
      </c>
      <c r="H2639" t="s">
        <v>1798</v>
      </c>
      <c r="I2639" t="b">
        <v>1</v>
      </c>
      <c r="J2639" t="s">
        <v>1761</v>
      </c>
      <c r="K2639" t="s">
        <v>1824</v>
      </c>
      <c r="L2639" t="s">
        <v>1756</v>
      </c>
      <c r="M2639">
        <v>9</v>
      </c>
      <c r="N2639" t="b">
        <v>0</v>
      </c>
      <c r="O2639">
        <v>228</v>
      </c>
      <c r="P2639" t="s">
        <v>1752</v>
      </c>
      <c r="Q2639" t="s">
        <v>1753</v>
      </c>
      <c r="R2639" t="s">
        <v>1828</v>
      </c>
    </row>
    <row r="2640" spans="1:18" x14ac:dyDescent="0.25">
      <c r="A2640" t="s">
        <v>5822</v>
      </c>
      <c r="B2640" t="s">
        <v>2854</v>
      </c>
      <c r="C2640" t="s">
        <v>11</v>
      </c>
      <c r="D2640" t="s">
        <v>5821</v>
      </c>
      <c r="E2640" s="2">
        <v>39714</v>
      </c>
      <c r="F2640">
        <v>5897</v>
      </c>
      <c r="G2640" t="s">
        <v>1746</v>
      </c>
      <c r="H2640" t="s">
        <v>1798</v>
      </c>
      <c r="I2640" t="b">
        <v>0</v>
      </c>
      <c r="J2640" t="s">
        <v>1748</v>
      </c>
      <c r="K2640" t="s">
        <v>1776</v>
      </c>
      <c r="L2640" t="s">
        <v>1766</v>
      </c>
      <c r="M2640">
        <v>9</v>
      </c>
      <c r="N2640" t="b">
        <v>0</v>
      </c>
      <c r="P2640" t="s">
        <v>1752</v>
      </c>
      <c r="Q2640" t="s">
        <v>1753</v>
      </c>
    </row>
    <row r="2641" spans="1:18" x14ac:dyDescent="0.25">
      <c r="A2641" t="s">
        <v>5824</v>
      </c>
      <c r="B2641" t="s">
        <v>2483</v>
      </c>
      <c r="C2641" t="s">
        <v>4</v>
      </c>
      <c r="D2641" t="s">
        <v>5823</v>
      </c>
      <c r="E2641" s="2">
        <v>45195</v>
      </c>
      <c r="F2641">
        <v>416</v>
      </c>
      <c r="G2641" t="s">
        <v>1746</v>
      </c>
      <c r="H2641" t="s">
        <v>1747</v>
      </c>
      <c r="I2641" t="b">
        <v>0</v>
      </c>
      <c r="J2641" t="s">
        <v>1748</v>
      </c>
      <c r="K2641" t="s">
        <v>1853</v>
      </c>
      <c r="L2641" t="s">
        <v>1750</v>
      </c>
      <c r="M2641">
        <v>9</v>
      </c>
      <c r="N2641" t="b">
        <v>1</v>
      </c>
      <c r="O2641">
        <v>246</v>
      </c>
      <c r="P2641" t="s">
        <v>1752</v>
      </c>
      <c r="Q2641" t="s">
        <v>1753</v>
      </c>
    </row>
    <row r="2642" spans="1:18" x14ac:dyDescent="0.25">
      <c r="A2642" t="s">
        <v>5826</v>
      </c>
      <c r="B2642" t="s">
        <v>2483</v>
      </c>
      <c r="C2642" t="s">
        <v>4</v>
      </c>
      <c r="D2642" t="s">
        <v>5825</v>
      </c>
      <c r="E2642" s="2">
        <v>45341</v>
      </c>
      <c r="F2642">
        <v>270</v>
      </c>
      <c r="G2642" t="s">
        <v>1833</v>
      </c>
      <c r="H2642" t="s">
        <v>1747</v>
      </c>
      <c r="I2642" t="b">
        <v>0</v>
      </c>
      <c r="J2642" t="s">
        <v>1748</v>
      </c>
      <c r="K2642" t="s">
        <v>2219</v>
      </c>
      <c r="L2642" t="s">
        <v>1750</v>
      </c>
      <c r="M2642">
        <v>9</v>
      </c>
      <c r="N2642" t="b">
        <v>0</v>
      </c>
      <c r="P2642" t="s">
        <v>1752</v>
      </c>
      <c r="Q2642" t="s">
        <v>1753</v>
      </c>
    </row>
    <row r="2643" spans="1:18" x14ac:dyDescent="0.25">
      <c r="A2643" t="s">
        <v>5828</v>
      </c>
      <c r="B2643" t="s">
        <v>1907</v>
      </c>
      <c r="C2643" t="s">
        <v>186</v>
      </c>
      <c r="D2643" t="s">
        <v>5827</v>
      </c>
      <c r="E2643" s="2">
        <v>44685</v>
      </c>
      <c r="F2643">
        <v>926</v>
      </c>
      <c r="G2643" t="s">
        <v>1746</v>
      </c>
      <c r="H2643" t="s">
        <v>1747</v>
      </c>
      <c r="I2643" t="b">
        <v>0</v>
      </c>
      <c r="J2643" t="s">
        <v>1748</v>
      </c>
      <c r="K2643" t="s">
        <v>1884</v>
      </c>
      <c r="L2643" t="s">
        <v>1775</v>
      </c>
      <c r="M2643">
        <v>9</v>
      </c>
      <c r="N2643" t="b">
        <v>0</v>
      </c>
      <c r="P2643" t="s">
        <v>2283</v>
      </c>
      <c r="Q2643" t="s">
        <v>1705</v>
      </c>
    </row>
    <row r="2644" spans="1:18" x14ac:dyDescent="0.25">
      <c r="A2644" t="s">
        <v>5830</v>
      </c>
      <c r="B2644" t="s">
        <v>1907</v>
      </c>
      <c r="C2644" t="s">
        <v>4</v>
      </c>
      <c r="D2644" t="s">
        <v>5829</v>
      </c>
      <c r="E2644" s="2">
        <v>44824</v>
      </c>
      <c r="F2644">
        <v>787</v>
      </c>
      <c r="G2644" t="s">
        <v>1746</v>
      </c>
      <c r="H2644" t="s">
        <v>1798</v>
      </c>
      <c r="I2644" t="b">
        <v>1</v>
      </c>
      <c r="J2644" t="s">
        <v>1761</v>
      </c>
      <c r="K2644" t="s">
        <v>1770</v>
      </c>
      <c r="L2644" t="s">
        <v>1750</v>
      </c>
      <c r="M2644">
        <v>9</v>
      </c>
      <c r="N2644" t="b">
        <v>1</v>
      </c>
      <c r="O2644">
        <v>42</v>
      </c>
      <c r="P2644" t="s">
        <v>1752</v>
      </c>
      <c r="Q2644" t="s">
        <v>1753</v>
      </c>
      <c r="R2644" t="s">
        <v>1759</v>
      </c>
    </row>
    <row r="2645" spans="1:18" x14ac:dyDescent="0.25">
      <c r="A2645" t="s">
        <v>5832</v>
      </c>
      <c r="B2645" t="s">
        <v>2150</v>
      </c>
      <c r="C2645" t="s">
        <v>4</v>
      </c>
      <c r="D2645" t="s">
        <v>5831</v>
      </c>
      <c r="E2645" s="2">
        <v>44516</v>
      </c>
      <c r="F2645">
        <v>1095</v>
      </c>
      <c r="G2645" t="s">
        <v>1746</v>
      </c>
      <c r="H2645" t="s">
        <v>1747</v>
      </c>
      <c r="I2645" t="b">
        <v>1</v>
      </c>
      <c r="J2645" t="s">
        <v>1761</v>
      </c>
      <c r="K2645" t="s">
        <v>1868</v>
      </c>
      <c r="L2645" t="s">
        <v>1750</v>
      </c>
      <c r="M2645">
        <v>9</v>
      </c>
      <c r="N2645" t="b">
        <v>0</v>
      </c>
      <c r="O2645">
        <v>39</v>
      </c>
      <c r="P2645" t="s">
        <v>1752</v>
      </c>
      <c r="Q2645" t="s">
        <v>1753</v>
      </c>
      <c r="R2645" t="s">
        <v>1759</v>
      </c>
    </row>
    <row r="2646" spans="1:18" x14ac:dyDescent="0.25">
      <c r="A2646" t="s">
        <v>5833</v>
      </c>
      <c r="B2646" t="s">
        <v>1876</v>
      </c>
      <c r="C2646" t="s">
        <v>4</v>
      </c>
      <c r="D2646" t="s">
        <v>514</v>
      </c>
      <c r="E2646" s="2">
        <v>44384</v>
      </c>
      <c r="F2646">
        <v>1227</v>
      </c>
      <c r="G2646" t="s">
        <v>1746</v>
      </c>
      <c r="H2646" t="s">
        <v>1747</v>
      </c>
      <c r="I2646" t="b">
        <v>0</v>
      </c>
      <c r="J2646" t="s">
        <v>1761</v>
      </c>
      <c r="K2646" t="s">
        <v>1776</v>
      </c>
      <c r="L2646" t="s">
        <v>1817</v>
      </c>
      <c r="M2646">
        <v>9</v>
      </c>
      <c r="N2646" t="b">
        <v>1</v>
      </c>
      <c r="O2646">
        <v>216</v>
      </c>
      <c r="P2646" t="s">
        <v>1819</v>
      </c>
      <c r="Q2646" t="s">
        <v>1753</v>
      </c>
      <c r="R2646" t="s">
        <v>1759</v>
      </c>
    </row>
    <row r="2647" spans="1:18" x14ac:dyDescent="0.25">
      <c r="A2647" t="s">
        <v>5834</v>
      </c>
      <c r="B2647" t="s">
        <v>1876</v>
      </c>
      <c r="C2647" t="s">
        <v>4</v>
      </c>
      <c r="D2647" t="s">
        <v>792</v>
      </c>
      <c r="E2647" s="2">
        <v>44805</v>
      </c>
      <c r="F2647">
        <v>806</v>
      </c>
      <c r="G2647" t="s">
        <v>1746</v>
      </c>
      <c r="H2647" t="s">
        <v>1747</v>
      </c>
      <c r="I2647" t="b">
        <v>0</v>
      </c>
      <c r="J2647" t="s">
        <v>1748</v>
      </c>
      <c r="K2647" t="s">
        <v>1830</v>
      </c>
      <c r="L2647" t="s">
        <v>1750</v>
      </c>
      <c r="M2647">
        <v>9</v>
      </c>
      <c r="N2647" t="b">
        <v>1</v>
      </c>
      <c r="O2647">
        <v>36</v>
      </c>
      <c r="P2647" t="s">
        <v>1752</v>
      </c>
      <c r="Q2647" t="s">
        <v>1753</v>
      </c>
      <c r="R2647" t="s">
        <v>1759</v>
      </c>
    </row>
    <row r="2648" spans="1:18" x14ac:dyDescent="0.25">
      <c r="A2648" t="s">
        <v>5836</v>
      </c>
      <c r="B2648" t="s">
        <v>2836</v>
      </c>
      <c r="C2648" t="s">
        <v>4</v>
      </c>
      <c r="D2648" t="s">
        <v>5835</v>
      </c>
      <c r="E2648" s="2">
        <v>45202</v>
      </c>
      <c r="F2648">
        <v>409</v>
      </c>
      <c r="G2648" t="s">
        <v>1746</v>
      </c>
      <c r="H2648" t="s">
        <v>1798</v>
      </c>
      <c r="I2648" t="b">
        <v>0</v>
      </c>
      <c r="J2648" t="s">
        <v>1748</v>
      </c>
      <c r="K2648" t="s">
        <v>1934</v>
      </c>
      <c r="L2648" t="s">
        <v>1817</v>
      </c>
      <c r="M2648">
        <v>9</v>
      </c>
      <c r="N2648" t="b">
        <v>0</v>
      </c>
      <c r="O2648">
        <v>1528</v>
      </c>
      <c r="P2648" t="s">
        <v>1819</v>
      </c>
      <c r="Q2648" t="s">
        <v>1753</v>
      </c>
      <c r="R2648" t="s">
        <v>1759</v>
      </c>
    </row>
    <row r="2649" spans="1:18" x14ac:dyDescent="0.25">
      <c r="A2649" t="s">
        <v>5838</v>
      </c>
      <c r="B2649" t="s">
        <v>2284</v>
      </c>
      <c r="C2649" t="s">
        <v>2338</v>
      </c>
      <c r="D2649" t="s">
        <v>5837</v>
      </c>
      <c r="E2649" s="2">
        <v>44467</v>
      </c>
      <c r="F2649">
        <v>1144</v>
      </c>
      <c r="G2649" t="s">
        <v>1746</v>
      </c>
      <c r="H2649" t="s">
        <v>1747</v>
      </c>
      <c r="I2649" t="b">
        <v>0</v>
      </c>
      <c r="J2649" t="s">
        <v>1748</v>
      </c>
      <c r="K2649" t="s">
        <v>1935</v>
      </c>
      <c r="L2649" t="s">
        <v>1775</v>
      </c>
      <c r="M2649">
        <v>9</v>
      </c>
      <c r="N2649" t="b">
        <v>0</v>
      </c>
      <c r="P2649" t="s">
        <v>2283</v>
      </c>
      <c r="Q2649" t="s">
        <v>1705</v>
      </c>
    </row>
    <row r="2650" spans="1:18" x14ac:dyDescent="0.25">
      <c r="A2650" t="s">
        <v>5840</v>
      </c>
      <c r="B2650" t="s">
        <v>2144</v>
      </c>
      <c r="C2650" t="s">
        <v>186</v>
      </c>
      <c r="D2650" t="s">
        <v>5839</v>
      </c>
      <c r="E2650" s="2">
        <v>44587</v>
      </c>
      <c r="F2650">
        <v>1024</v>
      </c>
      <c r="G2650" t="s">
        <v>1746</v>
      </c>
      <c r="H2650" t="s">
        <v>1747</v>
      </c>
      <c r="I2650" t="b">
        <v>0</v>
      </c>
      <c r="J2650" t="s">
        <v>1748</v>
      </c>
      <c r="K2650" t="s">
        <v>1799</v>
      </c>
      <c r="L2650" t="s">
        <v>1775</v>
      </c>
      <c r="M2650">
        <v>9</v>
      </c>
      <c r="N2650" t="b">
        <v>0</v>
      </c>
      <c r="P2650" t="s">
        <v>2283</v>
      </c>
      <c r="Q2650" t="s">
        <v>1705</v>
      </c>
    </row>
    <row r="2651" spans="1:18" x14ac:dyDescent="0.25">
      <c r="A2651" t="s">
        <v>5842</v>
      </c>
      <c r="B2651" t="s">
        <v>2014</v>
      </c>
      <c r="C2651" t="s">
        <v>6</v>
      </c>
      <c r="D2651" t="s">
        <v>5841</v>
      </c>
      <c r="E2651" s="2">
        <v>42038</v>
      </c>
      <c r="F2651">
        <v>3573</v>
      </c>
      <c r="G2651" t="s">
        <v>1746</v>
      </c>
      <c r="H2651" t="s">
        <v>1747</v>
      </c>
      <c r="I2651" t="b">
        <v>0</v>
      </c>
      <c r="J2651" t="s">
        <v>1748</v>
      </c>
      <c r="K2651" t="s">
        <v>1824</v>
      </c>
      <c r="L2651" t="s">
        <v>1766</v>
      </c>
      <c r="M2651">
        <v>9</v>
      </c>
      <c r="N2651" t="b">
        <v>0</v>
      </c>
      <c r="P2651" t="s">
        <v>1752</v>
      </c>
      <c r="Q2651" t="s">
        <v>1753</v>
      </c>
    </row>
    <row r="2652" spans="1:18" x14ac:dyDescent="0.25">
      <c r="A2652" t="s">
        <v>5844</v>
      </c>
      <c r="B2652" t="s">
        <v>2662</v>
      </c>
      <c r="C2652" t="s">
        <v>4</v>
      </c>
      <c r="D2652" t="s">
        <v>5843</v>
      </c>
      <c r="E2652" s="2">
        <v>43790</v>
      </c>
      <c r="F2652">
        <v>1821</v>
      </c>
      <c r="G2652" t="s">
        <v>1746</v>
      </c>
      <c r="H2652" t="s">
        <v>1798</v>
      </c>
      <c r="I2652" t="b">
        <v>0</v>
      </c>
      <c r="J2652" t="s">
        <v>1761</v>
      </c>
      <c r="K2652" t="s">
        <v>1913</v>
      </c>
      <c r="L2652" t="s">
        <v>1750</v>
      </c>
      <c r="M2652">
        <v>9</v>
      </c>
      <c r="N2652" t="b">
        <v>0</v>
      </c>
      <c r="O2652">
        <v>57</v>
      </c>
      <c r="P2652" t="s">
        <v>1819</v>
      </c>
      <c r="Q2652" t="s">
        <v>1753</v>
      </c>
      <c r="R2652" t="s">
        <v>1759</v>
      </c>
    </row>
    <row r="2653" spans="1:18" x14ac:dyDescent="0.25">
      <c r="A2653" t="s">
        <v>5846</v>
      </c>
      <c r="B2653" t="s">
        <v>2085</v>
      </c>
      <c r="C2653" t="s">
        <v>4</v>
      </c>
      <c r="D2653" t="s">
        <v>5845</v>
      </c>
      <c r="E2653" s="2">
        <v>43209</v>
      </c>
      <c r="F2653">
        <v>2402</v>
      </c>
      <c r="G2653" t="s">
        <v>1746</v>
      </c>
      <c r="H2653" t="s">
        <v>1747</v>
      </c>
      <c r="I2653" t="b">
        <v>1</v>
      </c>
      <c r="J2653" t="s">
        <v>1748</v>
      </c>
      <c r="K2653" t="s">
        <v>1793</v>
      </c>
      <c r="L2653" t="s">
        <v>1817</v>
      </c>
      <c r="M2653">
        <v>9</v>
      </c>
      <c r="N2653" t="b">
        <v>0</v>
      </c>
      <c r="O2653">
        <v>52</v>
      </c>
      <c r="P2653" t="s">
        <v>1819</v>
      </c>
      <c r="Q2653" t="s">
        <v>1753</v>
      </c>
    </row>
    <row r="2654" spans="1:18" x14ac:dyDescent="0.25">
      <c r="A2654" t="s">
        <v>5848</v>
      </c>
      <c r="B2654" t="s">
        <v>2173</v>
      </c>
      <c r="C2654" t="s">
        <v>6</v>
      </c>
      <c r="D2654" t="s">
        <v>5847</v>
      </c>
      <c r="E2654" s="2">
        <v>44006</v>
      </c>
      <c r="F2654">
        <v>1605</v>
      </c>
      <c r="G2654" t="s">
        <v>1746</v>
      </c>
      <c r="H2654" t="s">
        <v>1747</v>
      </c>
      <c r="I2654" t="b">
        <v>1</v>
      </c>
      <c r="J2654" t="s">
        <v>1761</v>
      </c>
      <c r="K2654" t="s">
        <v>1891</v>
      </c>
      <c r="L2654" t="s">
        <v>1750</v>
      </c>
      <c r="M2654">
        <v>9</v>
      </c>
      <c r="N2654" t="b">
        <v>0</v>
      </c>
      <c r="O2654">
        <v>46</v>
      </c>
      <c r="P2654" t="s">
        <v>1752</v>
      </c>
      <c r="Q2654" t="s">
        <v>1753</v>
      </c>
    </row>
    <row r="2655" spans="1:18" x14ac:dyDescent="0.25">
      <c r="A2655" t="s">
        <v>5850</v>
      </c>
      <c r="B2655" t="s">
        <v>1803</v>
      </c>
      <c r="C2655" t="s">
        <v>4</v>
      </c>
      <c r="D2655" t="s">
        <v>5849</v>
      </c>
      <c r="E2655" s="2">
        <v>40001</v>
      </c>
      <c r="F2655">
        <v>5610</v>
      </c>
      <c r="G2655" t="s">
        <v>1746</v>
      </c>
      <c r="H2655" t="s">
        <v>1798</v>
      </c>
      <c r="I2655" t="b">
        <v>0</v>
      </c>
      <c r="J2655" t="s">
        <v>1748</v>
      </c>
      <c r="K2655" t="s">
        <v>1755</v>
      </c>
      <c r="L2655" t="s">
        <v>1766</v>
      </c>
      <c r="M2655">
        <v>9</v>
      </c>
      <c r="N2655" t="b">
        <v>0</v>
      </c>
      <c r="P2655" t="s">
        <v>1752</v>
      </c>
      <c r="Q2655" t="s">
        <v>1753</v>
      </c>
      <c r="R2655" t="s">
        <v>1828</v>
      </c>
    </row>
    <row r="2656" spans="1:18" x14ac:dyDescent="0.25">
      <c r="A2656" t="s">
        <v>5852</v>
      </c>
      <c r="B2656" t="s">
        <v>2662</v>
      </c>
      <c r="C2656" t="s">
        <v>572</v>
      </c>
      <c r="D2656" t="s">
        <v>5851</v>
      </c>
      <c r="E2656" s="2">
        <v>44657</v>
      </c>
      <c r="F2656">
        <v>954</v>
      </c>
      <c r="G2656" t="s">
        <v>1746</v>
      </c>
      <c r="H2656" t="s">
        <v>1798</v>
      </c>
      <c r="I2656" t="b">
        <v>0</v>
      </c>
      <c r="J2656" t="s">
        <v>1748</v>
      </c>
      <c r="K2656" t="s">
        <v>1917</v>
      </c>
      <c r="L2656" t="s">
        <v>1750</v>
      </c>
      <c r="M2656">
        <v>9</v>
      </c>
      <c r="N2656" t="b">
        <v>0</v>
      </c>
      <c r="O2656">
        <v>31</v>
      </c>
      <c r="P2656" t="s">
        <v>1752</v>
      </c>
      <c r="Q2656" t="s">
        <v>1753</v>
      </c>
      <c r="R2656" t="s">
        <v>1828</v>
      </c>
    </row>
    <row r="2657" spans="1:18" x14ac:dyDescent="0.25">
      <c r="A2657" t="s">
        <v>5854</v>
      </c>
      <c r="B2657" t="s">
        <v>2144</v>
      </c>
      <c r="C2657" t="s">
        <v>6</v>
      </c>
      <c r="D2657" t="s">
        <v>5853</v>
      </c>
      <c r="E2657" s="2">
        <v>43896</v>
      </c>
      <c r="F2657">
        <v>1715</v>
      </c>
      <c r="G2657" t="s">
        <v>1746</v>
      </c>
      <c r="H2657" t="s">
        <v>1747</v>
      </c>
      <c r="I2657" t="b">
        <v>0</v>
      </c>
      <c r="J2657" t="s">
        <v>1761</v>
      </c>
      <c r="K2657" t="s">
        <v>1822</v>
      </c>
      <c r="L2657" t="s">
        <v>1766</v>
      </c>
      <c r="M2657">
        <v>9</v>
      </c>
      <c r="N2657" t="b">
        <v>0</v>
      </c>
      <c r="P2657" t="s">
        <v>1827</v>
      </c>
      <c r="Q2657" t="s">
        <v>1753</v>
      </c>
    </row>
    <row r="2658" spans="1:18" x14ac:dyDescent="0.25">
      <c r="A2658" t="s">
        <v>5855</v>
      </c>
      <c r="B2658" t="s">
        <v>2836</v>
      </c>
      <c r="C2658" t="s">
        <v>4</v>
      </c>
      <c r="D2658" t="s">
        <v>397</v>
      </c>
      <c r="E2658" s="2">
        <v>45037</v>
      </c>
      <c r="F2658">
        <v>574</v>
      </c>
      <c r="G2658" t="s">
        <v>1833</v>
      </c>
      <c r="H2658" t="s">
        <v>1798</v>
      </c>
      <c r="I2658" t="b">
        <v>1</v>
      </c>
      <c r="J2658" t="s">
        <v>1761</v>
      </c>
      <c r="K2658" t="s">
        <v>1824</v>
      </c>
      <c r="L2658" t="s">
        <v>1750</v>
      </c>
      <c r="M2658">
        <v>9</v>
      </c>
      <c r="N2658" t="b">
        <v>1</v>
      </c>
      <c r="O2658">
        <v>129</v>
      </c>
      <c r="P2658" t="s">
        <v>1819</v>
      </c>
      <c r="Q2658" t="s">
        <v>1753</v>
      </c>
      <c r="R2658" t="s">
        <v>1828</v>
      </c>
    </row>
    <row r="2659" spans="1:18" x14ac:dyDescent="0.25">
      <c r="A2659" t="s">
        <v>5857</v>
      </c>
      <c r="B2659" t="s">
        <v>4347</v>
      </c>
      <c r="C2659" t="s">
        <v>4</v>
      </c>
      <c r="D2659" t="s">
        <v>5856</v>
      </c>
      <c r="E2659" s="2">
        <v>45230</v>
      </c>
      <c r="F2659">
        <v>381</v>
      </c>
      <c r="G2659" t="s">
        <v>1746</v>
      </c>
      <c r="H2659" t="s">
        <v>1747</v>
      </c>
      <c r="I2659" t="b">
        <v>0</v>
      </c>
      <c r="J2659" t="s">
        <v>1748</v>
      </c>
      <c r="K2659" t="s">
        <v>1913</v>
      </c>
      <c r="L2659" t="s">
        <v>1756</v>
      </c>
      <c r="M2659">
        <v>9</v>
      </c>
      <c r="N2659" t="b">
        <v>0</v>
      </c>
      <c r="O2659">
        <v>59</v>
      </c>
      <c r="P2659" t="s">
        <v>1752</v>
      </c>
      <c r="Q2659" t="s">
        <v>1753</v>
      </c>
      <c r="R2659" t="s">
        <v>1759</v>
      </c>
    </row>
    <row r="2660" spans="1:18" x14ac:dyDescent="0.25">
      <c r="A2660" t="s">
        <v>5859</v>
      </c>
      <c r="B2660" t="s">
        <v>2150</v>
      </c>
      <c r="C2660" t="s">
        <v>4</v>
      </c>
      <c r="D2660" t="s">
        <v>5858</v>
      </c>
      <c r="E2660" s="2">
        <v>43857</v>
      </c>
      <c r="F2660">
        <v>1754</v>
      </c>
      <c r="G2660" t="s">
        <v>1746</v>
      </c>
      <c r="H2660" t="s">
        <v>1747</v>
      </c>
      <c r="I2660" t="b">
        <v>0</v>
      </c>
      <c r="J2660" t="s">
        <v>1748</v>
      </c>
      <c r="K2660" t="s">
        <v>2042</v>
      </c>
      <c r="L2660" t="s">
        <v>1750</v>
      </c>
      <c r="M2660">
        <v>9</v>
      </c>
      <c r="N2660" t="b">
        <v>0</v>
      </c>
      <c r="O2660">
        <v>50</v>
      </c>
      <c r="P2660" t="s">
        <v>1752</v>
      </c>
      <c r="Q2660" t="s">
        <v>1753</v>
      </c>
    </row>
    <row r="2661" spans="1:18" x14ac:dyDescent="0.25">
      <c r="A2661" t="s">
        <v>5860</v>
      </c>
      <c r="B2661" t="s">
        <v>2810</v>
      </c>
      <c r="C2661" t="s">
        <v>4</v>
      </c>
      <c r="D2661" t="s">
        <v>1315</v>
      </c>
      <c r="E2661" s="2">
        <v>44173</v>
      </c>
      <c r="F2661">
        <v>1438</v>
      </c>
      <c r="G2661" t="s">
        <v>1833</v>
      </c>
      <c r="H2661" t="s">
        <v>1798</v>
      </c>
      <c r="I2661" t="b">
        <v>0</v>
      </c>
      <c r="J2661" t="s">
        <v>1761</v>
      </c>
      <c r="K2661" t="s">
        <v>1776</v>
      </c>
      <c r="L2661" t="s">
        <v>1750</v>
      </c>
      <c r="M2661">
        <v>9</v>
      </c>
      <c r="N2661" t="b">
        <v>0</v>
      </c>
      <c r="O2661">
        <v>14545</v>
      </c>
      <c r="P2661" t="s">
        <v>1752</v>
      </c>
      <c r="Q2661" t="s">
        <v>1753</v>
      </c>
      <c r="R2661" t="s">
        <v>1759</v>
      </c>
    </row>
    <row r="2662" spans="1:18" x14ac:dyDescent="0.25">
      <c r="A2662" t="s">
        <v>5862</v>
      </c>
      <c r="B2662" t="s">
        <v>1704</v>
      </c>
      <c r="C2662" t="s">
        <v>4</v>
      </c>
      <c r="D2662" t="s">
        <v>5861</v>
      </c>
      <c r="E2662" s="2">
        <v>45182</v>
      </c>
      <c r="F2662">
        <v>429</v>
      </c>
      <c r="G2662" t="s">
        <v>1746</v>
      </c>
      <c r="H2662" t="s">
        <v>1798</v>
      </c>
      <c r="I2662" t="b">
        <v>0</v>
      </c>
      <c r="J2662" t="s">
        <v>1761</v>
      </c>
      <c r="K2662" t="s">
        <v>1776</v>
      </c>
      <c r="L2662" t="s">
        <v>1750</v>
      </c>
      <c r="M2662">
        <v>9</v>
      </c>
      <c r="N2662" t="b">
        <v>1</v>
      </c>
      <c r="O2662">
        <v>89</v>
      </c>
      <c r="P2662" t="s">
        <v>1752</v>
      </c>
      <c r="Q2662" t="s">
        <v>1753</v>
      </c>
      <c r="R2662" t="s">
        <v>1828</v>
      </c>
    </row>
    <row r="2663" spans="1:18" x14ac:dyDescent="0.25">
      <c r="A2663" t="s">
        <v>5864</v>
      </c>
      <c r="B2663" t="s">
        <v>2173</v>
      </c>
      <c r="C2663" t="s">
        <v>4</v>
      </c>
      <c r="D2663" t="s">
        <v>5863</v>
      </c>
      <c r="E2663" s="2">
        <v>42124</v>
      </c>
      <c r="F2663">
        <v>3487</v>
      </c>
      <c r="G2663" t="s">
        <v>1746</v>
      </c>
      <c r="H2663" t="s">
        <v>2231</v>
      </c>
      <c r="I2663" t="b">
        <v>0</v>
      </c>
      <c r="J2663" t="s">
        <v>1748</v>
      </c>
      <c r="K2663" t="s">
        <v>1910</v>
      </c>
      <c r="L2663" t="s">
        <v>1817</v>
      </c>
      <c r="M2663">
        <v>9</v>
      </c>
      <c r="N2663" t="b">
        <v>0</v>
      </c>
      <c r="O2663">
        <v>296</v>
      </c>
      <c r="P2663" t="s">
        <v>1819</v>
      </c>
      <c r="Q2663" t="s">
        <v>1753</v>
      </c>
    </row>
    <row r="2664" spans="1:18" x14ac:dyDescent="0.25">
      <c r="A2664" t="s">
        <v>5865</v>
      </c>
      <c r="B2664" t="s">
        <v>1829</v>
      </c>
      <c r="C2664" t="s">
        <v>4</v>
      </c>
      <c r="D2664" t="s">
        <v>407</v>
      </c>
      <c r="E2664" s="2">
        <v>43705</v>
      </c>
      <c r="F2664">
        <v>1906</v>
      </c>
      <c r="G2664" t="s">
        <v>1746</v>
      </c>
      <c r="H2664" t="s">
        <v>1798</v>
      </c>
      <c r="I2664" t="b">
        <v>0</v>
      </c>
      <c r="J2664" t="s">
        <v>1761</v>
      </c>
      <c r="K2664" t="s">
        <v>1822</v>
      </c>
      <c r="L2664" t="s">
        <v>1817</v>
      </c>
      <c r="M2664">
        <v>9</v>
      </c>
      <c r="N2664" t="b">
        <v>0</v>
      </c>
      <c r="O2664">
        <v>30</v>
      </c>
      <c r="P2664" t="s">
        <v>1819</v>
      </c>
      <c r="Q2664" t="s">
        <v>1753</v>
      </c>
      <c r="R2664" t="s">
        <v>1828</v>
      </c>
    </row>
    <row r="2665" spans="1:18" x14ac:dyDescent="0.25">
      <c r="A2665" t="s">
        <v>5867</v>
      </c>
      <c r="B2665" t="s">
        <v>2150</v>
      </c>
      <c r="C2665" t="s">
        <v>4</v>
      </c>
      <c r="D2665" t="s">
        <v>5866</v>
      </c>
      <c r="E2665" s="2">
        <v>45280</v>
      </c>
      <c r="F2665">
        <v>331</v>
      </c>
      <c r="G2665" t="s">
        <v>1746</v>
      </c>
      <c r="H2665" t="s">
        <v>1747</v>
      </c>
      <c r="I2665" t="b">
        <v>0</v>
      </c>
      <c r="J2665" t="s">
        <v>1748</v>
      </c>
      <c r="K2665" t="s">
        <v>1917</v>
      </c>
      <c r="L2665" t="s">
        <v>1750</v>
      </c>
      <c r="M2665">
        <v>9</v>
      </c>
      <c r="N2665" t="b">
        <v>0</v>
      </c>
      <c r="P2665" t="s">
        <v>1819</v>
      </c>
      <c r="Q2665" t="s">
        <v>1753</v>
      </c>
    </row>
    <row r="2666" spans="1:18" x14ac:dyDescent="0.25">
      <c r="A2666" t="s">
        <v>5869</v>
      </c>
      <c r="B2666" t="s">
        <v>1803</v>
      </c>
      <c r="C2666" t="s">
        <v>4</v>
      </c>
      <c r="D2666" t="s">
        <v>5868</v>
      </c>
      <c r="E2666" s="2">
        <v>42073</v>
      </c>
      <c r="F2666">
        <v>3538</v>
      </c>
      <c r="G2666" t="s">
        <v>1746</v>
      </c>
      <c r="H2666" t="s">
        <v>1798</v>
      </c>
      <c r="I2666" t="b">
        <v>0</v>
      </c>
      <c r="J2666" t="s">
        <v>1748</v>
      </c>
      <c r="K2666" t="s">
        <v>1809</v>
      </c>
      <c r="L2666" t="s">
        <v>1766</v>
      </c>
      <c r="M2666">
        <v>9</v>
      </c>
      <c r="N2666" t="b">
        <v>0</v>
      </c>
      <c r="P2666" t="s">
        <v>1752</v>
      </c>
      <c r="Q2666" t="s">
        <v>1753</v>
      </c>
    </row>
    <row r="2667" spans="1:18" x14ac:dyDescent="0.25">
      <c r="A2667" t="s">
        <v>5871</v>
      </c>
      <c r="B2667" t="s">
        <v>3629</v>
      </c>
      <c r="C2667" t="s">
        <v>572</v>
      </c>
      <c r="D2667" t="s">
        <v>5870</v>
      </c>
      <c r="E2667" s="2">
        <v>45013</v>
      </c>
      <c r="F2667">
        <v>598</v>
      </c>
      <c r="G2667" t="s">
        <v>1746</v>
      </c>
      <c r="H2667" t="s">
        <v>1747</v>
      </c>
      <c r="I2667" t="b">
        <v>0</v>
      </c>
      <c r="J2667" t="s">
        <v>1748</v>
      </c>
      <c r="K2667" t="s">
        <v>1845</v>
      </c>
      <c r="L2667" t="s">
        <v>1775</v>
      </c>
      <c r="M2667">
        <v>9</v>
      </c>
      <c r="N2667" t="b">
        <v>0</v>
      </c>
      <c r="P2667" t="s">
        <v>2283</v>
      </c>
      <c r="Q2667" t="s">
        <v>1705</v>
      </c>
    </row>
    <row r="2668" spans="1:18" x14ac:dyDescent="0.25">
      <c r="A2668" t="s">
        <v>5872</v>
      </c>
      <c r="B2668" t="s">
        <v>1876</v>
      </c>
      <c r="C2668" t="s">
        <v>4</v>
      </c>
      <c r="D2668" t="s">
        <v>814</v>
      </c>
      <c r="E2668" s="2">
        <v>44805</v>
      </c>
      <c r="F2668">
        <v>806</v>
      </c>
      <c r="G2668" t="s">
        <v>1746</v>
      </c>
      <c r="H2668" t="s">
        <v>1747</v>
      </c>
      <c r="I2668" t="b">
        <v>0</v>
      </c>
      <c r="J2668" t="s">
        <v>1748</v>
      </c>
      <c r="K2668" t="s">
        <v>1917</v>
      </c>
      <c r="L2668" t="s">
        <v>1750</v>
      </c>
      <c r="M2668">
        <v>9</v>
      </c>
      <c r="N2668" t="b">
        <v>1</v>
      </c>
      <c r="O2668">
        <v>63</v>
      </c>
      <c r="P2668" t="s">
        <v>1752</v>
      </c>
      <c r="Q2668" t="s">
        <v>1753</v>
      </c>
      <c r="R2668" t="s">
        <v>1759</v>
      </c>
    </row>
    <row r="2669" spans="1:18" x14ac:dyDescent="0.25">
      <c r="A2669" t="s">
        <v>5873</v>
      </c>
      <c r="B2669" t="s">
        <v>1860</v>
      </c>
      <c r="C2669" t="s">
        <v>4</v>
      </c>
      <c r="D2669" t="s">
        <v>1207</v>
      </c>
      <c r="E2669" s="2">
        <v>44397</v>
      </c>
      <c r="F2669">
        <v>1214</v>
      </c>
      <c r="G2669" t="s">
        <v>1746</v>
      </c>
      <c r="H2669" t="s">
        <v>1747</v>
      </c>
      <c r="I2669" t="b">
        <v>0</v>
      </c>
      <c r="J2669" t="s">
        <v>1748</v>
      </c>
      <c r="K2669" t="s">
        <v>1749</v>
      </c>
      <c r="L2669" t="s">
        <v>1750</v>
      </c>
      <c r="M2669">
        <v>9</v>
      </c>
      <c r="N2669" t="b">
        <v>1</v>
      </c>
      <c r="O2669">
        <v>522</v>
      </c>
      <c r="P2669" t="s">
        <v>1752</v>
      </c>
      <c r="Q2669" t="s">
        <v>1753</v>
      </c>
    </row>
    <row r="2670" spans="1:18" x14ac:dyDescent="0.25">
      <c r="A2670" t="s">
        <v>5875</v>
      </c>
      <c r="B2670" t="s">
        <v>2133</v>
      </c>
      <c r="C2670" t="s">
        <v>4</v>
      </c>
      <c r="D2670" t="s">
        <v>5874</v>
      </c>
      <c r="E2670" s="2">
        <v>44957</v>
      </c>
      <c r="F2670">
        <v>654</v>
      </c>
      <c r="G2670" t="s">
        <v>1746</v>
      </c>
      <c r="H2670" t="s">
        <v>1798</v>
      </c>
      <c r="I2670" t="b">
        <v>0</v>
      </c>
      <c r="J2670" t="s">
        <v>1748</v>
      </c>
      <c r="K2670" t="s">
        <v>1774</v>
      </c>
      <c r="L2670" t="s">
        <v>1750</v>
      </c>
      <c r="M2670">
        <v>9</v>
      </c>
      <c r="N2670" t="b">
        <v>1</v>
      </c>
      <c r="O2670">
        <v>182</v>
      </c>
      <c r="P2670" t="s">
        <v>1752</v>
      </c>
      <c r="Q2670" t="s">
        <v>1753</v>
      </c>
      <c r="R2670" t="s">
        <v>1828</v>
      </c>
    </row>
    <row r="2671" spans="1:18" x14ac:dyDescent="0.25">
      <c r="A2671" t="s">
        <v>5877</v>
      </c>
      <c r="B2671" t="s">
        <v>1803</v>
      </c>
      <c r="C2671" t="s">
        <v>6</v>
      </c>
      <c r="D2671" t="s">
        <v>5876</v>
      </c>
      <c r="E2671" s="2">
        <v>40003</v>
      </c>
      <c r="F2671">
        <v>5608</v>
      </c>
      <c r="G2671" t="s">
        <v>1746</v>
      </c>
      <c r="H2671" t="s">
        <v>1798</v>
      </c>
      <c r="I2671" t="b">
        <v>0</v>
      </c>
      <c r="J2671" t="s">
        <v>1748</v>
      </c>
      <c r="K2671" t="s">
        <v>1988</v>
      </c>
      <c r="L2671" t="s">
        <v>1766</v>
      </c>
      <c r="M2671">
        <v>8</v>
      </c>
      <c r="N2671" t="b">
        <v>0</v>
      </c>
      <c r="P2671" t="s">
        <v>2070</v>
      </c>
      <c r="Q2671" t="s">
        <v>1753</v>
      </c>
    </row>
    <row r="2672" spans="1:18" x14ac:dyDescent="0.25">
      <c r="A2672" t="s">
        <v>5879</v>
      </c>
      <c r="B2672" t="s">
        <v>2011</v>
      </c>
      <c r="C2672" t="s">
        <v>4</v>
      </c>
      <c r="D2672" t="s">
        <v>5878</v>
      </c>
      <c r="E2672" s="2">
        <v>45371</v>
      </c>
      <c r="F2672">
        <v>240</v>
      </c>
      <c r="G2672" t="s">
        <v>1746</v>
      </c>
      <c r="H2672" t="s">
        <v>1747</v>
      </c>
      <c r="I2672" t="b">
        <v>0</v>
      </c>
      <c r="J2672" t="s">
        <v>1748</v>
      </c>
      <c r="K2672" t="s">
        <v>1755</v>
      </c>
      <c r="L2672" t="s">
        <v>1750</v>
      </c>
      <c r="M2672">
        <v>8</v>
      </c>
      <c r="N2672" t="b">
        <v>1</v>
      </c>
      <c r="O2672">
        <v>158</v>
      </c>
      <c r="P2672" t="s">
        <v>1752</v>
      </c>
      <c r="Q2672" t="s">
        <v>1753</v>
      </c>
      <c r="R2672" t="s">
        <v>1772</v>
      </c>
    </row>
    <row r="2673" spans="1:18" x14ac:dyDescent="0.25">
      <c r="A2673" t="s">
        <v>5880</v>
      </c>
      <c r="B2673" t="s">
        <v>1781</v>
      </c>
      <c r="C2673" t="s">
        <v>186</v>
      </c>
      <c r="D2673" t="s">
        <v>1453</v>
      </c>
      <c r="E2673" s="2">
        <v>38987</v>
      </c>
      <c r="F2673">
        <v>6624</v>
      </c>
      <c r="G2673" t="s">
        <v>1746</v>
      </c>
      <c r="H2673" t="s">
        <v>1747</v>
      </c>
      <c r="I2673" t="b">
        <v>0</v>
      </c>
      <c r="J2673" t="s">
        <v>1748</v>
      </c>
      <c r="K2673" t="s">
        <v>1830</v>
      </c>
      <c r="L2673" t="s">
        <v>2102</v>
      </c>
      <c r="M2673">
        <v>8</v>
      </c>
      <c r="N2673" t="b">
        <v>0</v>
      </c>
      <c r="P2673" t="s">
        <v>2070</v>
      </c>
      <c r="Q2673" t="s">
        <v>1779</v>
      </c>
    </row>
    <row r="2674" spans="1:18" x14ac:dyDescent="0.25">
      <c r="A2674" t="s">
        <v>1349</v>
      </c>
      <c r="B2674" t="s">
        <v>1781</v>
      </c>
      <c r="C2674" t="s">
        <v>4</v>
      </c>
      <c r="D2674" t="s">
        <v>1350</v>
      </c>
      <c r="E2674" s="2">
        <v>42103</v>
      </c>
      <c r="F2674">
        <v>3508</v>
      </c>
      <c r="G2674" t="s">
        <v>1746</v>
      </c>
      <c r="H2674" t="s">
        <v>1747</v>
      </c>
      <c r="I2674" t="b">
        <v>0</v>
      </c>
      <c r="J2674" t="s">
        <v>1748</v>
      </c>
      <c r="K2674" t="s">
        <v>1776</v>
      </c>
      <c r="L2674" t="s">
        <v>2102</v>
      </c>
      <c r="M2674">
        <v>8</v>
      </c>
      <c r="N2674" t="b">
        <v>0</v>
      </c>
      <c r="P2674" t="s">
        <v>2070</v>
      </c>
      <c r="Q2674" t="s">
        <v>1779</v>
      </c>
    </row>
    <row r="2675" spans="1:18" x14ac:dyDescent="0.25">
      <c r="A2675" t="s">
        <v>5882</v>
      </c>
      <c r="B2675" t="s">
        <v>2284</v>
      </c>
      <c r="C2675" t="s">
        <v>2338</v>
      </c>
      <c r="D2675" t="s">
        <v>5881</v>
      </c>
      <c r="E2675" s="2">
        <v>44517</v>
      </c>
      <c r="F2675">
        <v>1094</v>
      </c>
      <c r="G2675" t="s">
        <v>1746</v>
      </c>
      <c r="H2675" t="s">
        <v>1747</v>
      </c>
      <c r="I2675" t="b">
        <v>0</v>
      </c>
      <c r="J2675" t="s">
        <v>1748</v>
      </c>
      <c r="K2675" t="s">
        <v>1935</v>
      </c>
      <c r="L2675" t="s">
        <v>1775</v>
      </c>
      <c r="M2675">
        <v>8</v>
      </c>
      <c r="N2675" t="b">
        <v>0</v>
      </c>
      <c r="P2675" t="s">
        <v>2283</v>
      </c>
      <c r="Q2675" t="s">
        <v>1705</v>
      </c>
    </row>
    <row r="2676" spans="1:18" x14ac:dyDescent="0.25">
      <c r="A2676" t="s">
        <v>1401</v>
      </c>
      <c r="B2676" t="s">
        <v>1876</v>
      </c>
      <c r="C2676" t="s">
        <v>4</v>
      </c>
      <c r="D2676" t="s">
        <v>1402</v>
      </c>
      <c r="E2676" s="2">
        <v>42310</v>
      </c>
      <c r="F2676">
        <v>3301</v>
      </c>
      <c r="G2676" t="s">
        <v>1746</v>
      </c>
      <c r="H2676" t="s">
        <v>1798</v>
      </c>
      <c r="I2676" t="b">
        <v>0</v>
      </c>
      <c r="J2676" t="s">
        <v>1748</v>
      </c>
      <c r="K2676" t="s">
        <v>1879</v>
      </c>
      <c r="L2676" t="s">
        <v>1750</v>
      </c>
      <c r="M2676">
        <v>8</v>
      </c>
      <c r="N2676" t="b">
        <v>1</v>
      </c>
      <c r="O2676">
        <v>139</v>
      </c>
      <c r="P2676" t="s">
        <v>1752</v>
      </c>
      <c r="Q2676" t="s">
        <v>1753</v>
      </c>
      <c r="R2676" t="s">
        <v>1828</v>
      </c>
    </row>
    <row r="2677" spans="1:18" x14ac:dyDescent="0.25">
      <c r="A2677" t="s">
        <v>5884</v>
      </c>
      <c r="B2677" t="s">
        <v>1907</v>
      </c>
      <c r="C2677" t="s">
        <v>6</v>
      </c>
      <c r="D2677" t="s">
        <v>5883</v>
      </c>
      <c r="E2677" s="2">
        <v>44014</v>
      </c>
      <c r="F2677">
        <v>1597</v>
      </c>
      <c r="G2677" t="s">
        <v>1746</v>
      </c>
      <c r="H2677" t="s">
        <v>1798</v>
      </c>
      <c r="I2677" t="b">
        <v>0</v>
      </c>
      <c r="J2677" t="s">
        <v>1761</v>
      </c>
      <c r="K2677" t="s">
        <v>1853</v>
      </c>
      <c r="L2677" t="s">
        <v>1766</v>
      </c>
      <c r="M2677">
        <v>8</v>
      </c>
      <c r="N2677" t="b">
        <v>0</v>
      </c>
      <c r="P2677" t="s">
        <v>1752</v>
      </c>
      <c r="Q2677" t="s">
        <v>1753</v>
      </c>
      <c r="R2677" t="s">
        <v>1828</v>
      </c>
    </row>
    <row r="2678" spans="1:18" x14ac:dyDescent="0.25">
      <c r="A2678" t="s">
        <v>5885</v>
      </c>
      <c r="B2678" t="s">
        <v>2180</v>
      </c>
      <c r="C2678" t="s">
        <v>6</v>
      </c>
      <c r="D2678" t="s">
        <v>154</v>
      </c>
      <c r="E2678" s="2">
        <v>44540</v>
      </c>
      <c r="F2678">
        <v>1071</v>
      </c>
      <c r="G2678" t="s">
        <v>1746</v>
      </c>
      <c r="H2678" t="s">
        <v>1798</v>
      </c>
      <c r="I2678" t="b">
        <v>0</v>
      </c>
      <c r="J2678" t="s">
        <v>1748</v>
      </c>
      <c r="K2678" t="s">
        <v>1853</v>
      </c>
      <c r="L2678" t="s">
        <v>1750</v>
      </c>
      <c r="M2678">
        <v>8</v>
      </c>
      <c r="N2678" t="b">
        <v>1</v>
      </c>
      <c r="O2678">
        <v>50</v>
      </c>
      <c r="P2678" t="s">
        <v>1752</v>
      </c>
      <c r="Q2678" t="s">
        <v>1753</v>
      </c>
      <c r="R2678" t="s">
        <v>1759</v>
      </c>
    </row>
    <row r="2679" spans="1:18" x14ac:dyDescent="0.25">
      <c r="A2679" t="s">
        <v>5886</v>
      </c>
      <c r="B2679" t="s">
        <v>2060</v>
      </c>
      <c r="C2679" t="s">
        <v>4</v>
      </c>
      <c r="D2679" t="s">
        <v>993</v>
      </c>
      <c r="E2679" s="2">
        <v>42417</v>
      </c>
      <c r="F2679">
        <v>3194</v>
      </c>
      <c r="G2679" t="s">
        <v>1746</v>
      </c>
      <c r="H2679" t="s">
        <v>1747</v>
      </c>
      <c r="I2679" t="b">
        <v>1</v>
      </c>
      <c r="J2679" t="s">
        <v>1761</v>
      </c>
      <c r="K2679" t="s">
        <v>1824</v>
      </c>
      <c r="L2679" t="s">
        <v>1817</v>
      </c>
      <c r="M2679">
        <v>8</v>
      </c>
      <c r="N2679" t="b">
        <v>0</v>
      </c>
      <c r="O2679">
        <v>12</v>
      </c>
      <c r="P2679" t="s">
        <v>1819</v>
      </c>
      <c r="Q2679" t="s">
        <v>1753</v>
      </c>
    </row>
    <row r="2680" spans="1:18" x14ac:dyDescent="0.25">
      <c r="A2680" t="s">
        <v>5888</v>
      </c>
      <c r="B2680" t="s">
        <v>2133</v>
      </c>
      <c r="C2680" t="s">
        <v>4</v>
      </c>
      <c r="D2680" t="s">
        <v>5887</v>
      </c>
      <c r="E2680" s="2">
        <v>43816</v>
      </c>
      <c r="F2680">
        <v>1795</v>
      </c>
      <c r="G2680" t="s">
        <v>1746</v>
      </c>
      <c r="H2680" t="s">
        <v>1747</v>
      </c>
      <c r="I2680" t="b">
        <v>0</v>
      </c>
      <c r="J2680" t="s">
        <v>1748</v>
      </c>
      <c r="K2680" t="s">
        <v>1751</v>
      </c>
      <c r="L2680" t="s">
        <v>1750</v>
      </c>
      <c r="M2680">
        <v>8</v>
      </c>
      <c r="N2680" t="b">
        <v>0</v>
      </c>
      <c r="O2680">
        <v>206</v>
      </c>
      <c r="P2680" t="s">
        <v>1752</v>
      </c>
      <c r="Q2680" t="s">
        <v>1753</v>
      </c>
    </row>
    <row r="2681" spans="1:18" x14ac:dyDescent="0.25">
      <c r="A2681" t="s">
        <v>5889</v>
      </c>
      <c r="B2681" t="s">
        <v>1876</v>
      </c>
      <c r="C2681" t="s">
        <v>4</v>
      </c>
      <c r="D2681" t="s">
        <v>1595</v>
      </c>
      <c r="E2681" s="2">
        <v>44754</v>
      </c>
      <c r="F2681">
        <v>857</v>
      </c>
      <c r="G2681" t="s">
        <v>1746</v>
      </c>
      <c r="H2681" t="s">
        <v>1747</v>
      </c>
      <c r="I2681" t="b">
        <v>1</v>
      </c>
      <c r="J2681" t="s">
        <v>1748</v>
      </c>
      <c r="K2681" t="s">
        <v>1853</v>
      </c>
      <c r="L2681" t="s">
        <v>1750</v>
      </c>
      <c r="M2681">
        <v>8</v>
      </c>
      <c r="N2681" t="b">
        <v>1</v>
      </c>
      <c r="O2681">
        <v>196</v>
      </c>
      <c r="P2681" t="s">
        <v>1752</v>
      </c>
      <c r="Q2681" t="s">
        <v>1753</v>
      </c>
      <c r="R2681" t="s">
        <v>1759</v>
      </c>
    </row>
    <row r="2682" spans="1:18" x14ac:dyDescent="0.25">
      <c r="A2682" t="s">
        <v>5891</v>
      </c>
      <c r="B2682" t="s">
        <v>2177</v>
      </c>
      <c r="C2682" t="s">
        <v>6</v>
      </c>
      <c r="D2682" t="s">
        <v>5890</v>
      </c>
      <c r="E2682" s="2">
        <v>43159</v>
      </c>
      <c r="F2682">
        <v>2452</v>
      </c>
      <c r="G2682" t="s">
        <v>1746</v>
      </c>
      <c r="H2682" t="s">
        <v>1805</v>
      </c>
      <c r="I2682" t="b">
        <v>0</v>
      </c>
      <c r="J2682" t="s">
        <v>1761</v>
      </c>
      <c r="K2682" t="s">
        <v>1800</v>
      </c>
      <c r="L2682" t="s">
        <v>1817</v>
      </c>
      <c r="M2682">
        <v>8</v>
      </c>
      <c r="N2682" t="b">
        <v>0</v>
      </c>
      <c r="O2682">
        <v>647</v>
      </c>
      <c r="P2682" t="s">
        <v>1819</v>
      </c>
      <c r="Q2682" t="s">
        <v>1753</v>
      </c>
      <c r="R2682" t="s">
        <v>1772</v>
      </c>
    </row>
    <row r="2683" spans="1:18" x14ac:dyDescent="0.25">
      <c r="A2683" t="s">
        <v>5892</v>
      </c>
      <c r="B2683" t="s">
        <v>1876</v>
      </c>
      <c r="C2683" t="s">
        <v>4</v>
      </c>
      <c r="D2683" t="s">
        <v>266</v>
      </c>
      <c r="E2683" s="2">
        <v>44516</v>
      </c>
      <c r="F2683">
        <v>1095</v>
      </c>
      <c r="G2683" t="s">
        <v>1746</v>
      </c>
      <c r="H2683" t="s">
        <v>1747</v>
      </c>
      <c r="I2683" t="b">
        <v>1</v>
      </c>
      <c r="J2683" t="s">
        <v>1748</v>
      </c>
      <c r="K2683" t="s">
        <v>1868</v>
      </c>
      <c r="L2683" t="s">
        <v>1750</v>
      </c>
      <c r="M2683">
        <v>8</v>
      </c>
      <c r="N2683" t="b">
        <v>0</v>
      </c>
      <c r="O2683">
        <v>73</v>
      </c>
      <c r="P2683" t="s">
        <v>1752</v>
      </c>
      <c r="Q2683" t="s">
        <v>1753</v>
      </c>
      <c r="R2683" t="s">
        <v>1759</v>
      </c>
    </row>
    <row r="2684" spans="1:18" x14ac:dyDescent="0.25">
      <c r="A2684" t="s">
        <v>5894</v>
      </c>
      <c r="B2684" t="s">
        <v>1866</v>
      </c>
      <c r="C2684" t="s">
        <v>4</v>
      </c>
      <c r="D2684" t="s">
        <v>5893</v>
      </c>
      <c r="E2684" s="2">
        <v>42494</v>
      </c>
      <c r="F2684">
        <v>3117</v>
      </c>
      <c r="G2684" t="s">
        <v>1746</v>
      </c>
      <c r="H2684" t="s">
        <v>1798</v>
      </c>
      <c r="I2684" t="b">
        <v>0</v>
      </c>
      <c r="J2684" t="s">
        <v>1748</v>
      </c>
      <c r="K2684" t="s">
        <v>1808</v>
      </c>
      <c r="L2684" t="s">
        <v>2102</v>
      </c>
      <c r="M2684">
        <v>8</v>
      </c>
      <c r="N2684" t="b">
        <v>0</v>
      </c>
      <c r="P2684" t="s">
        <v>2070</v>
      </c>
      <c r="Q2684" t="s">
        <v>1753</v>
      </c>
    </row>
    <row r="2685" spans="1:18" x14ac:dyDescent="0.25">
      <c r="A2685" t="s">
        <v>5896</v>
      </c>
      <c r="B2685" t="s">
        <v>1704</v>
      </c>
      <c r="C2685" t="s">
        <v>6</v>
      </c>
      <c r="D2685" t="s">
        <v>5895</v>
      </c>
      <c r="E2685" s="2">
        <v>45560</v>
      </c>
      <c r="F2685">
        <v>51</v>
      </c>
      <c r="G2685" t="s">
        <v>1746</v>
      </c>
      <c r="H2685" t="s">
        <v>1798</v>
      </c>
      <c r="I2685" t="b">
        <v>0</v>
      </c>
      <c r="J2685" t="s">
        <v>1761</v>
      </c>
      <c r="K2685" t="s">
        <v>1774</v>
      </c>
      <c r="L2685" t="s">
        <v>1817</v>
      </c>
      <c r="M2685">
        <v>8</v>
      </c>
      <c r="N2685" t="b">
        <v>1</v>
      </c>
      <c r="P2685" t="s">
        <v>1819</v>
      </c>
      <c r="Q2685" t="s">
        <v>1753</v>
      </c>
      <c r="R2685" t="s">
        <v>1759</v>
      </c>
    </row>
    <row r="2686" spans="1:18" x14ac:dyDescent="0.25">
      <c r="A2686" t="s">
        <v>5898</v>
      </c>
      <c r="B2686" t="s">
        <v>1704</v>
      </c>
      <c r="C2686" t="s">
        <v>4</v>
      </c>
      <c r="D2686" t="s">
        <v>5897</v>
      </c>
      <c r="E2686" s="2">
        <v>45509</v>
      </c>
      <c r="F2686">
        <v>102</v>
      </c>
      <c r="G2686" t="s">
        <v>1746</v>
      </c>
      <c r="H2686" t="s">
        <v>1798</v>
      </c>
      <c r="I2686" t="b">
        <v>0</v>
      </c>
      <c r="J2686" t="s">
        <v>1748</v>
      </c>
      <c r="K2686" t="s">
        <v>1770</v>
      </c>
      <c r="L2686" t="s">
        <v>1756</v>
      </c>
      <c r="M2686">
        <v>8</v>
      </c>
      <c r="N2686" t="b">
        <v>1</v>
      </c>
      <c r="O2686">
        <v>192</v>
      </c>
      <c r="P2686" t="s">
        <v>1752</v>
      </c>
      <c r="Q2686" t="s">
        <v>1753</v>
      </c>
    </row>
    <row r="2687" spans="1:18" x14ac:dyDescent="0.25">
      <c r="A2687" t="s">
        <v>5900</v>
      </c>
      <c r="B2687" t="s">
        <v>2133</v>
      </c>
      <c r="C2687" t="s">
        <v>4</v>
      </c>
      <c r="D2687" t="s">
        <v>5899</v>
      </c>
      <c r="E2687" s="2">
        <v>44607</v>
      </c>
      <c r="F2687">
        <v>1004</v>
      </c>
      <c r="G2687" t="s">
        <v>1833</v>
      </c>
      <c r="H2687" t="s">
        <v>1747</v>
      </c>
      <c r="I2687" t="b">
        <v>0</v>
      </c>
      <c r="J2687" t="s">
        <v>1761</v>
      </c>
      <c r="K2687" t="s">
        <v>2021</v>
      </c>
      <c r="L2687" t="s">
        <v>1750</v>
      </c>
      <c r="M2687">
        <v>8</v>
      </c>
      <c r="N2687" t="b">
        <v>1</v>
      </c>
      <c r="O2687">
        <v>305</v>
      </c>
      <c r="P2687" t="s">
        <v>1752</v>
      </c>
      <c r="Q2687" t="s">
        <v>1753</v>
      </c>
    </row>
    <row r="2688" spans="1:18" x14ac:dyDescent="0.25">
      <c r="A2688" t="s">
        <v>5902</v>
      </c>
      <c r="B2688" t="s">
        <v>1803</v>
      </c>
      <c r="C2688" t="s">
        <v>4</v>
      </c>
      <c r="D2688" t="s">
        <v>5901</v>
      </c>
      <c r="E2688" s="2">
        <v>40002</v>
      </c>
      <c r="F2688">
        <v>5609</v>
      </c>
      <c r="G2688" t="s">
        <v>1746</v>
      </c>
      <c r="H2688" t="s">
        <v>1798</v>
      </c>
      <c r="I2688" t="b">
        <v>0</v>
      </c>
      <c r="J2688" t="s">
        <v>1748</v>
      </c>
      <c r="K2688" t="s">
        <v>1755</v>
      </c>
      <c r="L2688" t="s">
        <v>1766</v>
      </c>
      <c r="M2688">
        <v>8</v>
      </c>
      <c r="N2688" t="b">
        <v>0</v>
      </c>
      <c r="P2688" t="s">
        <v>1752</v>
      </c>
      <c r="Q2688" t="s">
        <v>1753</v>
      </c>
      <c r="R2688" t="s">
        <v>1828</v>
      </c>
    </row>
    <row r="2689" spans="1:18" x14ac:dyDescent="0.25">
      <c r="A2689" t="s">
        <v>5904</v>
      </c>
      <c r="B2689" t="s">
        <v>2662</v>
      </c>
      <c r="C2689" t="s">
        <v>4</v>
      </c>
      <c r="D2689" t="s">
        <v>5903</v>
      </c>
      <c r="E2689" s="2">
        <v>45420</v>
      </c>
      <c r="F2689">
        <v>191</v>
      </c>
      <c r="G2689" t="s">
        <v>1746</v>
      </c>
      <c r="H2689" t="s">
        <v>1747</v>
      </c>
      <c r="I2689" t="b">
        <v>0</v>
      </c>
      <c r="J2689" t="s">
        <v>1761</v>
      </c>
      <c r="K2689" t="s">
        <v>1770</v>
      </c>
      <c r="L2689" t="s">
        <v>1750</v>
      </c>
      <c r="M2689">
        <v>8</v>
      </c>
      <c r="N2689" t="b">
        <v>0</v>
      </c>
      <c r="O2689">
        <v>680</v>
      </c>
      <c r="P2689" t="s">
        <v>1752</v>
      </c>
      <c r="Q2689" t="s">
        <v>1753</v>
      </c>
      <c r="R2689" t="s">
        <v>1772</v>
      </c>
    </row>
    <row r="2690" spans="1:18" x14ac:dyDescent="0.25">
      <c r="A2690" t="s">
        <v>5905</v>
      </c>
      <c r="B2690" t="s">
        <v>2096</v>
      </c>
      <c r="C2690" t="s">
        <v>6</v>
      </c>
      <c r="D2690" t="s">
        <v>160</v>
      </c>
      <c r="E2690" s="2">
        <v>44959</v>
      </c>
      <c r="F2690">
        <v>652</v>
      </c>
      <c r="G2690" t="s">
        <v>1746</v>
      </c>
      <c r="H2690" t="s">
        <v>1798</v>
      </c>
      <c r="I2690" t="b">
        <v>0</v>
      </c>
      <c r="J2690" t="s">
        <v>1761</v>
      </c>
      <c r="K2690" t="s">
        <v>1826</v>
      </c>
      <c r="L2690" t="s">
        <v>1750</v>
      </c>
      <c r="M2690">
        <v>8</v>
      </c>
      <c r="N2690" t="b">
        <v>1</v>
      </c>
      <c r="O2690">
        <v>73</v>
      </c>
      <c r="P2690" t="s">
        <v>1819</v>
      </c>
      <c r="Q2690" t="s">
        <v>1753</v>
      </c>
      <c r="R2690" t="s">
        <v>1828</v>
      </c>
    </row>
    <row r="2691" spans="1:18" x14ac:dyDescent="0.25">
      <c r="A2691" t="s">
        <v>5906</v>
      </c>
      <c r="B2691" t="s">
        <v>2071</v>
      </c>
      <c r="C2691" t="s">
        <v>4</v>
      </c>
      <c r="D2691" t="s">
        <v>231</v>
      </c>
      <c r="E2691" s="2">
        <v>43978</v>
      </c>
      <c r="F2691">
        <v>1633</v>
      </c>
      <c r="G2691" t="s">
        <v>1746</v>
      </c>
      <c r="H2691" t="s">
        <v>1747</v>
      </c>
      <c r="I2691" t="b">
        <v>0</v>
      </c>
      <c r="J2691" t="s">
        <v>1748</v>
      </c>
      <c r="K2691" t="s">
        <v>2042</v>
      </c>
      <c r="L2691" t="s">
        <v>1750</v>
      </c>
      <c r="M2691">
        <v>8</v>
      </c>
      <c r="N2691" t="b">
        <v>0</v>
      </c>
      <c r="O2691">
        <v>30</v>
      </c>
      <c r="P2691" t="s">
        <v>1752</v>
      </c>
      <c r="Q2691" t="s">
        <v>1753</v>
      </c>
    </row>
    <row r="2692" spans="1:18" x14ac:dyDescent="0.25">
      <c r="A2692" t="s">
        <v>5908</v>
      </c>
      <c r="B2692" t="s">
        <v>1907</v>
      </c>
      <c r="C2692" t="s">
        <v>4</v>
      </c>
      <c r="D2692" t="s">
        <v>5907</v>
      </c>
      <c r="E2692" s="2">
        <v>44706</v>
      </c>
      <c r="F2692">
        <v>905</v>
      </c>
      <c r="G2692" t="s">
        <v>1746</v>
      </c>
      <c r="H2692" t="s">
        <v>1798</v>
      </c>
      <c r="I2692" t="b">
        <v>1</v>
      </c>
      <c r="J2692" t="s">
        <v>1748</v>
      </c>
      <c r="K2692" t="s">
        <v>1755</v>
      </c>
      <c r="L2692" t="s">
        <v>1817</v>
      </c>
      <c r="M2692">
        <v>8</v>
      </c>
      <c r="N2692" t="b">
        <v>0</v>
      </c>
      <c r="O2692">
        <v>2238</v>
      </c>
      <c r="P2692" t="s">
        <v>1819</v>
      </c>
      <c r="Q2692" t="s">
        <v>1753</v>
      </c>
      <c r="R2692" t="s">
        <v>1759</v>
      </c>
    </row>
    <row r="2693" spans="1:18" x14ac:dyDescent="0.25">
      <c r="A2693" t="s">
        <v>5910</v>
      </c>
      <c r="B2693" t="s">
        <v>2173</v>
      </c>
      <c r="C2693" t="s">
        <v>4</v>
      </c>
      <c r="D2693" t="s">
        <v>5909</v>
      </c>
      <c r="E2693" s="2">
        <v>45509</v>
      </c>
      <c r="F2693">
        <v>102</v>
      </c>
      <c r="G2693" t="s">
        <v>1746</v>
      </c>
      <c r="H2693" t="s">
        <v>1747</v>
      </c>
      <c r="I2693" t="b">
        <v>0</v>
      </c>
      <c r="J2693" t="s">
        <v>1748</v>
      </c>
      <c r="K2693" t="s">
        <v>1793</v>
      </c>
      <c r="L2693" t="s">
        <v>1817</v>
      </c>
      <c r="M2693">
        <v>8</v>
      </c>
      <c r="N2693" t="b">
        <v>0</v>
      </c>
      <c r="O2693">
        <v>561</v>
      </c>
      <c r="P2693" t="s">
        <v>1819</v>
      </c>
      <c r="Q2693" t="s">
        <v>1753</v>
      </c>
      <c r="R2693" t="s">
        <v>1759</v>
      </c>
    </row>
    <row r="2694" spans="1:18" x14ac:dyDescent="0.25">
      <c r="A2694" t="s">
        <v>5911</v>
      </c>
      <c r="B2694" t="s">
        <v>1860</v>
      </c>
      <c r="C2694" t="s">
        <v>4</v>
      </c>
      <c r="D2694" t="s">
        <v>1228</v>
      </c>
      <c r="E2694" s="2">
        <v>44266</v>
      </c>
      <c r="F2694">
        <v>1345</v>
      </c>
      <c r="G2694" t="s">
        <v>1746</v>
      </c>
      <c r="H2694" t="s">
        <v>1747</v>
      </c>
      <c r="I2694" t="b">
        <v>0</v>
      </c>
      <c r="J2694" t="s">
        <v>1748</v>
      </c>
      <c r="K2694" t="s">
        <v>1824</v>
      </c>
      <c r="L2694" t="s">
        <v>1750</v>
      </c>
      <c r="M2694">
        <v>8</v>
      </c>
      <c r="N2694" t="b">
        <v>1</v>
      </c>
      <c r="O2694">
        <v>595</v>
      </c>
      <c r="P2694" t="s">
        <v>1752</v>
      </c>
      <c r="Q2694" t="s">
        <v>1753</v>
      </c>
      <c r="R2694" t="s">
        <v>1759</v>
      </c>
    </row>
    <row r="2695" spans="1:18" x14ac:dyDescent="0.25">
      <c r="A2695" t="s">
        <v>5912</v>
      </c>
      <c r="B2695" t="s">
        <v>2353</v>
      </c>
      <c r="C2695" t="s">
        <v>186</v>
      </c>
      <c r="D2695" t="s">
        <v>191</v>
      </c>
      <c r="E2695" s="2">
        <v>41096</v>
      </c>
      <c r="F2695">
        <v>4515</v>
      </c>
      <c r="G2695" t="s">
        <v>1746</v>
      </c>
      <c r="H2695" t="s">
        <v>1798</v>
      </c>
      <c r="I2695" t="b">
        <v>0</v>
      </c>
      <c r="J2695" t="s">
        <v>1748</v>
      </c>
      <c r="K2695" t="s">
        <v>1830</v>
      </c>
      <c r="L2695" t="s">
        <v>2102</v>
      </c>
      <c r="M2695">
        <v>8</v>
      </c>
      <c r="N2695" t="b">
        <v>0</v>
      </c>
      <c r="P2695" t="s">
        <v>2070</v>
      </c>
      <c r="Q2695" t="s">
        <v>1779</v>
      </c>
    </row>
    <row r="2696" spans="1:18" x14ac:dyDescent="0.25">
      <c r="A2696" t="s">
        <v>5914</v>
      </c>
      <c r="B2696" t="s">
        <v>1803</v>
      </c>
      <c r="C2696" t="s">
        <v>4</v>
      </c>
      <c r="D2696" t="s">
        <v>5913</v>
      </c>
      <c r="E2696" s="2">
        <v>40001</v>
      </c>
      <c r="F2696">
        <v>5610</v>
      </c>
      <c r="G2696" t="s">
        <v>1746</v>
      </c>
      <c r="H2696" t="s">
        <v>1798</v>
      </c>
      <c r="I2696" t="b">
        <v>0</v>
      </c>
      <c r="J2696" t="s">
        <v>1748</v>
      </c>
      <c r="K2696" t="s">
        <v>1755</v>
      </c>
      <c r="L2696" t="s">
        <v>1766</v>
      </c>
      <c r="M2696">
        <v>8</v>
      </c>
      <c r="N2696" t="b">
        <v>0</v>
      </c>
      <c r="P2696" t="s">
        <v>1752</v>
      </c>
      <c r="Q2696" t="s">
        <v>1753</v>
      </c>
      <c r="R2696" t="s">
        <v>1828</v>
      </c>
    </row>
    <row r="2697" spans="1:18" x14ac:dyDescent="0.25">
      <c r="A2697" t="s">
        <v>5916</v>
      </c>
      <c r="B2697" t="s">
        <v>5917</v>
      </c>
      <c r="C2697" t="s">
        <v>4</v>
      </c>
      <c r="D2697" t="s">
        <v>5915</v>
      </c>
      <c r="E2697" s="2">
        <v>41373</v>
      </c>
      <c r="F2697">
        <v>4238</v>
      </c>
      <c r="G2697" t="s">
        <v>1746</v>
      </c>
      <c r="H2697" t="s">
        <v>1805</v>
      </c>
      <c r="I2697" t="b">
        <v>0</v>
      </c>
      <c r="J2697" t="s">
        <v>1748</v>
      </c>
      <c r="K2697" t="s">
        <v>1757</v>
      </c>
      <c r="L2697" t="s">
        <v>1750</v>
      </c>
      <c r="M2697">
        <v>8</v>
      </c>
      <c r="N2697" t="b">
        <v>0</v>
      </c>
      <c r="O2697">
        <v>75</v>
      </c>
      <c r="P2697" t="s">
        <v>1752</v>
      </c>
      <c r="Q2697" t="s">
        <v>1753</v>
      </c>
    </row>
    <row r="2698" spans="1:18" x14ac:dyDescent="0.25">
      <c r="A2698" t="s">
        <v>5919</v>
      </c>
      <c r="B2698" t="s">
        <v>1781</v>
      </c>
      <c r="C2698" t="s">
        <v>4</v>
      </c>
      <c r="D2698" t="s">
        <v>5918</v>
      </c>
      <c r="E2698" s="2">
        <v>45112</v>
      </c>
      <c r="F2698">
        <v>499</v>
      </c>
      <c r="G2698" t="s">
        <v>1746</v>
      </c>
      <c r="H2698" t="s">
        <v>1747</v>
      </c>
      <c r="I2698" t="b">
        <v>0</v>
      </c>
      <c r="J2698" t="s">
        <v>1748</v>
      </c>
      <c r="K2698" t="s">
        <v>1776</v>
      </c>
      <c r="L2698" t="s">
        <v>1750</v>
      </c>
      <c r="M2698">
        <v>8</v>
      </c>
      <c r="N2698" t="b">
        <v>1</v>
      </c>
      <c r="O2698">
        <v>276</v>
      </c>
      <c r="P2698" t="s">
        <v>1752</v>
      </c>
      <c r="Q2698" t="s">
        <v>1753</v>
      </c>
      <c r="R2698" t="s">
        <v>1759</v>
      </c>
    </row>
    <row r="2699" spans="1:18" x14ac:dyDescent="0.25">
      <c r="A2699" t="s">
        <v>5920</v>
      </c>
      <c r="B2699" t="s">
        <v>2384</v>
      </c>
      <c r="C2699" t="s">
        <v>4</v>
      </c>
      <c r="D2699" t="s">
        <v>1292</v>
      </c>
      <c r="E2699" s="2">
        <v>44880</v>
      </c>
      <c r="F2699">
        <v>731</v>
      </c>
      <c r="G2699" t="s">
        <v>1746</v>
      </c>
      <c r="H2699" t="s">
        <v>1747</v>
      </c>
      <c r="I2699" t="b">
        <v>0</v>
      </c>
      <c r="J2699" t="s">
        <v>1761</v>
      </c>
      <c r="K2699" t="s">
        <v>1784</v>
      </c>
      <c r="L2699" t="s">
        <v>1817</v>
      </c>
      <c r="M2699">
        <v>8</v>
      </c>
      <c r="N2699" t="b">
        <v>1</v>
      </c>
      <c r="O2699">
        <v>1801</v>
      </c>
      <c r="P2699" t="s">
        <v>1819</v>
      </c>
      <c r="Q2699" t="s">
        <v>1753</v>
      </c>
      <c r="R2699" t="s">
        <v>1759</v>
      </c>
    </row>
    <row r="2700" spans="1:18" x14ac:dyDescent="0.25">
      <c r="A2700" t="s">
        <v>5922</v>
      </c>
      <c r="B2700" t="s">
        <v>2150</v>
      </c>
      <c r="C2700" t="s">
        <v>4</v>
      </c>
      <c r="D2700" t="s">
        <v>5921</v>
      </c>
      <c r="E2700" s="2">
        <v>44637</v>
      </c>
      <c r="F2700">
        <v>974</v>
      </c>
      <c r="G2700" t="s">
        <v>1746</v>
      </c>
      <c r="H2700" t="s">
        <v>1747</v>
      </c>
      <c r="I2700" t="b">
        <v>0</v>
      </c>
      <c r="J2700" t="s">
        <v>1761</v>
      </c>
      <c r="K2700" t="s">
        <v>1776</v>
      </c>
      <c r="L2700" t="s">
        <v>1750</v>
      </c>
      <c r="M2700">
        <v>8</v>
      </c>
      <c r="N2700" t="b">
        <v>0</v>
      </c>
      <c r="O2700">
        <v>110</v>
      </c>
      <c r="P2700" t="s">
        <v>1819</v>
      </c>
      <c r="Q2700" t="s">
        <v>1753</v>
      </c>
    </row>
    <row r="2701" spans="1:18" x14ac:dyDescent="0.25">
      <c r="A2701" t="s">
        <v>5924</v>
      </c>
      <c r="B2701" t="s">
        <v>1785</v>
      </c>
      <c r="C2701" t="s">
        <v>4</v>
      </c>
      <c r="D2701" t="s">
        <v>5923</v>
      </c>
      <c r="E2701" s="2">
        <v>43581</v>
      </c>
      <c r="F2701">
        <v>2030</v>
      </c>
      <c r="G2701" t="s">
        <v>1746</v>
      </c>
      <c r="H2701" t="s">
        <v>1747</v>
      </c>
      <c r="I2701" t="b">
        <v>0</v>
      </c>
      <c r="J2701" t="s">
        <v>1761</v>
      </c>
      <c r="K2701" t="s">
        <v>2042</v>
      </c>
      <c r="L2701" t="s">
        <v>1756</v>
      </c>
      <c r="M2701">
        <v>8</v>
      </c>
      <c r="N2701" t="b">
        <v>0</v>
      </c>
      <c r="O2701">
        <v>44</v>
      </c>
      <c r="P2701" t="s">
        <v>1752</v>
      </c>
      <c r="Q2701" t="s">
        <v>1753</v>
      </c>
    </row>
    <row r="2702" spans="1:18" x14ac:dyDescent="0.25">
      <c r="A2702" t="s">
        <v>5926</v>
      </c>
      <c r="B2702" t="s">
        <v>2133</v>
      </c>
      <c r="C2702" t="s">
        <v>4</v>
      </c>
      <c r="D2702" t="s">
        <v>5925</v>
      </c>
      <c r="E2702" s="2">
        <v>44951</v>
      </c>
      <c r="F2702">
        <v>660</v>
      </c>
      <c r="G2702" t="s">
        <v>1746</v>
      </c>
      <c r="H2702" t="s">
        <v>1747</v>
      </c>
      <c r="I2702" t="b">
        <v>0</v>
      </c>
      <c r="J2702" t="s">
        <v>1761</v>
      </c>
      <c r="K2702" t="s">
        <v>1863</v>
      </c>
      <c r="L2702" t="s">
        <v>1750</v>
      </c>
      <c r="M2702">
        <v>8</v>
      </c>
      <c r="N2702" t="b">
        <v>1</v>
      </c>
      <c r="O2702">
        <v>465</v>
      </c>
      <c r="P2702" t="s">
        <v>1752</v>
      </c>
      <c r="Q2702" t="s">
        <v>1753</v>
      </c>
    </row>
    <row r="2703" spans="1:18" x14ac:dyDescent="0.25">
      <c r="A2703" t="s">
        <v>5928</v>
      </c>
      <c r="B2703" t="s">
        <v>1803</v>
      </c>
      <c r="C2703" t="s">
        <v>6</v>
      </c>
      <c r="D2703" t="s">
        <v>5927</v>
      </c>
      <c r="E2703" s="2">
        <v>43272</v>
      </c>
      <c r="F2703">
        <v>2339</v>
      </c>
      <c r="G2703" t="s">
        <v>1746</v>
      </c>
      <c r="H2703" t="s">
        <v>1798</v>
      </c>
      <c r="I2703" t="b">
        <v>1</v>
      </c>
      <c r="J2703" t="s">
        <v>1748</v>
      </c>
      <c r="K2703" t="s">
        <v>1776</v>
      </c>
      <c r="L2703" t="s">
        <v>1750</v>
      </c>
      <c r="M2703">
        <v>8</v>
      </c>
      <c r="N2703" t="b">
        <v>0</v>
      </c>
      <c r="O2703">
        <v>601</v>
      </c>
      <c r="P2703" t="s">
        <v>1752</v>
      </c>
      <c r="Q2703" t="s">
        <v>1753</v>
      </c>
      <c r="R2703" t="s">
        <v>1828</v>
      </c>
    </row>
    <row r="2704" spans="1:18" x14ac:dyDescent="0.25">
      <c r="A2704" t="s">
        <v>5929</v>
      </c>
      <c r="B2704" t="s">
        <v>2046</v>
      </c>
      <c r="C2704" t="s">
        <v>4</v>
      </c>
      <c r="D2704" t="s">
        <v>1103</v>
      </c>
      <c r="E2704" s="2">
        <v>42984</v>
      </c>
      <c r="F2704">
        <v>2627</v>
      </c>
      <c r="G2704" t="s">
        <v>1746</v>
      </c>
      <c r="H2704" t="s">
        <v>1798</v>
      </c>
      <c r="I2704" t="b">
        <v>1</v>
      </c>
      <c r="J2704" t="s">
        <v>1748</v>
      </c>
      <c r="K2704" t="s">
        <v>1846</v>
      </c>
      <c r="L2704" t="s">
        <v>1756</v>
      </c>
      <c r="M2704">
        <v>8</v>
      </c>
      <c r="N2704" t="b">
        <v>0</v>
      </c>
      <c r="O2704">
        <v>1959</v>
      </c>
      <c r="P2704" t="s">
        <v>1752</v>
      </c>
      <c r="Q2704" t="s">
        <v>1753</v>
      </c>
    </row>
    <row r="2705" spans="1:18" x14ac:dyDescent="0.25">
      <c r="A2705" t="s">
        <v>5931</v>
      </c>
      <c r="B2705" t="s">
        <v>2150</v>
      </c>
      <c r="C2705" t="s">
        <v>4</v>
      </c>
      <c r="D2705" t="s">
        <v>5930</v>
      </c>
      <c r="E2705" s="2">
        <v>45132</v>
      </c>
      <c r="F2705">
        <v>479</v>
      </c>
      <c r="G2705" t="s">
        <v>1746</v>
      </c>
      <c r="H2705" t="s">
        <v>1805</v>
      </c>
      <c r="I2705" t="b">
        <v>0</v>
      </c>
      <c r="J2705" t="s">
        <v>1761</v>
      </c>
      <c r="K2705" t="s">
        <v>1913</v>
      </c>
      <c r="L2705" t="s">
        <v>1817</v>
      </c>
      <c r="M2705">
        <v>8</v>
      </c>
      <c r="N2705" t="b">
        <v>1</v>
      </c>
      <c r="P2705" t="s">
        <v>1819</v>
      </c>
      <c r="Q2705" t="s">
        <v>1753</v>
      </c>
      <c r="R2705" t="s">
        <v>1759</v>
      </c>
    </row>
    <row r="2706" spans="1:18" x14ac:dyDescent="0.25">
      <c r="A2706" t="s">
        <v>5932</v>
      </c>
      <c r="B2706" t="s">
        <v>1876</v>
      </c>
      <c r="C2706" t="s">
        <v>4</v>
      </c>
      <c r="D2706" t="s">
        <v>253</v>
      </c>
      <c r="E2706" s="2">
        <v>44810</v>
      </c>
      <c r="F2706">
        <v>801</v>
      </c>
      <c r="G2706" t="s">
        <v>1746</v>
      </c>
      <c r="H2706" t="s">
        <v>1747</v>
      </c>
      <c r="I2706" t="b">
        <v>0</v>
      </c>
      <c r="J2706" t="s">
        <v>1748</v>
      </c>
      <c r="K2706" t="s">
        <v>1853</v>
      </c>
      <c r="L2706" t="s">
        <v>1750</v>
      </c>
      <c r="M2706">
        <v>8</v>
      </c>
      <c r="N2706" t="b">
        <v>0</v>
      </c>
      <c r="O2706">
        <v>75</v>
      </c>
      <c r="P2706" t="s">
        <v>1752</v>
      </c>
      <c r="Q2706" t="s">
        <v>1753</v>
      </c>
      <c r="R2706" t="s">
        <v>1759</v>
      </c>
    </row>
    <row r="2707" spans="1:18" x14ac:dyDescent="0.25">
      <c r="A2707" t="s">
        <v>5934</v>
      </c>
      <c r="B2707" t="s">
        <v>3294</v>
      </c>
      <c r="C2707" t="s">
        <v>4</v>
      </c>
      <c r="D2707" t="s">
        <v>5933</v>
      </c>
      <c r="E2707" s="2">
        <v>45467</v>
      </c>
      <c r="F2707">
        <v>144</v>
      </c>
      <c r="G2707" t="s">
        <v>1746</v>
      </c>
      <c r="H2707" t="s">
        <v>1747</v>
      </c>
      <c r="I2707" t="b">
        <v>0</v>
      </c>
      <c r="J2707" t="s">
        <v>1748</v>
      </c>
      <c r="K2707" t="s">
        <v>1863</v>
      </c>
      <c r="L2707" t="s">
        <v>1750</v>
      </c>
      <c r="M2707">
        <v>8</v>
      </c>
      <c r="N2707" t="b">
        <v>0</v>
      </c>
      <c r="P2707" t="s">
        <v>1752</v>
      </c>
      <c r="Q2707" t="s">
        <v>1753</v>
      </c>
      <c r="R2707" t="s">
        <v>1759</v>
      </c>
    </row>
    <row r="2708" spans="1:18" x14ac:dyDescent="0.25">
      <c r="A2708" t="s">
        <v>5935</v>
      </c>
      <c r="B2708" t="s">
        <v>1829</v>
      </c>
      <c r="C2708" t="s">
        <v>4</v>
      </c>
      <c r="D2708" t="s">
        <v>500</v>
      </c>
      <c r="E2708" s="2">
        <v>43025</v>
      </c>
      <c r="F2708">
        <v>2586</v>
      </c>
      <c r="G2708" t="s">
        <v>1746</v>
      </c>
      <c r="H2708" t="s">
        <v>1798</v>
      </c>
      <c r="I2708" t="b">
        <v>0</v>
      </c>
      <c r="J2708" t="s">
        <v>1748</v>
      </c>
      <c r="K2708" t="s">
        <v>1868</v>
      </c>
      <c r="L2708" t="s">
        <v>1817</v>
      </c>
      <c r="M2708">
        <v>8</v>
      </c>
      <c r="N2708" t="b">
        <v>0</v>
      </c>
      <c r="O2708">
        <v>83</v>
      </c>
      <c r="P2708" t="s">
        <v>1819</v>
      </c>
      <c r="Q2708" t="s">
        <v>1753</v>
      </c>
    </row>
    <row r="2709" spans="1:18" x14ac:dyDescent="0.25">
      <c r="A2709" t="s">
        <v>5936</v>
      </c>
      <c r="B2709" t="s">
        <v>1876</v>
      </c>
      <c r="C2709" t="s">
        <v>4</v>
      </c>
      <c r="D2709" t="s">
        <v>278</v>
      </c>
      <c r="E2709" s="2">
        <v>44502</v>
      </c>
      <c r="F2709">
        <v>1109</v>
      </c>
      <c r="G2709" t="s">
        <v>1746</v>
      </c>
      <c r="H2709" t="s">
        <v>1747</v>
      </c>
      <c r="I2709" t="b">
        <v>1</v>
      </c>
      <c r="J2709" t="s">
        <v>1748</v>
      </c>
      <c r="K2709" t="s">
        <v>1868</v>
      </c>
      <c r="L2709" t="s">
        <v>1750</v>
      </c>
      <c r="M2709">
        <v>8</v>
      </c>
      <c r="N2709" t="b">
        <v>0</v>
      </c>
      <c r="O2709">
        <v>42</v>
      </c>
      <c r="P2709" t="s">
        <v>1752</v>
      </c>
      <c r="Q2709" t="s">
        <v>1753</v>
      </c>
      <c r="R2709" t="s">
        <v>1759</v>
      </c>
    </row>
    <row r="2710" spans="1:18" x14ac:dyDescent="0.25">
      <c r="A2710" t="s">
        <v>5938</v>
      </c>
      <c r="B2710" t="s">
        <v>5939</v>
      </c>
      <c r="C2710" t="s">
        <v>186</v>
      </c>
      <c r="D2710" t="s">
        <v>5937</v>
      </c>
      <c r="E2710" s="2">
        <v>45336</v>
      </c>
      <c r="F2710">
        <v>275</v>
      </c>
      <c r="G2710" t="s">
        <v>1746</v>
      </c>
      <c r="H2710" t="s">
        <v>1747</v>
      </c>
      <c r="I2710" t="b">
        <v>0</v>
      </c>
      <c r="J2710" t="s">
        <v>1748</v>
      </c>
      <c r="K2710" t="s">
        <v>1859</v>
      </c>
      <c r="L2710" t="s">
        <v>1775</v>
      </c>
      <c r="M2710">
        <v>8</v>
      </c>
      <c r="N2710" t="b">
        <v>0</v>
      </c>
      <c r="P2710" t="s">
        <v>2283</v>
      </c>
      <c r="Q2710" t="s">
        <v>1705</v>
      </c>
    </row>
    <row r="2711" spans="1:18" x14ac:dyDescent="0.25">
      <c r="A2711" t="s">
        <v>5941</v>
      </c>
      <c r="B2711" t="s">
        <v>3117</v>
      </c>
      <c r="C2711" t="s">
        <v>4</v>
      </c>
      <c r="D2711" t="s">
        <v>5940</v>
      </c>
      <c r="E2711" s="2">
        <v>45454</v>
      </c>
      <c r="F2711">
        <v>157</v>
      </c>
      <c r="G2711" t="s">
        <v>1746</v>
      </c>
      <c r="H2711" t="s">
        <v>1747</v>
      </c>
      <c r="I2711" t="b">
        <v>0</v>
      </c>
      <c r="J2711" t="s">
        <v>1748</v>
      </c>
      <c r="K2711" t="s">
        <v>1824</v>
      </c>
      <c r="L2711" t="s">
        <v>1750</v>
      </c>
      <c r="M2711">
        <v>8</v>
      </c>
      <c r="N2711" t="b">
        <v>1</v>
      </c>
      <c r="O2711">
        <v>126</v>
      </c>
      <c r="P2711" t="s">
        <v>1752</v>
      </c>
      <c r="Q2711" t="s">
        <v>1753</v>
      </c>
    </row>
    <row r="2712" spans="1:18" x14ac:dyDescent="0.25">
      <c r="A2712" t="s">
        <v>5943</v>
      </c>
      <c r="B2712" t="s">
        <v>1907</v>
      </c>
      <c r="C2712" t="s">
        <v>4</v>
      </c>
      <c r="D2712" t="s">
        <v>5942</v>
      </c>
      <c r="E2712" s="2">
        <v>44824</v>
      </c>
      <c r="F2712">
        <v>787</v>
      </c>
      <c r="G2712" t="s">
        <v>1746</v>
      </c>
      <c r="H2712" t="s">
        <v>1798</v>
      </c>
      <c r="I2712" t="b">
        <v>1</v>
      </c>
      <c r="J2712" t="s">
        <v>1761</v>
      </c>
      <c r="K2712" t="s">
        <v>1770</v>
      </c>
      <c r="L2712" t="s">
        <v>1750</v>
      </c>
      <c r="M2712">
        <v>8</v>
      </c>
      <c r="N2712" t="b">
        <v>1</v>
      </c>
      <c r="O2712">
        <v>193</v>
      </c>
      <c r="P2712" t="s">
        <v>1752</v>
      </c>
      <c r="Q2712" t="s">
        <v>1753</v>
      </c>
      <c r="R2712" t="s">
        <v>1759</v>
      </c>
    </row>
    <row r="2713" spans="1:18" x14ac:dyDescent="0.25">
      <c r="A2713" t="s">
        <v>5945</v>
      </c>
      <c r="B2713" t="s">
        <v>1704</v>
      </c>
      <c r="C2713" t="s">
        <v>4</v>
      </c>
      <c r="D2713" t="s">
        <v>5944</v>
      </c>
      <c r="E2713" s="2">
        <v>45195</v>
      </c>
      <c r="F2713">
        <v>416</v>
      </c>
      <c r="G2713" t="s">
        <v>1746</v>
      </c>
      <c r="H2713" t="s">
        <v>1798</v>
      </c>
      <c r="I2713" t="b">
        <v>0</v>
      </c>
      <c r="J2713" t="s">
        <v>1748</v>
      </c>
      <c r="K2713" t="s">
        <v>1853</v>
      </c>
      <c r="L2713" t="s">
        <v>1750</v>
      </c>
      <c r="M2713">
        <v>8</v>
      </c>
      <c r="N2713" t="b">
        <v>1</v>
      </c>
      <c r="O2713">
        <v>272</v>
      </c>
      <c r="P2713" t="s">
        <v>1752</v>
      </c>
      <c r="Q2713" t="s">
        <v>1753</v>
      </c>
      <c r="R2713" t="s">
        <v>1828</v>
      </c>
    </row>
    <row r="2714" spans="1:18" x14ac:dyDescent="0.25">
      <c r="A2714" t="s">
        <v>5947</v>
      </c>
      <c r="B2714" t="s">
        <v>2150</v>
      </c>
      <c r="C2714" t="s">
        <v>4</v>
      </c>
      <c r="D2714" t="s">
        <v>5946</v>
      </c>
      <c r="E2714" s="2">
        <v>42073</v>
      </c>
      <c r="F2714">
        <v>3538</v>
      </c>
      <c r="G2714" t="s">
        <v>1746</v>
      </c>
      <c r="H2714" t="s">
        <v>1747</v>
      </c>
      <c r="I2714" t="b">
        <v>0</v>
      </c>
      <c r="J2714" t="s">
        <v>1748</v>
      </c>
      <c r="K2714" t="s">
        <v>1809</v>
      </c>
      <c r="L2714" t="s">
        <v>1766</v>
      </c>
      <c r="M2714">
        <v>8</v>
      </c>
      <c r="N2714" t="b">
        <v>0</v>
      </c>
      <c r="P2714" t="s">
        <v>1752</v>
      </c>
      <c r="Q2714" t="s">
        <v>1753</v>
      </c>
    </row>
    <row r="2715" spans="1:18" x14ac:dyDescent="0.25">
      <c r="A2715" t="s">
        <v>5949</v>
      </c>
      <c r="B2715" t="s">
        <v>2836</v>
      </c>
      <c r="C2715" t="s">
        <v>6</v>
      </c>
      <c r="D2715" t="s">
        <v>5948</v>
      </c>
      <c r="E2715" s="2">
        <v>45407</v>
      </c>
      <c r="F2715">
        <v>204</v>
      </c>
      <c r="G2715" t="s">
        <v>1746</v>
      </c>
      <c r="H2715" t="s">
        <v>1798</v>
      </c>
      <c r="I2715" t="b">
        <v>0</v>
      </c>
      <c r="J2715" t="s">
        <v>1761</v>
      </c>
      <c r="K2715" t="s">
        <v>1863</v>
      </c>
      <c r="L2715" t="s">
        <v>1750</v>
      </c>
      <c r="M2715">
        <v>7</v>
      </c>
      <c r="N2715" t="b">
        <v>0</v>
      </c>
      <c r="O2715">
        <v>12</v>
      </c>
      <c r="P2715" t="s">
        <v>1819</v>
      </c>
      <c r="Q2715" t="s">
        <v>1753</v>
      </c>
      <c r="R2715" t="s">
        <v>1828</v>
      </c>
    </row>
    <row r="2716" spans="1:18" x14ac:dyDescent="0.25">
      <c r="A2716" t="s">
        <v>5951</v>
      </c>
      <c r="B2716" t="s">
        <v>2620</v>
      </c>
      <c r="C2716" t="s">
        <v>4</v>
      </c>
      <c r="D2716" t="s">
        <v>5950</v>
      </c>
      <c r="E2716" s="2">
        <v>43906</v>
      </c>
      <c r="F2716">
        <v>1705</v>
      </c>
      <c r="G2716" t="s">
        <v>1746</v>
      </c>
      <c r="H2716" t="s">
        <v>1747</v>
      </c>
      <c r="I2716" t="b">
        <v>0</v>
      </c>
      <c r="J2716" t="s">
        <v>1761</v>
      </c>
      <c r="K2716" t="s">
        <v>1863</v>
      </c>
      <c r="L2716" t="s">
        <v>1817</v>
      </c>
      <c r="M2716">
        <v>7</v>
      </c>
      <c r="N2716" t="b">
        <v>1</v>
      </c>
      <c r="O2716">
        <v>317</v>
      </c>
      <c r="P2716" t="s">
        <v>1819</v>
      </c>
      <c r="Q2716" t="s">
        <v>1753</v>
      </c>
      <c r="R2716" t="s">
        <v>1759</v>
      </c>
    </row>
    <row r="2717" spans="1:18" x14ac:dyDescent="0.25">
      <c r="A2717" t="s">
        <v>5953</v>
      </c>
      <c r="B2717" t="s">
        <v>2144</v>
      </c>
      <c r="C2717" t="s">
        <v>186</v>
      </c>
      <c r="D2717" t="s">
        <v>5952</v>
      </c>
      <c r="E2717" s="2">
        <v>44292</v>
      </c>
      <c r="F2717">
        <v>1319</v>
      </c>
      <c r="G2717" t="s">
        <v>1746</v>
      </c>
      <c r="H2717" t="s">
        <v>1747</v>
      </c>
      <c r="I2717" t="b">
        <v>0</v>
      </c>
      <c r="J2717" t="s">
        <v>1748</v>
      </c>
      <c r="K2717" t="s">
        <v>1884</v>
      </c>
      <c r="L2717" t="s">
        <v>1775</v>
      </c>
      <c r="M2717">
        <v>7</v>
      </c>
      <c r="N2717" t="b">
        <v>0</v>
      </c>
      <c r="P2717" t="s">
        <v>2283</v>
      </c>
      <c r="Q2717" t="s">
        <v>1705</v>
      </c>
    </row>
    <row r="2718" spans="1:18" x14ac:dyDescent="0.25">
      <c r="A2718" t="s">
        <v>5954</v>
      </c>
      <c r="B2718" t="s">
        <v>2353</v>
      </c>
      <c r="C2718" t="s">
        <v>4</v>
      </c>
      <c r="D2718" t="s">
        <v>1502</v>
      </c>
      <c r="E2718" s="2">
        <v>43979</v>
      </c>
      <c r="F2718">
        <v>1632</v>
      </c>
      <c r="G2718" t="s">
        <v>1746</v>
      </c>
      <c r="H2718" t="s">
        <v>1798</v>
      </c>
      <c r="I2718" t="b">
        <v>0</v>
      </c>
      <c r="J2718" t="s">
        <v>1748</v>
      </c>
      <c r="K2718" t="s">
        <v>1758</v>
      </c>
      <c r="L2718" t="s">
        <v>1775</v>
      </c>
      <c r="M2718">
        <v>7</v>
      </c>
      <c r="N2718" t="b">
        <v>0</v>
      </c>
      <c r="P2718" t="s">
        <v>1778</v>
      </c>
      <c r="Q2718" t="s">
        <v>1779</v>
      </c>
    </row>
    <row r="2719" spans="1:18" x14ac:dyDescent="0.25">
      <c r="A2719" t="s">
        <v>5956</v>
      </c>
      <c r="B2719" t="s">
        <v>1704</v>
      </c>
      <c r="C2719" t="s">
        <v>1249</v>
      </c>
      <c r="D2719" t="s">
        <v>5955</v>
      </c>
      <c r="E2719" s="2">
        <v>42877</v>
      </c>
      <c r="F2719">
        <v>2734</v>
      </c>
      <c r="G2719" t="s">
        <v>1746</v>
      </c>
      <c r="H2719" t="s">
        <v>1747</v>
      </c>
      <c r="I2719" t="b">
        <v>0</v>
      </c>
      <c r="J2719" t="s">
        <v>1748</v>
      </c>
      <c r="K2719" t="s">
        <v>1823</v>
      </c>
      <c r="L2719" t="s">
        <v>2102</v>
      </c>
      <c r="M2719">
        <v>7</v>
      </c>
      <c r="N2719" t="b">
        <v>0</v>
      </c>
      <c r="P2719" t="s">
        <v>2070</v>
      </c>
      <c r="Q2719" t="s">
        <v>1779</v>
      </c>
    </row>
    <row r="2720" spans="1:18" x14ac:dyDescent="0.25">
      <c r="A2720" t="s">
        <v>5958</v>
      </c>
      <c r="B2720" t="s">
        <v>2173</v>
      </c>
      <c r="C2720" t="s">
        <v>4</v>
      </c>
      <c r="D2720" t="s">
        <v>5957</v>
      </c>
      <c r="E2720" s="2">
        <v>45103</v>
      </c>
      <c r="F2720">
        <v>508</v>
      </c>
      <c r="G2720" t="s">
        <v>1746</v>
      </c>
      <c r="H2720" t="s">
        <v>1747</v>
      </c>
      <c r="I2720" t="b">
        <v>0</v>
      </c>
      <c r="J2720" t="s">
        <v>1748</v>
      </c>
      <c r="K2720" t="s">
        <v>1853</v>
      </c>
      <c r="L2720" t="s">
        <v>1750</v>
      </c>
      <c r="M2720">
        <v>7</v>
      </c>
      <c r="N2720" t="b">
        <v>1</v>
      </c>
      <c r="O2720">
        <v>419</v>
      </c>
      <c r="P2720" t="s">
        <v>1752</v>
      </c>
      <c r="Q2720" t="s">
        <v>1753</v>
      </c>
      <c r="R2720" t="s">
        <v>2028</v>
      </c>
    </row>
    <row r="2721" spans="1:18" x14ac:dyDescent="0.25">
      <c r="A2721" t="s">
        <v>5960</v>
      </c>
      <c r="B2721" t="s">
        <v>2133</v>
      </c>
      <c r="C2721" t="s">
        <v>6</v>
      </c>
      <c r="D2721" t="s">
        <v>5959</v>
      </c>
      <c r="E2721" s="2">
        <v>44503</v>
      </c>
      <c r="F2721">
        <v>1108</v>
      </c>
      <c r="G2721" t="s">
        <v>1746</v>
      </c>
      <c r="H2721" t="s">
        <v>1747</v>
      </c>
      <c r="I2721" t="b">
        <v>0</v>
      </c>
      <c r="J2721" t="s">
        <v>1748</v>
      </c>
      <c r="K2721" t="s">
        <v>1809</v>
      </c>
      <c r="L2721" t="s">
        <v>1766</v>
      </c>
      <c r="M2721">
        <v>7</v>
      </c>
      <c r="N2721" t="b">
        <v>0</v>
      </c>
      <c r="P2721" t="s">
        <v>2070</v>
      </c>
      <c r="Q2721" t="s">
        <v>1753</v>
      </c>
    </row>
    <row r="2722" spans="1:18" x14ac:dyDescent="0.25">
      <c r="A2722" t="s">
        <v>5962</v>
      </c>
      <c r="B2722" t="s">
        <v>2150</v>
      </c>
      <c r="C2722" t="s">
        <v>4</v>
      </c>
      <c r="D2722" t="s">
        <v>5961</v>
      </c>
      <c r="E2722" s="2">
        <v>45433</v>
      </c>
      <c r="F2722">
        <v>178</v>
      </c>
      <c r="G2722" t="s">
        <v>1746</v>
      </c>
      <c r="H2722" t="s">
        <v>1747</v>
      </c>
      <c r="I2722" t="b">
        <v>1</v>
      </c>
      <c r="J2722" t="s">
        <v>1748</v>
      </c>
      <c r="K2722" t="s">
        <v>1822</v>
      </c>
      <c r="L2722" t="s">
        <v>1817</v>
      </c>
      <c r="M2722">
        <v>7</v>
      </c>
      <c r="N2722" t="b">
        <v>1</v>
      </c>
      <c r="O2722">
        <v>349</v>
      </c>
      <c r="P2722" t="s">
        <v>1819</v>
      </c>
      <c r="Q2722" t="s">
        <v>1753</v>
      </c>
      <c r="R2722" t="s">
        <v>1759</v>
      </c>
    </row>
    <row r="2723" spans="1:18" x14ac:dyDescent="0.25">
      <c r="A2723" t="s">
        <v>5964</v>
      </c>
      <c r="B2723" t="s">
        <v>1907</v>
      </c>
      <c r="C2723" t="s">
        <v>6</v>
      </c>
      <c r="D2723" t="s">
        <v>5963</v>
      </c>
      <c r="E2723" s="2">
        <v>44740</v>
      </c>
      <c r="F2723">
        <v>871</v>
      </c>
      <c r="G2723" t="s">
        <v>1746</v>
      </c>
      <c r="H2723" t="s">
        <v>1747</v>
      </c>
      <c r="I2723" t="b">
        <v>0</v>
      </c>
      <c r="J2723" t="s">
        <v>1748</v>
      </c>
      <c r="K2723" t="s">
        <v>1934</v>
      </c>
      <c r="L2723" t="s">
        <v>1817</v>
      </c>
      <c r="M2723">
        <v>7</v>
      </c>
      <c r="N2723" t="b">
        <v>1</v>
      </c>
      <c r="O2723">
        <v>1574</v>
      </c>
      <c r="P2723" t="s">
        <v>1819</v>
      </c>
      <c r="Q2723" t="s">
        <v>1753</v>
      </c>
      <c r="R2723" t="s">
        <v>1759</v>
      </c>
    </row>
    <row r="2724" spans="1:18" x14ac:dyDescent="0.25">
      <c r="A2724" t="s">
        <v>5966</v>
      </c>
      <c r="B2724" t="s">
        <v>2483</v>
      </c>
      <c r="C2724" t="s">
        <v>4</v>
      </c>
      <c r="D2724" t="s">
        <v>5965</v>
      </c>
      <c r="E2724" s="2">
        <v>45210</v>
      </c>
      <c r="F2724">
        <v>401</v>
      </c>
      <c r="G2724" t="s">
        <v>1833</v>
      </c>
      <c r="H2724" t="s">
        <v>1747</v>
      </c>
      <c r="I2724" t="b">
        <v>0</v>
      </c>
      <c r="J2724" t="s">
        <v>1761</v>
      </c>
      <c r="K2724" t="s">
        <v>1853</v>
      </c>
      <c r="L2724" t="s">
        <v>1750</v>
      </c>
      <c r="M2724">
        <v>7</v>
      </c>
      <c r="N2724" t="b">
        <v>1</v>
      </c>
      <c r="O2724">
        <v>369</v>
      </c>
      <c r="P2724" t="s">
        <v>1819</v>
      </c>
      <c r="Q2724" t="s">
        <v>1753</v>
      </c>
      <c r="R2724" t="s">
        <v>1759</v>
      </c>
    </row>
    <row r="2725" spans="1:18" x14ac:dyDescent="0.25">
      <c r="A2725" t="s">
        <v>5967</v>
      </c>
      <c r="B2725" t="s">
        <v>1781</v>
      </c>
      <c r="C2725" t="s">
        <v>186</v>
      </c>
      <c r="D2725" t="s">
        <v>1365</v>
      </c>
      <c r="E2725" s="2">
        <v>38987</v>
      </c>
      <c r="F2725">
        <v>6624</v>
      </c>
      <c r="G2725" t="s">
        <v>1746</v>
      </c>
      <c r="H2725" t="s">
        <v>1747</v>
      </c>
      <c r="I2725" t="b">
        <v>0</v>
      </c>
      <c r="J2725" t="s">
        <v>1748</v>
      </c>
      <c r="K2725" t="s">
        <v>1830</v>
      </c>
      <c r="L2725" t="s">
        <v>2102</v>
      </c>
      <c r="M2725">
        <v>7</v>
      </c>
      <c r="N2725" t="b">
        <v>0</v>
      </c>
      <c r="P2725" t="s">
        <v>2070</v>
      </c>
      <c r="Q2725" t="s">
        <v>1779</v>
      </c>
    </row>
    <row r="2726" spans="1:18" x14ac:dyDescent="0.25">
      <c r="A2726" t="s">
        <v>5969</v>
      </c>
      <c r="B2726" t="s">
        <v>2177</v>
      </c>
      <c r="C2726" t="s">
        <v>4</v>
      </c>
      <c r="D2726" t="s">
        <v>5968</v>
      </c>
      <c r="E2726" s="2">
        <v>43333</v>
      </c>
      <c r="F2726">
        <v>2278</v>
      </c>
      <c r="G2726" t="s">
        <v>1746</v>
      </c>
      <c r="H2726" t="s">
        <v>1747</v>
      </c>
      <c r="I2726" t="b">
        <v>0</v>
      </c>
      <c r="J2726" t="s">
        <v>1761</v>
      </c>
      <c r="K2726" t="s">
        <v>1917</v>
      </c>
      <c r="L2726" t="s">
        <v>1817</v>
      </c>
      <c r="M2726">
        <v>7</v>
      </c>
      <c r="N2726" t="b">
        <v>0</v>
      </c>
      <c r="O2726">
        <v>139</v>
      </c>
      <c r="P2726" t="s">
        <v>1819</v>
      </c>
      <c r="Q2726" t="s">
        <v>1753</v>
      </c>
      <c r="R2726" t="s">
        <v>1828</v>
      </c>
    </row>
    <row r="2727" spans="1:18" x14ac:dyDescent="0.25">
      <c r="A2727" t="s">
        <v>5970</v>
      </c>
      <c r="B2727" t="s">
        <v>1781</v>
      </c>
      <c r="C2727" t="s">
        <v>4</v>
      </c>
      <c r="D2727" t="s">
        <v>742</v>
      </c>
      <c r="E2727" s="2">
        <v>44901</v>
      </c>
      <c r="F2727">
        <v>710</v>
      </c>
      <c r="G2727" t="s">
        <v>1746</v>
      </c>
      <c r="H2727" t="s">
        <v>1747</v>
      </c>
      <c r="I2727" t="b">
        <v>0</v>
      </c>
      <c r="J2727" t="s">
        <v>1748</v>
      </c>
      <c r="K2727" t="s">
        <v>1880</v>
      </c>
      <c r="L2727" t="s">
        <v>1750</v>
      </c>
      <c r="M2727">
        <v>7</v>
      </c>
      <c r="N2727" t="b">
        <v>1</v>
      </c>
      <c r="O2727">
        <v>290</v>
      </c>
      <c r="P2727" t="s">
        <v>1752</v>
      </c>
      <c r="Q2727" t="s">
        <v>1753</v>
      </c>
    </row>
    <row r="2728" spans="1:18" x14ac:dyDescent="0.25">
      <c r="A2728" t="s">
        <v>5972</v>
      </c>
      <c r="B2728" t="s">
        <v>1907</v>
      </c>
      <c r="C2728" t="s">
        <v>4</v>
      </c>
      <c r="D2728" t="s">
        <v>5971</v>
      </c>
      <c r="E2728" s="2">
        <v>44727</v>
      </c>
      <c r="F2728">
        <v>884</v>
      </c>
      <c r="G2728" t="s">
        <v>1746</v>
      </c>
      <c r="H2728" t="s">
        <v>1747</v>
      </c>
      <c r="I2728" t="b">
        <v>0</v>
      </c>
      <c r="J2728" t="s">
        <v>1748</v>
      </c>
      <c r="K2728" t="s">
        <v>1856</v>
      </c>
      <c r="L2728" t="s">
        <v>1756</v>
      </c>
      <c r="M2728">
        <v>7</v>
      </c>
      <c r="N2728" t="b">
        <v>1</v>
      </c>
      <c r="O2728">
        <v>304</v>
      </c>
      <c r="P2728" t="s">
        <v>1819</v>
      </c>
      <c r="Q2728" t="s">
        <v>1753</v>
      </c>
      <c r="R2728" t="s">
        <v>1772</v>
      </c>
    </row>
    <row r="2729" spans="1:18" x14ac:dyDescent="0.25">
      <c r="A2729" t="s">
        <v>5974</v>
      </c>
      <c r="B2729" t="s">
        <v>3167</v>
      </c>
      <c r="C2729" t="s">
        <v>4</v>
      </c>
      <c r="D2729" t="s">
        <v>5973</v>
      </c>
      <c r="E2729" s="2">
        <v>45502</v>
      </c>
      <c r="F2729">
        <v>109</v>
      </c>
      <c r="G2729" t="s">
        <v>1746</v>
      </c>
      <c r="H2729" t="s">
        <v>2001</v>
      </c>
      <c r="I2729" t="b">
        <v>0</v>
      </c>
      <c r="J2729" t="s">
        <v>1748</v>
      </c>
      <c r="K2729" t="s">
        <v>1863</v>
      </c>
      <c r="L2729" t="s">
        <v>1750</v>
      </c>
      <c r="M2729">
        <v>7</v>
      </c>
      <c r="N2729" t="b">
        <v>0</v>
      </c>
      <c r="P2729" t="s">
        <v>1752</v>
      </c>
      <c r="Q2729" t="s">
        <v>1753</v>
      </c>
    </row>
    <row r="2730" spans="1:18" x14ac:dyDescent="0.25">
      <c r="A2730" t="s">
        <v>5976</v>
      </c>
      <c r="B2730" t="s">
        <v>2177</v>
      </c>
      <c r="C2730" t="s">
        <v>4</v>
      </c>
      <c r="D2730" t="s">
        <v>5975</v>
      </c>
      <c r="E2730" s="2">
        <v>43234</v>
      </c>
      <c r="F2730">
        <v>2377</v>
      </c>
      <c r="G2730" t="s">
        <v>1746</v>
      </c>
      <c r="H2730" t="s">
        <v>1747</v>
      </c>
      <c r="I2730" t="b">
        <v>0</v>
      </c>
      <c r="J2730" t="s">
        <v>1748</v>
      </c>
      <c r="K2730" t="s">
        <v>1917</v>
      </c>
      <c r="L2730" t="s">
        <v>1817</v>
      </c>
      <c r="M2730">
        <v>7</v>
      </c>
      <c r="N2730" t="b">
        <v>0</v>
      </c>
      <c r="O2730">
        <v>139</v>
      </c>
      <c r="P2730" t="s">
        <v>1819</v>
      </c>
      <c r="Q2730" t="s">
        <v>1753</v>
      </c>
      <c r="R2730" t="s">
        <v>1828</v>
      </c>
    </row>
    <row r="2731" spans="1:18" x14ac:dyDescent="0.25">
      <c r="A2731" t="s">
        <v>5978</v>
      </c>
      <c r="B2731" t="s">
        <v>3294</v>
      </c>
      <c r="C2731" t="s">
        <v>4</v>
      </c>
      <c r="D2731" t="s">
        <v>5977</v>
      </c>
      <c r="E2731" s="2">
        <v>45266</v>
      </c>
      <c r="F2731">
        <v>345</v>
      </c>
      <c r="G2731" t="s">
        <v>1746</v>
      </c>
      <c r="H2731" t="s">
        <v>1747</v>
      </c>
      <c r="I2731" t="b">
        <v>1</v>
      </c>
      <c r="J2731" t="s">
        <v>1748</v>
      </c>
      <c r="K2731" t="s">
        <v>1883</v>
      </c>
      <c r="L2731" t="s">
        <v>1750</v>
      </c>
      <c r="M2731">
        <v>7</v>
      </c>
      <c r="N2731" t="b">
        <v>1</v>
      </c>
      <c r="O2731">
        <v>29</v>
      </c>
      <c r="P2731" t="s">
        <v>1752</v>
      </c>
      <c r="Q2731" t="s">
        <v>1753</v>
      </c>
      <c r="R2731" t="s">
        <v>1759</v>
      </c>
    </row>
    <row r="2732" spans="1:18" x14ac:dyDescent="0.25">
      <c r="A2732" t="s">
        <v>5980</v>
      </c>
      <c r="B2732" t="s">
        <v>2611</v>
      </c>
      <c r="C2732" t="s">
        <v>4</v>
      </c>
      <c r="D2732" t="s">
        <v>5979</v>
      </c>
      <c r="E2732" s="2">
        <v>45309</v>
      </c>
      <c r="F2732">
        <v>302</v>
      </c>
      <c r="G2732" t="s">
        <v>1833</v>
      </c>
      <c r="H2732" t="s">
        <v>1747</v>
      </c>
      <c r="I2732" t="b">
        <v>0</v>
      </c>
      <c r="J2732" t="s">
        <v>1748</v>
      </c>
      <c r="K2732" t="s">
        <v>1830</v>
      </c>
      <c r="L2732" t="s">
        <v>1750</v>
      </c>
      <c r="M2732">
        <v>7</v>
      </c>
      <c r="N2732" t="b">
        <v>1</v>
      </c>
      <c r="O2732">
        <v>101</v>
      </c>
      <c r="P2732" t="s">
        <v>1752</v>
      </c>
      <c r="Q2732" t="s">
        <v>1753</v>
      </c>
    </row>
    <row r="2733" spans="1:18" x14ac:dyDescent="0.25">
      <c r="A2733" t="s">
        <v>2406</v>
      </c>
      <c r="B2733" t="s">
        <v>4832</v>
      </c>
      <c r="C2733" t="s">
        <v>6</v>
      </c>
      <c r="D2733" t="s">
        <v>5981</v>
      </c>
      <c r="E2733" s="2">
        <v>44861</v>
      </c>
      <c r="F2733">
        <v>750</v>
      </c>
      <c r="G2733" t="s">
        <v>1746</v>
      </c>
      <c r="H2733" t="s">
        <v>1798</v>
      </c>
      <c r="I2733" t="b">
        <v>0</v>
      </c>
      <c r="J2733" t="s">
        <v>1748</v>
      </c>
      <c r="K2733" t="s">
        <v>1824</v>
      </c>
      <c r="L2733" t="s">
        <v>1750</v>
      </c>
      <c r="M2733">
        <v>7</v>
      </c>
      <c r="N2733" t="b">
        <v>1</v>
      </c>
      <c r="O2733">
        <v>466</v>
      </c>
      <c r="P2733" t="s">
        <v>1819</v>
      </c>
      <c r="Q2733" t="s">
        <v>1753</v>
      </c>
      <c r="R2733" t="s">
        <v>1759</v>
      </c>
    </row>
    <row r="2734" spans="1:18" x14ac:dyDescent="0.25">
      <c r="A2734" t="s">
        <v>5982</v>
      </c>
      <c r="B2734" t="s">
        <v>1876</v>
      </c>
      <c r="C2734" t="s">
        <v>4</v>
      </c>
      <c r="D2734" t="s">
        <v>1474</v>
      </c>
      <c r="E2734" s="2">
        <v>44609</v>
      </c>
      <c r="F2734">
        <v>1002</v>
      </c>
      <c r="G2734" t="s">
        <v>1746</v>
      </c>
      <c r="H2734" t="s">
        <v>1798</v>
      </c>
      <c r="I2734" t="b">
        <v>0</v>
      </c>
      <c r="J2734" t="s">
        <v>1748</v>
      </c>
      <c r="K2734" t="s">
        <v>1824</v>
      </c>
      <c r="L2734" t="s">
        <v>1750</v>
      </c>
      <c r="M2734">
        <v>7</v>
      </c>
      <c r="N2734" t="b">
        <v>1</v>
      </c>
      <c r="O2734">
        <v>140</v>
      </c>
      <c r="P2734" t="s">
        <v>1752</v>
      </c>
      <c r="Q2734" t="s">
        <v>1753</v>
      </c>
      <c r="R2734" t="s">
        <v>1828</v>
      </c>
    </row>
    <row r="2735" spans="1:18" x14ac:dyDescent="0.25">
      <c r="A2735" t="s">
        <v>5984</v>
      </c>
      <c r="B2735" t="s">
        <v>2177</v>
      </c>
      <c r="C2735" t="s">
        <v>4</v>
      </c>
      <c r="D2735" t="s">
        <v>5983</v>
      </c>
      <c r="E2735" s="2">
        <v>42401</v>
      </c>
      <c r="F2735">
        <v>3210</v>
      </c>
      <c r="G2735" t="s">
        <v>1746</v>
      </c>
      <c r="H2735" t="s">
        <v>1805</v>
      </c>
      <c r="I2735" t="b">
        <v>0</v>
      </c>
      <c r="J2735" t="s">
        <v>1761</v>
      </c>
      <c r="K2735" t="s">
        <v>1846</v>
      </c>
      <c r="L2735" t="s">
        <v>1750</v>
      </c>
      <c r="M2735">
        <v>7</v>
      </c>
      <c r="N2735" t="b">
        <v>1</v>
      </c>
      <c r="O2735">
        <v>126</v>
      </c>
      <c r="P2735" t="s">
        <v>1752</v>
      </c>
      <c r="Q2735" t="s">
        <v>1753</v>
      </c>
    </row>
    <row r="2736" spans="1:18" x14ac:dyDescent="0.25">
      <c r="A2736" t="s">
        <v>5985</v>
      </c>
      <c r="B2736" t="s">
        <v>2353</v>
      </c>
      <c r="C2736" t="s">
        <v>4</v>
      </c>
      <c r="D2736" t="s">
        <v>1612</v>
      </c>
      <c r="E2736" s="2">
        <v>44607</v>
      </c>
      <c r="F2736">
        <v>1004</v>
      </c>
      <c r="G2736" t="s">
        <v>1746</v>
      </c>
      <c r="H2736" t="s">
        <v>1798</v>
      </c>
      <c r="I2736" t="b">
        <v>1</v>
      </c>
      <c r="J2736" t="s">
        <v>1748</v>
      </c>
      <c r="K2736" t="s">
        <v>1774</v>
      </c>
      <c r="L2736" t="s">
        <v>1750</v>
      </c>
      <c r="M2736">
        <v>7</v>
      </c>
      <c r="N2736" t="b">
        <v>1</v>
      </c>
      <c r="O2736">
        <v>535</v>
      </c>
      <c r="P2736" t="s">
        <v>1752</v>
      </c>
      <c r="Q2736" t="s">
        <v>1753</v>
      </c>
    </row>
    <row r="2737" spans="1:18" x14ac:dyDescent="0.25">
      <c r="A2737" t="s">
        <v>5987</v>
      </c>
      <c r="B2737" t="s">
        <v>1907</v>
      </c>
      <c r="C2737" t="s">
        <v>4</v>
      </c>
      <c r="D2737" t="s">
        <v>5986</v>
      </c>
      <c r="E2737" s="2">
        <v>44824</v>
      </c>
      <c r="F2737">
        <v>787</v>
      </c>
      <c r="G2737" t="s">
        <v>1746</v>
      </c>
      <c r="H2737" t="s">
        <v>1798</v>
      </c>
      <c r="I2737" t="b">
        <v>1</v>
      </c>
      <c r="J2737" t="s">
        <v>1761</v>
      </c>
      <c r="K2737" t="s">
        <v>1770</v>
      </c>
      <c r="L2737" t="s">
        <v>1750</v>
      </c>
      <c r="M2737">
        <v>7</v>
      </c>
      <c r="N2737" t="b">
        <v>1</v>
      </c>
      <c r="O2737">
        <v>117</v>
      </c>
      <c r="P2737" t="s">
        <v>1752</v>
      </c>
      <c r="Q2737" t="s">
        <v>1753</v>
      </c>
      <c r="R2737" t="s">
        <v>1759</v>
      </c>
    </row>
    <row r="2738" spans="1:18" x14ac:dyDescent="0.25">
      <c r="A2738" t="s">
        <v>5989</v>
      </c>
      <c r="B2738" t="s">
        <v>1704</v>
      </c>
      <c r="C2738" t="s">
        <v>6</v>
      </c>
      <c r="D2738" t="s">
        <v>5988</v>
      </c>
      <c r="E2738" s="2">
        <v>44713</v>
      </c>
      <c r="F2738">
        <v>898</v>
      </c>
      <c r="G2738" t="s">
        <v>1746</v>
      </c>
      <c r="H2738" t="s">
        <v>1747</v>
      </c>
      <c r="I2738" t="b">
        <v>0</v>
      </c>
      <c r="J2738" t="s">
        <v>1748</v>
      </c>
      <c r="K2738" t="s">
        <v>1770</v>
      </c>
      <c r="L2738" t="s">
        <v>1817</v>
      </c>
      <c r="M2738">
        <v>7</v>
      </c>
      <c r="N2738" t="b">
        <v>1</v>
      </c>
      <c r="O2738">
        <v>2832</v>
      </c>
      <c r="P2738" t="s">
        <v>1819</v>
      </c>
      <c r="Q2738" t="s">
        <v>1753</v>
      </c>
      <c r="R2738" t="s">
        <v>1759</v>
      </c>
    </row>
    <row r="2739" spans="1:18" x14ac:dyDescent="0.25">
      <c r="A2739" t="s">
        <v>5991</v>
      </c>
      <c r="B2739" t="s">
        <v>2177</v>
      </c>
      <c r="C2739" t="s">
        <v>4</v>
      </c>
      <c r="D2739" t="s">
        <v>5990</v>
      </c>
      <c r="E2739" s="2">
        <v>43059</v>
      </c>
      <c r="F2739">
        <v>2552</v>
      </c>
      <c r="G2739" t="s">
        <v>1746</v>
      </c>
      <c r="H2739" t="s">
        <v>1805</v>
      </c>
      <c r="I2739" t="b">
        <v>0</v>
      </c>
      <c r="J2739" t="s">
        <v>1748</v>
      </c>
      <c r="K2739" t="s">
        <v>1853</v>
      </c>
      <c r="L2739" t="s">
        <v>1750</v>
      </c>
      <c r="M2739">
        <v>7</v>
      </c>
      <c r="N2739" t="b">
        <v>0</v>
      </c>
      <c r="O2739">
        <v>99</v>
      </c>
      <c r="P2739" t="s">
        <v>1752</v>
      </c>
      <c r="Q2739" t="s">
        <v>1753</v>
      </c>
    </row>
    <row r="2740" spans="1:18" x14ac:dyDescent="0.25">
      <c r="A2740" t="s">
        <v>5992</v>
      </c>
      <c r="B2740" t="s">
        <v>2353</v>
      </c>
      <c r="C2740" t="s">
        <v>4</v>
      </c>
      <c r="D2740" t="s">
        <v>1110</v>
      </c>
      <c r="E2740" s="2">
        <v>44260</v>
      </c>
      <c r="F2740">
        <v>1351</v>
      </c>
      <c r="G2740" t="s">
        <v>1746</v>
      </c>
      <c r="H2740" t="s">
        <v>1798</v>
      </c>
      <c r="I2740" t="b">
        <v>0</v>
      </c>
      <c r="J2740" t="s">
        <v>1748</v>
      </c>
      <c r="K2740" t="s">
        <v>1770</v>
      </c>
      <c r="L2740" t="s">
        <v>1750</v>
      </c>
      <c r="M2740">
        <v>7</v>
      </c>
      <c r="N2740" t="b">
        <v>1</v>
      </c>
      <c r="O2740">
        <v>97</v>
      </c>
      <c r="P2740" t="s">
        <v>1752</v>
      </c>
      <c r="Q2740" t="s">
        <v>1753</v>
      </c>
    </row>
    <row r="2741" spans="1:18" x14ac:dyDescent="0.25">
      <c r="A2741" t="s">
        <v>5994</v>
      </c>
      <c r="B2741" t="s">
        <v>2177</v>
      </c>
      <c r="C2741" t="s">
        <v>4</v>
      </c>
      <c r="D2741" t="s">
        <v>5993</v>
      </c>
      <c r="E2741" s="2">
        <v>42677</v>
      </c>
      <c r="F2741">
        <v>2934</v>
      </c>
      <c r="G2741" t="s">
        <v>1746</v>
      </c>
      <c r="H2741" t="s">
        <v>1798</v>
      </c>
      <c r="I2741" t="b">
        <v>0</v>
      </c>
      <c r="J2741" t="s">
        <v>1761</v>
      </c>
      <c r="K2741" t="s">
        <v>1771</v>
      </c>
      <c r="L2741" t="s">
        <v>1750</v>
      </c>
      <c r="M2741">
        <v>7</v>
      </c>
      <c r="N2741" t="b">
        <v>1</v>
      </c>
      <c r="O2741">
        <v>95</v>
      </c>
      <c r="P2741" t="s">
        <v>1752</v>
      </c>
      <c r="Q2741" t="s">
        <v>1753</v>
      </c>
      <c r="R2741" t="s">
        <v>1828</v>
      </c>
    </row>
    <row r="2742" spans="1:18" x14ac:dyDescent="0.25">
      <c r="A2742" t="s">
        <v>5996</v>
      </c>
      <c r="B2742" t="s">
        <v>2173</v>
      </c>
      <c r="C2742" t="s">
        <v>4</v>
      </c>
      <c r="D2742" t="s">
        <v>5995</v>
      </c>
      <c r="E2742" s="2">
        <v>42152</v>
      </c>
      <c r="F2742">
        <v>3459</v>
      </c>
      <c r="G2742" t="s">
        <v>1746</v>
      </c>
      <c r="H2742" t="s">
        <v>2231</v>
      </c>
      <c r="I2742" t="b">
        <v>0</v>
      </c>
      <c r="J2742" t="s">
        <v>1748</v>
      </c>
      <c r="K2742" t="s">
        <v>2042</v>
      </c>
      <c r="L2742" t="s">
        <v>1817</v>
      </c>
      <c r="M2742">
        <v>7</v>
      </c>
      <c r="N2742" t="b">
        <v>0</v>
      </c>
      <c r="O2742">
        <v>762</v>
      </c>
      <c r="P2742" t="s">
        <v>1819</v>
      </c>
      <c r="Q2742" t="s">
        <v>1753</v>
      </c>
      <c r="R2742" t="s">
        <v>1759</v>
      </c>
    </row>
    <row r="2743" spans="1:18" x14ac:dyDescent="0.25">
      <c r="A2743" t="s">
        <v>5998</v>
      </c>
      <c r="B2743" t="s">
        <v>2133</v>
      </c>
      <c r="C2743" t="s">
        <v>4</v>
      </c>
      <c r="D2743" t="s">
        <v>5997</v>
      </c>
      <c r="E2743" s="2">
        <v>44845</v>
      </c>
      <c r="F2743">
        <v>766</v>
      </c>
      <c r="G2743" t="s">
        <v>1746</v>
      </c>
      <c r="H2743" t="s">
        <v>1747</v>
      </c>
      <c r="I2743" t="b">
        <v>0</v>
      </c>
      <c r="J2743" t="s">
        <v>1748</v>
      </c>
      <c r="K2743" t="s">
        <v>1988</v>
      </c>
      <c r="L2743" t="s">
        <v>1750</v>
      </c>
      <c r="M2743">
        <v>7</v>
      </c>
      <c r="N2743" t="b">
        <v>1</v>
      </c>
      <c r="P2743" t="s">
        <v>1752</v>
      </c>
      <c r="Q2743" t="s">
        <v>1753</v>
      </c>
      <c r="R2743" t="s">
        <v>1759</v>
      </c>
    </row>
    <row r="2744" spans="1:18" x14ac:dyDescent="0.25">
      <c r="A2744" t="s">
        <v>6000</v>
      </c>
      <c r="B2744" t="s">
        <v>2150</v>
      </c>
      <c r="C2744" t="s">
        <v>6</v>
      </c>
      <c r="D2744" t="s">
        <v>5999</v>
      </c>
      <c r="E2744" s="2">
        <v>44950</v>
      </c>
      <c r="F2744">
        <v>661</v>
      </c>
      <c r="G2744" t="s">
        <v>1746</v>
      </c>
      <c r="H2744" t="s">
        <v>1805</v>
      </c>
      <c r="I2744" t="b">
        <v>1</v>
      </c>
      <c r="J2744" t="s">
        <v>1761</v>
      </c>
      <c r="K2744" t="s">
        <v>1765</v>
      </c>
      <c r="L2744" t="s">
        <v>1750</v>
      </c>
      <c r="M2744">
        <v>7</v>
      </c>
      <c r="N2744" t="b">
        <v>0</v>
      </c>
      <c r="O2744">
        <v>96</v>
      </c>
      <c r="P2744" t="s">
        <v>1819</v>
      </c>
      <c r="Q2744" t="s">
        <v>1753</v>
      </c>
    </row>
    <row r="2745" spans="1:18" x14ac:dyDescent="0.25">
      <c r="A2745" t="s">
        <v>6002</v>
      </c>
      <c r="B2745" t="s">
        <v>2150</v>
      </c>
      <c r="C2745" t="s">
        <v>4</v>
      </c>
      <c r="D2745" t="s">
        <v>6001</v>
      </c>
      <c r="E2745" s="2">
        <v>45406</v>
      </c>
      <c r="F2745">
        <v>205</v>
      </c>
      <c r="G2745" t="s">
        <v>1746</v>
      </c>
      <c r="H2745" t="s">
        <v>1805</v>
      </c>
      <c r="I2745" t="b">
        <v>1</v>
      </c>
      <c r="J2745" t="s">
        <v>1761</v>
      </c>
      <c r="K2745" t="s">
        <v>1986</v>
      </c>
      <c r="L2745" t="s">
        <v>1756</v>
      </c>
      <c r="M2745">
        <v>7</v>
      </c>
      <c r="N2745" t="b">
        <v>0</v>
      </c>
      <c r="O2745">
        <v>1413</v>
      </c>
      <c r="P2745" t="s">
        <v>1752</v>
      </c>
      <c r="Q2745" t="s">
        <v>1753</v>
      </c>
      <c r="R2745" t="s">
        <v>1759</v>
      </c>
    </row>
    <row r="2746" spans="1:18" x14ac:dyDescent="0.25">
      <c r="A2746" t="s">
        <v>6004</v>
      </c>
      <c r="B2746" t="s">
        <v>2173</v>
      </c>
      <c r="C2746" t="s">
        <v>6</v>
      </c>
      <c r="D2746" t="s">
        <v>6003</v>
      </c>
      <c r="E2746" s="2">
        <v>43131</v>
      </c>
      <c r="F2746">
        <v>2480</v>
      </c>
      <c r="G2746" t="s">
        <v>1746</v>
      </c>
      <c r="H2746" t="s">
        <v>1747</v>
      </c>
      <c r="I2746" t="b">
        <v>0</v>
      </c>
      <c r="J2746" t="s">
        <v>1748</v>
      </c>
      <c r="K2746" t="s">
        <v>1776</v>
      </c>
      <c r="L2746" t="s">
        <v>1817</v>
      </c>
      <c r="M2746">
        <v>6</v>
      </c>
      <c r="N2746" t="b">
        <v>0</v>
      </c>
      <c r="O2746">
        <v>629</v>
      </c>
      <c r="P2746" t="s">
        <v>1819</v>
      </c>
      <c r="Q2746" t="s">
        <v>1753</v>
      </c>
      <c r="R2746" t="s">
        <v>1772</v>
      </c>
    </row>
    <row r="2747" spans="1:18" x14ac:dyDescent="0.25">
      <c r="A2747" t="s">
        <v>6006</v>
      </c>
      <c r="B2747" t="s">
        <v>1907</v>
      </c>
      <c r="C2747" t="s">
        <v>4</v>
      </c>
      <c r="D2747" t="s">
        <v>6005</v>
      </c>
      <c r="E2747" s="2">
        <v>42461</v>
      </c>
      <c r="F2747">
        <v>3150</v>
      </c>
      <c r="G2747" t="s">
        <v>1746</v>
      </c>
      <c r="H2747" t="s">
        <v>1798</v>
      </c>
      <c r="I2747" t="b">
        <v>0</v>
      </c>
      <c r="J2747" t="s">
        <v>1761</v>
      </c>
      <c r="K2747" t="s">
        <v>1757</v>
      </c>
      <c r="L2747" t="s">
        <v>1750</v>
      </c>
      <c r="M2747">
        <v>6</v>
      </c>
      <c r="N2747" t="b">
        <v>0</v>
      </c>
      <c r="O2747">
        <v>40</v>
      </c>
      <c r="P2747" t="s">
        <v>1752</v>
      </c>
      <c r="Q2747" t="s">
        <v>1753</v>
      </c>
    </row>
    <row r="2748" spans="1:18" x14ac:dyDescent="0.25">
      <c r="A2748" t="s">
        <v>6008</v>
      </c>
      <c r="B2748" t="s">
        <v>6009</v>
      </c>
      <c r="C2748" t="s">
        <v>4</v>
      </c>
      <c r="D2748" t="s">
        <v>6007</v>
      </c>
      <c r="E2748" s="2">
        <v>42230</v>
      </c>
      <c r="F2748">
        <v>3381</v>
      </c>
      <c r="G2748" t="s">
        <v>1746</v>
      </c>
      <c r="H2748" t="s">
        <v>1747</v>
      </c>
      <c r="I2748" t="b">
        <v>0</v>
      </c>
      <c r="J2748" t="s">
        <v>1748</v>
      </c>
      <c r="K2748" t="s">
        <v>1757</v>
      </c>
      <c r="L2748" t="s">
        <v>1750</v>
      </c>
      <c r="M2748">
        <v>6</v>
      </c>
      <c r="N2748" t="b">
        <v>0</v>
      </c>
      <c r="O2748">
        <v>100</v>
      </c>
      <c r="P2748" t="s">
        <v>1752</v>
      </c>
      <c r="Q2748" t="s">
        <v>1753</v>
      </c>
    </row>
    <row r="2749" spans="1:18" x14ac:dyDescent="0.25">
      <c r="A2749" t="s">
        <v>6011</v>
      </c>
      <c r="B2749" t="s">
        <v>1704</v>
      </c>
      <c r="C2749" t="s">
        <v>6</v>
      </c>
      <c r="D2749" t="s">
        <v>6010</v>
      </c>
      <c r="E2749" s="2">
        <v>45407</v>
      </c>
      <c r="F2749">
        <v>204</v>
      </c>
      <c r="G2749" t="s">
        <v>1746</v>
      </c>
      <c r="H2749" t="s">
        <v>1798</v>
      </c>
      <c r="I2749" t="b">
        <v>0</v>
      </c>
      <c r="J2749" t="s">
        <v>1761</v>
      </c>
      <c r="K2749" t="s">
        <v>1863</v>
      </c>
      <c r="L2749" t="s">
        <v>1750</v>
      </c>
      <c r="M2749">
        <v>6</v>
      </c>
      <c r="N2749" t="b">
        <v>0</v>
      </c>
      <c r="O2749">
        <v>7</v>
      </c>
      <c r="P2749" t="s">
        <v>1819</v>
      </c>
      <c r="Q2749" t="s">
        <v>1753</v>
      </c>
    </row>
    <row r="2750" spans="1:18" x14ac:dyDescent="0.25">
      <c r="A2750" t="s">
        <v>6012</v>
      </c>
      <c r="B2750" t="s">
        <v>3294</v>
      </c>
      <c r="C2750" t="s">
        <v>4</v>
      </c>
      <c r="D2750" t="s">
        <v>428</v>
      </c>
      <c r="E2750" s="2">
        <v>44936</v>
      </c>
      <c r="F2750">
        <v>675</v>
      </c>
      <c r="G2750" t="s">
        <v>1746</v>
      </c>
      <c r="H2750" t="s">
        <v>1747</v>
      </c>
      <c r="I2750" t="b">
        <v>0</v>
      </c>
      <c r="J2750" t="s">
        <v>1761</v>
      </c>
      <c r="K2750" t="s">
        <v>1776</v>
      </c>
      <c r="L2750" t="s">
        <v>1817</v>
      </c>
      <c r="M2750">
        <v>6</v>
      </c>
      <c r="N2750" t="b">
        <v>1</v>
      </c>
      <c r="O2750">
        <v>1033</v>
      </c>
      <c r="P2750" t="s">
        <v>1819</v>
      </c>
      <c r="Q2750" t="s">
        <v>1753</v>
      </c>
      <c r="R2750" t="s">
        <v>1759</v>
      </c>
    </row>
    <row r="2751" spans="1:18" x14ac:dyDescent="0.25">
      <c r="A2751" t="s">
        <v>6014</v>
      </c>
      <c r="B2751" t="s">
        <v>3117</v>
      </c>
      <c r="C2751" t="s">
        <v>4</v>
      </c>
      <c r="D2751" t="s">
        <v>6013</v>
      </c>
      <c r="E2751" s="2">
        <v>45454</v>
      </c>
      <c r="F2751">
        <v>157</v>
      </c>
      <c r="G2751" t="s">
        <v>1746</v>
      </c>
      <c r="H2751" t="s">
        <v>1747</v>
      </c>
      <c r="I2751" t="b">
        <v>0</v>
      </c>
      <c r="J2751" t="s">
        <v>1748</v>
      </c>
      <c r="K2751" t="s">
        <v>1755</v>
      </c>
      <c r="L2751" t="s">
        <v>1750</v>
      </c>
      <c r="M2751">
        <v>6</v>
      </c>
      <c r="N2751" t="b">
        <v>1</v>
      </c>
      <c r="O2751">
        <v>754</v>
      </c>
      <c r="P2751" t="s">
        <v>1752</v>
      </c>
      <c r="Q2751" t="s">
        <v>1753</v>
      </c>
      <c r="R2751" t="s">
        <v>1759</v>
      </c>
    </row>
    <row r="2752" spans="1:18" x14ac:dyDescent="0.25">
      <c r="A2752" t="s">
        <v>6016</v>
      </c>
      <c r="B2752" t="s">
        <v>1907</v>
      </c>
      <c r="C2752" t="s">
        <v>4</v>
      </c>
      <c r="D2752" t="s">
        <v>6015</v>
      </c>
      <c r="E2752" s="2">
        <v>44376</v>
      </c>
      <c r="F2752">
        <v>1235</v>
      </c>
      <c r="G2752" t="s">
        <v>1746</v>
      </c>
      <c r="H2752" t="s">
        <v>1798</v>
      </c>
      <c r="I2752" t="b">
        <v>0</v>
      </c>
      <c r="J2752" t="s">
        <v>1748</v>
      </c>
      <c r="K2752" t="s">
        <v>1825</v>
      </c>
      <c r="L2752" t="s">
        <v>1750</v>
      </c>
      <c r="M2752">
        <v>6</v>
      </c>
      <c r="N2752" t="b">
        <v>1</v>
      </c>
      <c r="O2752">
        <v>42</v>
      </c>
      <c r="P2752" t="s">
        <v>1752</v>
      </c>
      <c r="Q2752" t="s">
        <v>1753</v>
      </c>
      <c r="R2752" t="s">
        <v>1828</v>
      </c>
    </row>
    <row r="2753" spans="1:18" x14ac:dyDescent="0.25">
      <c r="A2753" t="s">
        <v>6018</v>
      </c>
      <c r="B2753" t="s">
        <v>2032</v>
      </c>
      <c r="C2753" t="s">
        <v>4</v>
      </c>
      <c r="D2753" t="s">
        <v>6017</v>
      </c>
      <c r="E2753" s="2">
        <v>44204</v>
      </c>
      <c r="F2753">
        <v>1407</v>
      </c>
      <c r="G2753" t="s">
        <v>1746</v>
      </c>
      <c r="H2753" t="s">
        <v>1747</v>
      </c>
      <c r="I2753" t="b">
        <v>0</v>
      </c>
      <c r="J2753" t="s">
        <v>1748</v>
      </c>
      <c r="K2753" t="s">
        <v>1809</v>
      </c>
      <c r="L2753" t="s">
        <v>1750</v>
      </c>
      <c r="M2753">
        <v>6</v>
      </c>
      <c r="N2753" t="b">
        <v>1</v>
      </c>
      <c r="O2753">
        <v>191</v>
      </c>
      <c r="P2753" t="s">
        <v>1752</v>
      </c>
      <c r="Q2753" t="s">
        <v>1753</v>
      </c>
    </row>
    <row r="2754" spans="1:18" x14ac:dyDescent="0.25">
      <c r="A2754" t="s">
        <v>6019</v>
      </c>
      <c r="B2754" t="s">
        <v>2997</v>
      </c>
      <c r="C2754" t="s">
        <v>6</v>
      </c>
      <c r="D2754" t="s">
        <v>888</v>
      </c>
      <c r="E2754" s="2">
        <v>42704</v>
      </c>
      <c r="F2754">
        <v>2907</v>
      </c>
      <c r="G2754" t="s">
        <v>1746</v>
      </c>
      <c r="H2754" t="s">
        <v>1798</v>
      </c>
      <c r="I2754" t="b">
        <v>1</v>
      </c>
      <c r="J2754" t="s">
        <v>1761</v>
      </c>
      <c r="K2754" t="s">
        <v>2021</v>
      </c>
      <c r="L2754" t="s">
        <v>1817</v>
      </c>
      <c r="M2754">
        <v>6</v>
      </c>
      <c r="N2754" t="b">
        <v>0</v>
      </c>
      <c r="P2754" t="s">
        <v>1819</v>
      </c>
      <c r="Q2754" t="s">
        <v>1753</v>
      </c>
      <c r="R2754" t="s">
        <v>1772</v>
      </c>
    </row>
    <row r="2755" spans="1:18" x14ac:dyDescent="0.25">
      <c r="A2755" t="s">
        <v>6021</v>
      </c>
      <c r="B2755" t="s">
        <v>2277</v>
      </c>
      <c r="C2755" t="s">
        <v>4</v>
      </c>
      <c r="D2755" t="s">
        <v>6020</v>
      </c>
      <c r="E2755" s="2">
        <v>45568</v>
      </c>
      <c r="F2755">
        <v>43</v>
      </c>
      <c r="G2755" t="s">
        <v>1746</v>
      </c>
      <c r="H2755" t="s">
        <v>1747</v>
      </c>
      <c r="I2755" t="b">
        <v>0</v>
      </c>
      <c r="J2755" t="s">
        <v>1748</v>
      </c>
      <c r="K2755" t="s">
        <v>1755</v>
      </c>
      <c r="L2755" t="s">
        <v>2102</v>
      </c>
      <c r="M2755">
        <v>6</v>
      </c>
      <c r="N2755" t="b">
        <v>0</v>
      </c>
      <c r="P2755" t="s">
        <v>1752</v>
      </c>
      <c r="Q2755" t="s">
        <v>1753</v>
      </c>
    </row>
    <row r="2756" spans="1:18" x14ac:dyDescent="0.25">
      <c r="A2756" t="s">
        <v>6023</v>
      </c>
      <c r="B2756" t="s">
        <v>4135</v>
      </c>
      <c r="C2756" t="s">
        <v>2338</v>
      </c>
      <c r="D2756" t="s">
        <v>6022</v>
      </c>
      <c r="E2756" s="2">
        <v>44592</v>
      </c>
      <c r="F2756">
        <v>1019</v>
      </c>
      <c r="G2756" t="s">
        <v>1746</v>
      </c>
      <c r="H2756" t="s">
        <v>1747</v>
      </c>
      <c r="I2756" t="b">
        <v>0</v>
      </c>
      <c r="J2756" t="s">
        <v>1748</v>
      </c>
      <c r="K2756" t="s">
        <v>1935</v>
      </c>
      <c r="L2756" t="s">
        <v>1775</v>
      </c>
      <c r="M2756">
        <v>6</v>
      </c>
      <c r="N2756" t="b">
        <v>0</v>
      </c>
      <c r="P2756" t="s">
        <v>2283</v>
      </c>
      <c r="Q2756" t="s">
        <v>1705</v>
      </c>
    </row>
    <row r="2757" spans="1:18" x14ac:dyDescent="0.25">
      <c r="A2757" t="s">
        <v>6025</v>
      </c>
      <c r="B2757" t="s">
        <v>2965</v>
      </c>
      <c r="C2757" t="s">
        <v>4</v>
      </c>
      <c r="D2757" t="s">
        <v>6024</v>
      </c>
      <c r="E2757" s="2">
        <v>44350</v>
      </c>
      <c r="F2757">
        <v>1261</v>
      </c>
      <c r="G2757" t="s">
        <v>1746</v>
      </c>
      <c r="H2757" t="s">
        <v>1798</v>
      </c>
      <c r="I2757" t="b">
        <v>0</v>
      </c>
      <c r="J2757" t="s">
        <v>1761</v>
      </c>
      <c r="K2757" t="s">
        <v>1853</v>
      </c>
      <c r="L2757" t="s">
        <v>1750</v>
      </c>
      <c r="M2757">
        <v>6</v>
      </c>
      <c r="N2757" t="b">
        <v>1</v>
      </c>
      <c r="O2757">
        <v>40</v>
      </c>
      <c r="P2757" t="s">
        <v>1752</v>
      </c>
      <c r="Q2757" t="s">
        <v>1753</v>
      </c>
      <c r="R2757" t="s">
        <v>1828</v>
      </c>
    </row>
    <row r="2758" spans="1:18" x14ac:dyDescent="0.25">
      <c r="A2758" t="s">
        <v>6026</v>
      </c>
      <c r="B2758" t="s">
        <v>1998</v>
      </c>
      <c r="C2758" t="s">
        <v>6</v>
      </c>
      <c r="D2758" t="s">
        <v>884</v>
      </c>
      <c r="E2758" s="2">
        <v>43846</v>
      </c>
      <c r="F2758">
        <v>1765</v>
      </c>
      <c r="G2758" t="s">
        <v>1746</v>
      </c>
      <c r="H2758" t="s">
        <v>1747</v>
      </c>
      <c r="I2758" t="b">
        <v>0</v>
      </c>
      <c r="J2758" t="s">
        <v>1748</v>
      </c>
      <c r="K2758" t="s">
        <v>1776</v>
      </c>
      <c r="L2758" t="s">
        <v>1817</v>
      </c>
      <c r="M2758">
        <v>6</v>
      </c>
      <c r="N2758" t="b">
        <v>1</v>
      </c>
      <c r="O2758">
        <v>701</v>
      </c>
      <c r="P2758" t="s">
        <v>1819</v>
      </c>
      <c r="Q2758" t="s">
        <v>1753</v>
      </c>
      <c r="R2758" t="s">
        <v>1759</v>
      </c>
    </row>
    <row r="2759" spans="1:18" x14ac:dyDescent="0.25">
      <c r="A2759" t="s">
        <v>6028</v>
      </c>
      <c r="B2759" t="s">
        <v>2483</v>
      </c>
      <c r="C2759" t="s">
        <v>4</v>
      </c>
      <c r="D2759" t="s">
        <v>6027</v>
      </c>
      <c r="E2759" s="2">
        <v>45309</v>
      </c>
      <c r="F2759">
        <v>302</v>
      </c>
      <c r="G2759" t="s">
        <v>1833</v>
      </c>
      <c r="H2759" t="s">
        <v>1747</v>
      </c>
      <c r="I2759" t="b">
        <v>0</v>
      </c>
      <c r="J2759" t="s">
        <v>1761</v>
      </c>
      <c r="K2759" t="s">
        <v>1830</v>
      </c>
      <c r="L2759" t="s">
        <v>1750</v>
      </c>
      <c r="M2759">
        <v>6</v>
      </c>
      <c r="N2759" t="b">
        <v>1</v>
      </c>
      <c r="O2759">
        <v>101</v>
      </c>
      <c r="P2759" t="s">
        <v>1752</v>
      </c>
      <c r="Q2759" t="s">
        <v>1753</v>
      </c>
    </row>
    <row r="2760" spans="1:18" x14ac:dyDescent="0.25">
      <c r="A2760" t="s">
        <v>6030</v>
      </c>
      <c r="B2760" t="s">
        <v>2150</v>
      </c>
      <c r="C2760" t="s">
        <v>6</v>
      </c>
      <c r="D2760" t="s">
        <v>6029</v>
      </c>
      <c r="E2760" s="2">
        <v>45118</v>
      </c>
      <c r="F2760">
        <v>493</v>
      </c>
      <c r="G2760" t="s">
        <v>1746</v>
      </c>
      <c r="H2760" t="s">
        <v>1805</v>
      </c>
      <c r="I2760" t="b">
        <v>0</v>
      </c>
      <c r="J2760" t="s">
        <v>1761</v>
      </c>
      <c r="K2760" t="s">
        <v>1863</v>
      </c>
      <c r="L2760" t="s">
        <v>1817</v>
      </c>
      <c r="M2760">
        <v>6</v>
      </c>
      <c r="N2760" t="b">
        <v>0</v>
      </c>
      <c r="O2760">
        <v>2419</v>
      </c>
      <c r="P2760" t="s">
        <v>1819</v>
      </c>
      <c r="Q2760" t="s">
        <v>1753</v>
      </c>
      <c r="R2760" t="s">
        <v>1759</v>
      </c>
    </row>
    <row r="2761" spans="1:18" x14ac:dyDescent="0.25">
      <c r="A2761" t="s">
        <v>6032</v>
      </c>
      <c r="B2761" t="s">
        <v>1704</v>
      </c>
      <c r="C2761" t="s">
        <v>4</v>
      </c>
      <c r="D2761" t="s">
        <v>6031</v>
      </c>
      <c r="E2761" s="2">
        <v>45461</v>
      </c>
      <c r="F2761">
        <v>150</v>
      </c>
      <c r="G2761" t="s">
        <v>1746</v>
      </c>
      <c r="H2761" t="s">
        <v>1798</v>
      </c>
      <c r="I2761" t="b">
        <v>1</v>
      </c>
      <c r="J2761" t="s">
        <v>1748</v>
      </c>
      <c r="K2761" t="s">
        <v>1822</v>
      </c>
      <c r="L2761" t="s">
        <v>1817</v>
      </c>
      <c r="M2761">
        <v>6</v>
      </c>
      <c r="N2761" t="b">
        <v>1</v>
      </c>
      <c r="O2761">
        <v>68</v>
      </c>
      <c r="P2761" t="s">
        <v>1819</v>
      </c>
      <c r="Q2761" t="s">
        <v>1753</v>
      </c>
      <c r="R2761" t="s">
        <v>1759</v>
      </c>
    </row>
    <row r="2762" spans="1:18" x14ac:dyDescent="0.25">
      <c r="A2762" t="s">
        <v>6033</v>
      </c>
      <c r="B2762" t="s">
        <v>1876</v>
      </c>
      <c r="C2762" t="s">
        <v>4</v>
      </c>
      <c r="D2762" t="s">
        <v>254</v>
      </c>
      <c r="E2762" s="2">
        <v>44726</v>
      </c>
      <c r="F2762">
        <v>885</v>
      </c>
      <c r="G2762" t="s">
        <v>1746</v>
      </c>
      <c r="H2762" t="s">
        <v>1747</v>
      </c>
      <c r="I2762" t="b">
        <v>0</v>
      </c>
      <c r="J2762" t="s">
        <v>1748</v>
      </c>
      <c r="K2762" t="s">
        <v>1793</v>
      </c>
      <c r="L2762" t="s">
        <v>1750</v>
      </c>
      <c r="M2762">
        <v>6</v>
      </c>
      <c r="N2762" t="b">
        <v>1</v>
      </c>
      <c r="O2762">
        <v>137</v>
      </c>
      <c r="P2762" t="s">
        <v>1752</v>
      </c>
      <c r="Q2762" t="s">
        <v>1753</v>
      </c>
    </row>
    <row r="2763" spans="1:18" x14ac:dyDescent="0.25">
      <c r="A2763" t="s">
        <v>6035</v>
      </c>
      <c r="B2763" t="s">
        <v>2040</v>
      </c>
      <c r="C2763" t="s">
        <v>4</v>
      </c>
      <c r="D2763" t="s">
        <v>6034</v>
      </c>
      <c r="E2763" s="2">
        <v>45474</v>
      </c>
      <c r="F2763">
        <v>137</v>
      </c>
      <c r="G2763" t="s">
        <v>1833</v>
      </c>
      <c r="H2763" t="s">
        <v>1747</v>
      </c>
      <c r="I2763" t="b">
        <v>0</v>
      </c>
      <c r="J2763" t="s">
        <v>1748</v>
      </c>
      <c r="K2763" t="s">
        <v>1755</v>
      </c>
      <c r="L2763" t="s">
        <v>1750</v>
      </c>
      <c r="M2763">
        <v>6</v>
      </c>
      <c r="N2763" t="b">
        <v>1</v>
      </c>
      <c r="O2763">
        <v>236</v>
      </c>
      <c r="P2763" t="s">
        <v>1752</v>
      </c>
      <c r="Q2763" t="s">
        <v>1753</v>
      </c>
    </row>
    <row r="2764" spans="1:18" x14ac:dyDescent="0.25">
      <c r="A2764" t="s">
        <v>6037</v>
      </c>
      <c r="B2764" t="s">
        <v>2997</v>
      </c>
      <c r="C2764" t="s">
        <v>6</v>
      </c>
      <c r="D2764" t="s">
        <v>6036</v>
      </c>
      <c r="E2764" s="2">
        <v>45407</v>
      </c>
      <c r="F2764">
        <v>204</v>
      </c>
      <c r="G2764" t="s">
        <v>1746</v>
      </c>
      <c r="H2764" t="s">
        <v>1798</v>
      </c>
      <c r="I2764" t="b">
        <v>0</v>
      </c>
      <c r="J2764" t="s">
        <v>1761</v>
      </c>
      <c r="K2764" t="s">
        <v>1863</v>
      </c>
      <c r="L2764" t="s">
        <v>1750</v>
      </c>
      <c r="M2764">
        <v>6</v>
      </c>
      <c r="N2764" t="b">
        <v>0</v>
      </c>
      <c r="O2764">
        <v>7</v>
      </c>
      <c r="P2764" t="s">
        <v>1819</v>
      </c>
      <c r="Q2764" t="s">
        <v>1753</v>
      </c>
    </row>
    <row r="2765" spans="1:18" x14ac:dyDescent="0.25">
      <c r="A2765" t="s">
        <v>6039</v>
      </c>
      <c r="B2765" t="s">
        <v>2173</v>
      </c>
      <c r="C2765" t="s">
        <v>6</v>
      </c>
      <c r="D2765" t="s">
        <v>6038</v>
      </c>
      <c r="E2765" s="2">
        <v>43159</v>
      </c>
      <c r="F2765">
        <v>2452</v>
      </c>
      <c r="G2765" t="s">
        <v>1746</v>
      </c>
      <c r="H2765" t="s">
        <v>2231</v>
      </c>
      <c r="I2765" t="b">
        <v>0</v>
      </c>
      <c r="J2765" t="s">
        <v>1748</v>
      </c>
      <c r="K2765" t="s">
        <v>1800</v>
      </c>
      <c r="L2765" t="s">
        <v>1817</v>
      </c>
      <c r="M2765">
        <v>6</v>
      </c>
      <c r="N2765" t="b">
        <v>0</v>
      </c>
      <c r="O2765">
        <v>647</v>
      </c>
      <c r="P2765" t="s">
        <v>1819</v>
      </c>
      <c r="Q2765" t="s">
        <v>1753</v>
      </c>
      <c r="R2765" t="s">
        <v>1772</v>
      </c>
    </row>
    <row r="2766" spans="1:18" x14ac:dyDescent="0.25">
      <c r="A2766" t="s">
        <v>6041</v>
      </c>
      <c r="B2766" t="s">
        <v>1704</v>
      </c>
      <c r="C2766" t="s">
        <v>6</v>
      </c>
      <c r="D2766" t="s">
        <v>6040</v>
      </c>
      <c r="E2766" s="2">
        <v>45560</v>
      </c>
      <c r="F2766">
        <v>51</v>
      </c>
      <c r="G2766" t="s">
        <v>1746</v>
      </c>
      <c r="H2766" t="s">
        <v>1798</v>
      </c>
      <c r="I2766" t="b">
        <v>0</v>
      </c>
      <c r="J2766" t="s">
        <v>1761</v>
      </c>
      <c r="K2766" t="s">
        <v>1774</v>
      </c>
      <c r="L2766" t="s">
        <v>1817</v>
      </c>
      <c r="M2766">
        <v>6</v>
      </c>
      <c r="N2766" t="b">
        <v>1</v>
      </c>
      <c r="P2766" t="s">
        <v>1819</v>
      </c>
      <c r="Q2766" t="s">
        <v>1753</v>
      </c>
      <c r="R2766" t="s">
        <v>1759</v>
      </c>
    </row>
    <row r="2767" spans="1:18" x14ac:dyDescent="0.25">
      <c r="A2767" t="s">
        <v>6043</v>
      </c>
      <c r="B2767" t="s">
        <v>3816</v>
      </c>
      <c r="C2767" t="s">
        <v>6</v>
      </c>
      <c r="D2767" t="s">
        <v>6042</v>
      </c>
      <c r="E2767" s="2">
        <v>42398</v>
      </c>
      <c r="F2767">
        <v>3213</v>
      </c>
      <c r="G2767" t="s">
        <v>1746</v>
      </c>
      <c r="H2767" t="s">
        <v>2231</v>
      </c>
      <c r="I2767" t="b">
        <v>0</v>
      </c>
      <c r="J2767" t="s">
        <v>1748</v>
      </c>
      <c r="K2767" t="s">
        <v>1770</v>
      </c>
      <c r="L2767" t="s">
        <v>1766</v>
      </c>
      <c r="M2767">
        <v>6</v>
      </c>
      <c r="N2767" t="b">
        <v>0</v>
      </c>
      <c r="P2767" t="s">
        <v>1752</v>
      </c>
      <c r="Q2767" t="s">
        <v>1753</v>
      </c>
    </row>
    <row r="2768" spans="1:18" x14ac:dyDescent="0.25">
      <c r="A2768" t="s">
        <v>6045</v>
      </c>
      <c r="B2768" t="s">
        <v>2173</v>
      </c>
      <c r="C2768" t="s">
        <v>4</v>
      </c>
      <c r="D2768" t="s">
        <v>6044</v>
      </c>
      <c r="E2768" s="2">
        <v>43088</v>
      </c>
      <c r="F2768">
        <v>2523</v>
      </c>
      <c r="G2768" t="s">
        <v>1746</v>
      </c>
      <c r="H2768" t="s">
        <v>2231</v>
      </c>
      <c r="I2768" t="b">
        <v>0</v>
      </c>
      <c r="J2768" t="s">
        <v>1761</v>
      </c>
      <c r="K2768" t="s">
        <v>1891</v>
      </c>
      <c r="L2768" t="s">
        <v>1750</v>
      </c>
      <c r="M2768">
        <v>6</v>
      </c>
      <c r="N2768" t="b">
        <v>1</v>
      </c>
      <c r="O2768">
        <v>114</v>
      </c>
      <c r="P2768" t="s">
        <v>1752</v>
      </c>
      <c r="Q2768" t="s">
        <v>1753</v>
      </c>
      <c r="R2768" t="s">
        <v>1759</v>
      </c>
    </row>
    <row r="2769" spans="1:18" x14ac:dyDescent="0.25">
      <c r="A2769" t="s">
        <v>6047</v>
      </c>
      <c r="B2769" t="s">
        <v>3867</v>
      </c>
      <c r="C2769" t="s">
        <v>6</v>
      </c>
      <c r="D2769" t="s">
        <v>6046</v>
      </c>
      <c r="E2769" s="2">
        <v>42283</v>
      </c>
      <c r="F2769">
        <v>3328</v>
      </c>
      <c r="G2769" t="s">
        <v>1746</v>
      </c>
      <c r="H2769" t="s">
        <v>1805</v>
      </c>
      <c r="I2769" t="b">
        <v>0</v>
      </c>
      <c r="J2769" t="s">
        <v>1748</v>
      </c>
      <c r="K2769" t="s">
        <v>1950</v>
      </c>
      <c r="L2769" t="s">
        <v>1766</v>
      </c>
      <c r="M2769">
        <v>6</v>
      </c>
      <c r="N2769" t="b">
        <v>0</v>
      </c>
      <c r="P2769" t="s">
        <v>1752</v>
      </c>
      <c r="Q2769" t="s">
        <v>1753</v>
      </c>
    </row>
    <row r="2770" spans="1:18" x14ac:dyDescent="0.25">
      <c r="A2770" t="s">
        <v>6049</v>
      </c>
      <c r="B2770" t="s">
        <v>1704</v>
      </c>
      <c r="C2770" t="s">
        <v>4</v>
      </c>
      <c r="D2770" t="s">
        <v>6048</v>
      </c>
      <c r="E2770" s="2">
        <v>45461</v>
      </c>
      <c r="F2770">
        <v>150</v>
      </c>
      <c r="G2770" t="s">
        <v>1746</v>
      </c>
      <c r="H2770" t="s">
        <v>1798</v>
      </c>
      <c r="I2770" t="b">
        <v>1</v>
      </c>
      <c r="J2770" t="s">
        <v>1748</v>
      </c>
      <c r="K2770" t="s">
        <v>1822</v>
      </c>
      <c r="L2770" t="s">
        <v>1817</v>
      </c>
      <c r="M2770">
        <v>6</v>
      </c>
      <c r="N2770" t="b">
        <v>1</v>
      </c>
      <c r="O2770">
        <v>66</v>
      </c>
      <c r="P2770" t="s">
        <v>1819</v>
      </c>
      <c r="Q2770" t="s">
        <v>1753</v>
      </c>
      <c r="R2770" t="s">
        <v>1759</v>
      </c>
    </row>
    <row r="2771" spans="1:18" x14ac:dyDescent="0.25">
      <c r="A2771" t="s">
        <v>6051</v>
      </c>
      <c r="B2771" t="s">
        <v>2620</v>
      </c>
      <c r="C2771" t="s">
        <v>4</v>
      </c>
      <c r="D2771" t="s">
        <v>6050</v>
      </c>
      <c r="E2771" s="2">
        <v>44372</v>
      </c>
      <c r="F2771">
        <v>1239</v>
      </c>
      <c r="G2771" t="s">
        <v>1746</v>
      </c>
      <c r="H2771" t="s">
        <v>1747</v>
      </c>
      <c r="I2771" t="b">
        <v>1</v>
      </c>
      <c r="J2771" t="s">
        <v>1761</v>
      </c>
      <c r="K2771" t="s">
        <v>1880</v>
      </c>
      <c r="L2771" t="s">
        <v>1750</v>
      </c>
      <c r="M2771">
        <v>6</v>
      </c>
      <c r="N2771" t="b">
        <v>0</v>
      </c>
      <c r="O2771">
        <v>41</v>
      </c>
      <c r="P2771" t="s">
        <v>1752</v>
      </c>
      <c r="Q2771" t="s">
        <v>1753</v>
      </c>
    </row>
    <row r="2772" spans="1:18" x14ac:dyDescent="0.25">
      <c r="A2772" t="s">
        <v>4578</v>
      </c>
      <c r="B2772" t="s">
        <v>2342</v>
      </c>
      <c r="C2772" t="s">
        <v>6</v>
      </c>
      <c r="D2772" t="s">
        <v>6052</v>
      </c>
      <c r="E2772" s="2">
        <v>42766</v>
      </c>
      <c r="F2772">
        <v>2845</v>
      </c>
      <c r="G2772" t="s">
        <v>1746</v>
      </c>
      <c r="H2772" t="s">
        <v>1798</v>
      </c>
      <c r="I2772" t="b">
        <v>0</v>
      </c>
      <c r="J2772" t="s">
        <v>1761</v>
      </c>
      <c r="K2772" t="s">
        <v>1922</v>
      </c>
      <c r="L2772" t="s">
        <v>1766</v>
      </c>
      <c r="M2772">
        <v>6</v>
      </c>
      <c r="N2772" t="b">
        <v>1</v>
      </c>
      <c r="P2772" t="s">
        <v>1752</v>
      </c>
      <c r="Q2772" t="s">
        <v>1753</v>
      </c>
      <c r="R2772" t="s">
        <v>1828</v>
      </c>
    </row>
    <row r="2773" spans="1:18" x14ac:dyDescent="0.25">
      <c r="A2773" t="s">
        <v>6054</v>
      </c>
      <c r="B2773" t="s">
        <v>2150</v>
      </c>
      <c r="C2773" t="s">
        <v>4</v>
      </c>
      <c r="D2773" t="s">
        <v>6053</v>
      </c>
      <c r="E2773" s="2">
        <v>45469</v>
      </c>
      <c r="F2773">
        <v>142</v>
      </c>
      <c r="G2773" t="s">
        <v>1746</v>
      </c>
      <c r="H2773" t="s">
        <v>1747</v>
      </c>
      <c r="I2773" t="b">
        <v>0</v>
      </c>
      <c r="J2773" t="s">
        <v>1748</v>
      </c>
      <c r="K2773" t="s">
        <v>1822</v>
      </c>
      <c r="L2773" t="s">
        <v>1817</v>
      </c>
      <c r="M2773">
        <v>6</v>
      </c>
      <c r="N2773" t="b">
        <v>0</v>
      </c>
      <c r="O2773">
        <v>27</v>
      </c>
      <c r="P2773" t="s">
        <v>1819</v>
      </c>
      <c r="Q2773" t="s">
        <v>1753</v>
      </c>
    </row>
    <row r="2774" spans="1:18" x14ac:dyDescent="0.25">
      <c r="A2774" t="s">
        <v>6056</v>
      </c>
      <c r="B2774" t="s">
        <v>2611</v>
      </c>
      <c r="C2774" t="s">
        <v>4</v>
      </c>
      <c r="D2774" t="s">
        <v>6055</v>
      </c>
      <c r="E2774" s="2">
        <v>45309</v>
      </c>
      <c r="F2774">
        <v>302</v>
      </c>
      <c r="G2774" t="s">
        <v>1833</v>
      </c>
      <c r="H2774" t="s">
        <v>1747</v>
      </c>
      <c r="I2774" t="b">
        <v>0</v>
      </c>
      <c r="J2774" t="s">
        <v>1748</v>
      </c>
      <c r="K2774" t="s">
        <v>1917</v>
      </c>
      <c r="L2774" t="s">
        <v>1750</v>
      </c>
      <c r="M2774">
        <v>6</v>
      </c>
      <c r="N2774" t="b">
        <v>1</v>
      </c>
      <c r="O2774">
        <v>80</v>
      </c>
      <c r="P2774" t="s">
        <v>1752</v>
      </c>
      <c r="Q2774" t="s">
        <v>1753</v>
      </c>
    </row>
    <row r="2775" spans="1:18" x14ac:dyDescent="0.25">
      <c r="A2775" t="s">
        <v>6058</v>
      </c>
      <c r="B2775" t="s">
        <v>1803</v>
      </c>
      <c r="C2775" t="s">
        <v>4</v>
      </c>
      <c r="D2775" t="s">
        <v>6057</v>
      </c>
      <c r="E2775" s="2">
        <v>39997</v>
      </c>
      <c r="F2775">
        <v>5614</v>
      </c>
      <c r="G2775" t="s">
        <v>1746</v>
      </c>
      <c r="H2775" t="s">
        <v>1798</v>
      </c>
      <c r="I2775" t="b">
        <v>0</v>
      </c>
      <c r="J2775" t="s">
        <v>1748</v>
      </c>
      <c r="K2775" t="s">
        <v>1755</v>
      </c>
      <c r="L2775" t="s">
        <v>1766</v>
      </c>
      <c r="M2775">
        <v>6</v>
      </c>
      <c r="N2775" t="b">
        <v>0</v>
      </c>
      <c r="P2775" t="s">
        <v>1752</v>
      </c>
      <c r="Q2775" t="s">
        <v>1753</v>
      </c>
      <c r="R2775" t="s">
        <v>1828</v>
      </c>
    </row>
    <row r="2776" spans="1:18" x14ac:dyDescent="0.25">
      <c r="A2776" t="s">
        <v>6059</v>
      </c>
      <c r="B2776" t="s">
        <v>6060</v>
      </c>
      <c r="C2776" t="s">
        <v>6</v>
      </c>
      <c r="D2776" t="s">
        <v>62</v>
      </c>
      <c r="E2776" s="2">
        <v>40190</v>
      </c>
      <c r="F2776">
        <v>5421</v>
      </c>
      <c r="G2776" t="s">
        <v>1746</v>
      </c>
      <c r="H2776" t="s">
        <v>1747</v>
      </c>
      <c r="I2776" t="b">
        <v>0</v>
      </c>
      <c r="J2776" t="s">
        <v>1748</v>
      </c>
      <c r="K2776" t="s">
        <v>1913</v>
      </c>
      <c r="L2776" t="s">
        <v>1766</v>
      </c>
      <c r="M2776">
        <v>6</v>
      </c>
      <c r="N2776" t="b">
        <v>0</v>
      </c>
      <c r="P2776" t="s">
        <v>1752</v>
      </c>
      <c r="Q2776" t="s">
        <v>1753</v>
      </c>
    </row>
    <row r="2777" spans="1:18" x14ac:dyDescent="0.25">
      <c r="A2777" t="s">
        <v>6062</v>
      </c>
      <c r="B2777" t="s">
        <v>1907</v>
      </c>
      <c r="C2777" t="s">
        <v>6</v>
      </c>
      <c r="D2777" t="s">
        <v>6061</v>
      </c>
      <c r="E2777" s="2">
        <v>44091</v>
      </c>
      <c r="F2777">
        <v>1520</v>
      </c>
      <c r="G2777" t="s">
        <v>1746</v>
      </c>
      <c r="H2777" t="s">
        <v>1798</v>
      </c>
      <c r="I2777" t="b">
        <v>1</v>
      </c>
      <c r="J2777" t="s">
        <v>1761</v>
      </c>
      <c r="K2777" t="s">
        <v>1824</v>
      </c>
      <c r="L2777" t="s">
        <v>1750</v>
      </c>
      <c r="M2777">
        <v>6</v>
      </c>
      <c r="N2777" t="b">
        <v>0</v>
      </c>
      <c r="O2777">
        <v>67</v>
      </c>
      <c r="P2777" t="s">
        <v>1819</v>
      </c>
      <c r="Q2777" t="s">
        <v>1753</v>
      </c>
      <c r="R2777" t="s">
        <v>1828</v>
      </c>
    </row>
    <row r="2778" spans="1:18" x14ac:dyDescent="0.25">
      <c r="A2778" t="s">
        <v>6064</v>
      </c>
      <c r="B2778" t="s">
        <v>1803</v>
      </c>
      <c r="C2778" t="s">
        <v>6</v>
      </c>
      <c r="D2778" t="s">
        <v>6063</v>
      </c>
      <c r="E2778" s="2">
        <v>43088</v>
      </c>
      <c r="F2778">
        <v>2523</v>
      </c>
      <c r="G2778" t="s">
        <v>1746</v>
      </c>
      <c r="H2778" t="s">
        <v>1798</v>
      </c>
      <c r="I2778" t="b">
        <v>1</v>
      </c>
      <c r="J2778" t="s">
        <v>1761</v>
      </c>
      <c r="K2778" t="s">
        <v>1822</v>
      </c>
      <c r="L2778" t="s">
        <v>1817</v>
      </c>
      <c r="M2778">
        <v>6</v>
      </c>
      <c r="N2778" t="b">
        <v>0</v>
      </c>
      <c r="O2778">
        <v>8847</v>
      </c>
      <c r="P2778" t="s">
        <v>1819</v>
      </c>
      <c r="Q2778" t="s">
        <v>1753</v>
      </c>
      <c r="R2778" t="s">
        <v>1759</v>
      </c>
    </row>
    <row r="2779" spans="1:18" x14ac:dyDescent="0.25">
      <c r="A2779" t="s">
        <v>6066</v>
      </c>
      <c r="B2779" t="s">
        <v>1704</v>
      </c>
      <c r="C2779" t="s">
        <v>4</v>
      </c>
      <c r="D2779" t="s">
        <v>6065</v>
      </c>
      <c r="E2779" s="2">
        <v>45461</v>
      </c>
      <c r="F2779">
        <v>150</v>
      </c>
      <c r="G2779" t="s">
        <v>1746</v>
      </c>
      <c r="H2779" t="s">
        <v>1798</v>
      </c>
      <c r="I2779" t="b">
        <v>1</v>
      </c>
      <c r="J2779" t="s">
        <v>1748</v>
      </c>
      <c r="K2779" t="s">
        <v>1822</v>
      </c>
      <c r="L2779" t="s">
        <v>1817</v>
      </c>
      <c r="M2779">
        <v>6</v>
      </c>
      <c r="N2779" t="b">
        <v>1</v>
      </c>
      <c r="O2779">
        <v>67</v>
      </c>
      <c r="P2779" t="s">
        <v>1819</v>
      </c>
      <c r="Q2779" t="s">
        <v>1753</v>
      </c>
      <c r="R2779" t="s">
        <v>1759</v>
      </c>
    </row>
    <row r="2780" spans="1:18" x14ac:dyDescent="0.25">
      <c r="A2780" t="s">
        <v>6068</v>
      </c>
      <c r="B2780" t="s">
        <v>2150</v>
      </c>
      <c r="C2780" t="s">
        <v>4</v>
      </c>
      <c r="D2780" t="s">
        <v>6067</v>
      </c>
      <c r="E2780" s="2">
        <v>44967</v>
      </c>
      <c r="F2780">
        <v>644</v>
      </c>
      <c r="G2780" t="s">
        <v>1746</v>
      </c>
      <c r="H2780" t="s">
        <v>1805</v>
      </c>
      <c r="I2780" t="b">
        <v>0</v>
      </c>
      <c r="J2780" t="s">
        <v>1761</v>
      </c>
      <c r="K2780" t="s">
        <v>1868</v>
      </c>
      <c r="L2780" t="s">
        <v>1750</v>
      </c>
      <c r="M2780">
        <v>6</v>
      </c>
      <c r="N2780" t="b">
        <v>0</v>
      </c>
      <c r="P2780" t="s">
        <v>1819</v>
      </c>
      <c r="Q2780" t="s">
        <v>1753</v>
      </c>
      <c r="R2780" t="s">
        <v>1772</v>
      </c>
    </row>
    <row r="2781" spans="1:18" x14ac:dyDescent="0.25">
      <c r="A2781" t="s">
        <v>6070</v>
      </c>
      <c r="B2781" t="s">
        <v>2082</v>
      </c>
      <c r="C2781" t="s">
        <v>4</v>
      </c>
      <c r="D2781" t="s">
        <v>6069</v>
      </c>
      <c r="E2781" s="2">
        <v>45454</v>
      </c>
      <c r="F2781">
        <v>157</v>
      </c>
      <c r="G2781" t="s">
        <v>1746</v>
      </c>
      <c r="H2781" t="s">
        <v>1798</v>
      </c>
      <c r="I2781" t="b">
        <v>0</v>
      </c>
      <c r="J2781" t="s">
        <v>1748</v>
      </c>
      <c r="K2781" t="s">
        <v>1774</v>
      </c>
      <c r="L2781" t="s">
        <v>1750</v>
      </c>
      <c r="M2781">
        <v>6</v>
      </c>
      <c r="N2781" t="b">
        <v>1</v>
      </c>
      <c r="O2781">
        <v>293</v>
      </c>
      <c r="P2781" t="s">
        <v>1752</v>
      </c>
      <c r="Q2781" t="s">
        <v>1753</v>
      </c>
      <c r="R2781" t="s">
        <v>1828</v>
      </c>
    </row>
    <row r="2782" spans="1:18" x14ac:dyDescent="0.25">
      <c r="A2782" t="s">
        <v>6071</v>
      </c>
      <c r="B2782" t="s">
        <v>2353</v>
      </c>
      <c r="C2782" t="s">
        <v>4</v>
      </c>
      <c r="D2782" t="s">
        <v>965</v>
      </c>
      <c r="E2782" s="2">
        <v>43587</v>
      </c>
      <c r="F2782">
        <v>2024</v>
      </c>
      <c r="G2782" t="s">
        <v>1833</v>
      </c>
      <c r="H2782" t="s">
        <v>1798</v>
      </c>
      <c r="I2782" t="b">
        <v>0</v>
      </c>
      <c r="J2782" t="s">
        <v>1748</v>
      </c>
      <c r="K2782" t="s">
        <v>1856</v>
      </c>
      <c r="L2782" t="s">
        <v>1750</v>
      </c>
      <c r="M2782">
        <v>6</v>
      </c>
      <c r="N2782" t="b">
        <v>1</v>
      </c>
      <c r="O2782">
        <v>314</v>
      </c>
      <c r="P2782" t="s">
        <v>1752</v>
      </c>
      <c r="Q2782" t="s">
        <v>1753</v>
      </c>
    </row>
    <row r="2783" spans="1:18" x14ac:dyDescent="0.25">
      <c r="A2783" t="s">
        <v>6073</v>
      </c>
      <c r="B2783" t="s">
        <v>2857</v>
      </c>
      <c r="C2783" t="s">
        <v>6</v>
      </c>
      <c r="D2783" t="s">
        <v>6072</v>
      </c>
      <c r="E2783" s="2">
        <v>42382</v>
      </c>
      <c r="F2783">
        <v>3229</v>
      </c>
      <c r="G2783" t="s">
        <v>1746</v>
      </c>
      <c r="H2783" t="s">
        <v>1747</v>
      </c>
      <c r="I2783" t="b">
        <v>1</v>
      </c>
      <c r="J2783" t="s">
        <v>1748</v>
      </c>
      <c r="K2783" t="s">
        <v>1809</v>
      </c>
      <c r="L2783" t="s">
        <v>1750</v>
      </c>
      <c r="M2783">
        <v>6</v>
      </c>
      <c r="N2783" t="b">
        <v>1</v>
      </c>
      <c r="O2783">
        <v>36</v>
      </c>
      <c r="P2783" t="s">
        <v>1752</v>
      </c>
      <c r="Q2783" t="s">
        <v>1753</v>
      </c>
    </row>
    <row r="2784" spans="1:18" x14ac:dyDescent="0.25">
      <c r="A2784" t="s">
        <v>6075</v>
      </c>
      <c r="B2784" t="s">
        <v>1907</v>
      </c>
      <c r="C2784" t="s">
        <v>572</v>
      </c>
      <c r="D2784" t="s">
        <v>6074</v>
      </c>
      <c r="E2784" s="2">
        <v>44313</v>
      </c>
      <c r="F2784">
        <v>1298</v>
      </c>
      <c r="G2784" t="s">
        <v>1746</v>
      </c>
      <c r="H2784" t="s">
        <v>1798</v>
      </c>
      <c r="I2784" t="b">
        <v>0</v>
      </c>
      <c r="J2784" t="s">
        <v>1761</v>
      </c>
      <c r="K2784" t="s">
        <v>1788</v>
      </c>
      <c r="L2784" t="s">
        <v>1750</v>
      </c>
      <c r="M2784">
        <v>6</v>
      </c>
      <c r="N2784" t="b">
        <v>0</v>
      </c>
      <c r="O2784">
        <v>30</v>
      </c>
      <c r="P2784" t="s">
        <v>1752</v>
      </c>
      <c r="Q2784" t="s">
        <v>1753</v>
      </c>
    </row>
    <row r="2785" spans="1:18" x14ac:dyDescent="0.25">
      <c r="A2785" t="s">
        <v>6077</v>
      </c>
      <c r="B2785" t="s">
        <v>2483</v>
      </c>
      <c r="C2785" t="s">
        <v>4</v>
      </c>
      <c r="D2785" t="s">
        <v>6076</v>
      </c>
      <c r="E2785" s="2">
        <v>45342</v>
      </c>
      <c r="F2785">
        <v>269</v>
      </c>
      <c r="G2785" t="s">
        <v>1746</v>
      </c>
      <c r="H2785" t="s">
        <v>1747</v>
      </c>
      <c r="I2785" t="b">
        <v>1</v>
      </c>
      <c r="J2785" t="s">
        <v>1748</v>
      </c>
      <c r="K2785" t="s">
        <v>1985</v>
      </c>
      <c r="L2785" t="s">
        <v>1817</v>
      </c>
      <c r="M2785">
        <v>6</v>
      </c>
      <c r="N2785" t="b">
        <v>0</v>
      </c>
      <c r="O2785">
        <v>12</v>
      </c>
      <c r="P2785" t="s">
        <v>1819</v>
      </c>
      <c r="Q2785" t="s">
        <v>1753</v>
      </c>
    </row>
    <row r="2786" spans="1:18" x14ac:dyDescent="0.25">
      <c r="A2786" t="s">
        <v>6079</v>
      </c>
      <c r="B2786" t="s">
        <v>2133</v>
      </c>
      <c r="C2786" t="s">
        <v>4</v>
      </c>
      <c r="D2786" t="s">
        <v>6078</v>
      </c>
      <c r="E2786" s="2">
        <v>44951</v>
      </c>
      <c r="F2786">
        <v>660</v>
      </c>
      <c r="G2786" t="s">
        <v>1746</v>
      </c>
      <c r="H2786" t="s">
        <v>1747</v>
      </c>
      <c r="I2786" t="b">
        <v>0</v>
      </c>
      <c r="J2786" t="s">
        <v>1761</v>
      </c>
      <c r="K2786" t="s">
        <v>1824</v>
      </c>
      <c r="L2786" t="s">
        <v>1750</v>
      </c>
      <c r="M2786">
        <v>6</v>
      </c>
      <c r="N2786" t="b">
        <v>1</v>
      </c>
      <c r="O2786">
        <v>128</v>
      </c>
      <c r="P2786" t="s">
        <v>1752</v>
      </c>
      <c r="Q2786" t="s">
        <v>1753</v>
      </c>
    </row>
    <row r="2787" spans="1:18" x14ac:dyDescent="0.25">
      <c r="A2787" t="s">
        <v>6081</v>
      </c>
      <c r="B2787" t="s">
        <v>2611</v>
      </c>
      <c r="C2787" t="s">
        <v>4</v>
      </c>
      <c r="D2787" t="s">
        <v>6080</v>
      </c>
      <c r="E2787" s="2">
        <v>45309</v>
      </c>
      <c r="F2787">
        <v>302</v>
      </c>
      <c r="G2787" t="s">
        <v>1833</v>
      </c>
      <c r="H2787" t="s">
        <v>1747</v>
      </c>
      <c r="I2787" t="b">
        <v>0</v>
      </c>
      <c r="J2787" t="s">
        <v>1748</v>
      </c>
      <c r="K2787" t="s">
        <v>1830</v>
      </c>
      <c r="L2787" t="s">
        <v>1750</v>
      </c>
      <c r="M2787">
        <v>6</v>
      </c>
      <c r="N2787" t="b">
        <v>1</v>
      </c>
      <c r="O2787">
        <v>163</v>
      </c>
      <c r="P2787" t="s">
        <v>1752</v>
      </c>
      <c r="Q2787" t="s">
        <v>1753</v>
      </c>
    </row>
    <row r="2788" spans="1:18" x14ac:dyDescent="0.25">
      <c r="A2788" t="s">
        <v>6083</v>
      </c>
      <c r="B2788" t="s">
        <v>2060</v>
      </c>
      <c r="C2788" t="s">
        <v>6</v>
      </c>
      <c r="D2788" t="s">
        <v>6082</v>
      </c>
      <c r="E2788" s="2">
        <v>39262</v>
      </c>
      <c r="F2788">
        <v>6349</v>
      </c>
      <c r="G2788" t="s">
        <v>1746</v>
      </c>
      <c r="H2788" t="s">
        <v>1798</v>
      </c>
      <c r="I2788" t="b">
        <v>0</v>
      </c>
      <c r="J2788" t="s">
        <v>1748</v>
      </c>
      <c r="K2788" t="s">
        <v>1825</v>
      </c>
      <c r="L2788" t="s">
        <v>1750</v>
      </c>
      <c r="M2788">
        <v>5</v>
      </c>
      <c r="N2788" t="b">
        <v>1</v>
      </c>
      <c r="O2788">
        <v>14</v>
      </c>
      <c r="P2788" t="s">
        <v>1752</v>
      </c>
      <c r="Q2788" t="s">
        <v>1753</v>
      </c>
      <c r="R2788" t="s">
        <v>1828</v>
      </c>
    </row>
    <row r="2789" spans="1:18" x14ac:dyDescent="0.25">
      <c r="A2789" t="s">
        <v>6085</v>
      </c>
      <c r="B2789" t="s">
        <v>2014</v>
      </c>
      <c r="C2789" t="s">
        <v>6</v>
      </c>
      <c r="D2789" t="s">
        <v>6084</v>
      </c>
      <c r="E2789" s="2">
        <v>40492</v>
      </c>
      <c r="F2789">
        <v>5119</v>
      </c>
      <c r="G2789" t="s">
        <v>1746</v>
      </c>
      <c r="H2789" t="s">
        <v>1805</v>
      </c>
      <c r="I2789" t="b">
        <v>0</v>
      </c>
      <c r="J2789" t="s">
        <v>1761</v>
      </c>
      <c r="K2789" t="s">
        <v>1863</v>
      </c>
      <c r="L2789" t="s">
        <v>1766</v>
      </c>
      <c r="M2789">
        <v>5</v>
      </c>
      <c r="N2789" t="b">
        <v>0</v>
      </c>
      <c r="P2789" t="s">
        <v>1819</v>
      </c>
      <c r="Q2789" t="s">
        <v>1753</v>
      </c>
    </row>
    <row r="2790" spans="1:18" x14ac:dyDescent="0.25">
      <c r="A2790" t="s">
        <v>6087</v>
      </c>
      <c r="B2790" t="s">
        <v>2173</v>
      </c>
      <c r="C2790" t="s">
        <v>4</v>
      </c>
      <c r="D2790" t="s">
        <v>6086</v>
      </c>
      <c r="E2790" s="2">
        <v>44020</v>
      </c>
      <c r="F2790">
        <v>1591</v>
      </c>
      <c r="G2790" t="s">
        <v>1746</v>
      </c>
      <c r="H2790" t="s">
        <v>1747</v>
      </c>
      <c r="I2790" t="b">
        <v>0</v>
      </c>
      <c r="J2790" t="s">
        <v>1748</v>
      </c>
      <c r="K2790" t="s">
        <v>1771</v>
      </c>
      <c r="L2790" t="s">
        <v>2102</v>
      </c>
      <c r="M2790">
        <v>5</v>
      </c>
      <c r="N2790" t="b">
        <v>0</v>
      </c>
      <c r="P2790" t="s">
        <v>1752</v>
      </c>
      <c r="Q2790" t="s">
        <v>1753</v>
      </c>
    </row>
    <row r="2791" spans="1:18" x14ac:dyDescent="0.25">
      <c r="A2791" t="s">
        <v>6089</v>
      </c>
      <c r="B2791" t="s">
        <v>2483</v>
      </c>
      <c r="C2791" t="s">
        <v>4</v>
      </c>
      <c r="D2791" t="s">
        <v>6088</v>
      </c>
      <c r="E2791" s="2">
        <v>45309</v>
      </c>
      <c r="F2791">
        <v>302</v>
      </c>
      <c r="G2791" t="s">
        <v>1833</v>
      </c>
      <c r="H2791" t="s">
        <v>1747</v>
      </c>
      <c r="I2791" t="b">
        <v>0</v>
      </c>
      <c r="J2791" t="s">
        <v>1761</v>
      </c>
      <c r="K2791" t="s">
        <v>1830</v>
      </c>
      <c r="L2791" t="s">
        <v>1750</v>
      </c>
      <c r="M2791">
        <v>5</v>
      </c>
      <c r="N2791" t="b">
        <v>1</v>
      </c>
      <c r="O2791">
        <v>163</v>
      </c>
      <c r="P2791" t="s">
        <v>1752</v>
      </c>
      <c r="Q2791" t="s">
        <v>1753</v>
      </c>
    </row>
    <row r="2792" spans="1:18" x14ac:dyDescent="0.25">
      <c r="A2792" t="s">
        <v>6090</v>
      </c>
      <c r="B2792" t="s">
        <v>1876</v>
      </c>
      <c r="C2792" t="s">
        <v>4</v>
      </c>
      <c r="D2792" t="s">
        <v>1485</v>
      </c>
      <c r="E2792" s="2">
        <v>44798</v>
      </c>
      <c r="F2792">
        <v>813</v>
      </c>
      <c r="G2792" t="s">
        <v>1746</v>
      </c>
      <c r="H2792" t="s">
        <v>1798</v>
      </c>
      <c r="I2792" t="b">
        <v>0</v>
      </c>
      <c r="J2792" t="s">
        <v>1748</v>
      </c>
      <c r="K2792" t="s">
        <v>1824</v>
      </c>
      <c r="L2792" t="s">
        <v>1750</v>
      </c>
      <c r="M2792">
        <v>5</v>
      </c>
      <c r="N2792" t="b">
        <v>1</v>
      </c>
      <c r="O2792">
        <v>306</v>
      </c>
      <c r="P2792" t="s">
        <v>1752</v>
      </c>
      <c r="Q2792" t="s">
        <v>1753</v>
      </c>
      <c r="R2792" t="s">
        <v>1828</v>
      </c>
    </row>
    <row r="2793" spans="1:18" x14ac:dyDescent="0.25">
      <c r="A2793" t="s">
        <v>6092</v>
      </c>
      <c r="B2793" t="s">
        <v>2150</v>
      </c>
      <c r="C2793" t="s">
        <v>4</v>
      </c>
      <c r="D2793" t="s">
        <v>6091</v>
      </c>
      <c r="E2793" s="2">
        <v>45469</v>
      </c>
      <c r="F2793">
        <v>142</v>
      </c>
      <c r="G2793" t="s">
        <v>1746</v>
      </c>
      <c r="H2793" t="s">
        <v>1747</v>
      </c>
      <c r="I2793" t="b">
        <v>0</v>
      </c>
      <c r="J2793" t="s">
        <v>1748</v>
      </c>
      <c r="K2793" t="s">
        <v>1822</v>
      </c>
      <c r="L2793" t="s">
        <v>1817</v>
      </c>
      <c r="M2793">
        <v>5</v>
      </c>
      <c r="N2793" t="b">
        <v>0</v>
      </c>
      <c r="O2793">
        <v>37</v>
      </c>
      <c r="P2793" t="s">
        <v>1819</v>
      </c>
      <c r="Q2793" t="s">
        <v>1753</v>
      </c>
    </row>
    <row r="2794" spans="1:18" x14ac:dyDescent="0.25">
      <c r="A2794" t="s">
        <v>6094</v>
      </c>
      <c r="B2794" t="s">
        <v>2177</v>
      </c>
      <c r="C2794" t="s">
        <v>6</v>
      </c>
      <c r="D2794" t="s">
        <v>6093</v>
      </c>
      <c r="E2794" s="2">
        <v>40583</v>
      </c>
      <c r="F2794">
        <v>5028</v>
      </c>
      <c r="G2794" t="s">
        <v>1746</v>
      </c>
      <c r="H2794" t="s">
        <v>1805</v>
      </c>
      <c r="I2794" t="b">
        <v>0</v>
      </c>
      <c r="J2794" t="s">
        <v>1748</v>
      </c>
      <c r="K2794" t="s">
        <v>1917</v>
      </c>
      <c r="L2794" t="s">
        <v>1766</v>
      </c>
      <c r="M2794">
        <v>5</v>
      </c>
      <c r="N2794" t="b">
        <v>0</v>
      </c>
      <c r="P2794" t="s">
        <v>2070</v>
      </c>
      <c r="Q2794" t="s">
        <v>1753</v>
      </c>
    </row>
    <row r="2795" spans="1:18" x14ac:dyDescent="0.25">
      <c r="A2795" t="s">
        <v>6096</v>
      </c>
      <c r="B2795" t="s">
        <v>1803</v>
      </c>
      <c r="C2795" t="s">
        <v>4</v>
      </c>
      <c r="D2795" t="s">
        <v>6095</v>
      </c>
      <c r="E2795" s="2">
        <v>40001</v>
      </c>
      <c r="F2795">
        <v>5610</v>
      </c>
      <c r="G2795" t="s">
        <v>1746</v>
      </c>
      <c r="H2795" t="s">
        <v>1798</v>
      </c>
      <c r="I2795" t="b">
        <v>0</v>
      </c>
      <c r="J2795" t="s">
        <v>1748</v>
      </c>
      <c r="K2795" t="s">
        <v>1755</v>
      </c>
      <c r="L2795" t="s">
        <v>1766</v>
      </c>
      <c r="M2795">
        <v>5</v>
      </c>
      <c r="N2795" t="b">
        <v>0</v>
      </c>
      <c r="P2795" t="s">
        <v>1752</v>
      </c>
      <c r="Q2795" t="s">
        <v>1753</v>
      </c>
      <c r="R2795" t="s">
        <v>1828</v>
      </c>
    </row>
    <row r="2796" spans="1:18" x14ac:dyDescent="0.25">
      <c r="A2796" t="s">
        <v>6098</v>
      </c>
      <c r="B2796" t="s">
        <v>2483</v>
      </c>
      <c r="C2796" t="s">
        <v>4</v>
      </c>
      <c r="D2796" t="s">
        <v>6097</v>
      </c>
      <c r="E2796" s="2">
        <v>45182</v>
      </c>
      <c r="F2796">
        <v>429</v>
      </c>
      <c r="G2796" t="s">
        <v>1746</v>
      </c>
      <c r="H2796" t="s">
        <v>1747</v>
      </c>
      <c r="I2796" t="b">
        <v>0</v>
      </c>
      <c r="J2796" t="s">
        <v>1761</v>
      </c>
      <c r="K2796" t="s">
        <v>1776</v>
      </c>
      <c r="L2796" t="s">
        <v>1750</v>
      </c>
      <c r="M2796">
        <v>5</v>
      </c>
      <c r="N2796" t="b">
        <v>1</v>
      </c>
      <c r="O2796">
        <v>94</v>
      </c>
      <c r="P2796" t="s">
        <v>1752</v>
      </c>
      <c r="Q2796" t="s">
        <v>1753</v>
      </c>
    </row>
    <row r="2797" spans="1:18" x14ac:dyDescent="0.25">
      <c r="A2797" t="s">
        <v>6100</v>
      </c>
      <c r="B2797" t="s">
        <v>2284</v>
      </c>
      <c r="C2797" t="s">
        <v>572</v>
      </c>
      <c r="D2797" t="s">
        <v>6099</v>
      </c>
      <c r="E2797" s="2">
        <v>44277</v>
      </c>
      <c r="F2797">
        <v>1334</v>
      </c>
      <c r="G2797" t="s">
        <v>1746</v>
      </c>
      <c r="H2797" t="s">
        <v>1747</v>
      </c>
      <c r="I2797" t="b">
        <v>0</v>
      </c>
      <c r="J2797" t="s">
        <v>1748</v>
      </c>
      <c r="K2797" t="s">
        <v>1932</v>
      </c>
      <c r="L2797" t="s">
        <v>1775</v>
      </c>
      <c r="M2797">
        <v>5</v>
      </c>
      <c r="N2797" t="b">
        <v>0</v>
      </c>
      <c r="P2797" t="s">
        <v>2283</v>
      </c>
      <c r="Q2797" t="s">
        <v>1705</v>
      </c>
    </row>
    <row r="2798" spans="1:18" x14ac:dyDescent="0.25">
      <c r="A2798" t="s">
        <v>6101</v>
      </c>
      <c r="B2798" t="s">
        <v>1876</v>
      </c>
      <c r="C2798" t="s">
        <v>4</v>
      </c>
      <c r="D2798" t="s">
        <v>255</v>
      </c>
      <c r="E2798" s="2">
        <v>44994</v>
      </c>
      <c r="F2798">
        <v>617</v>
      </c>
      <c r="G2798" t="s">
        <v>1746</v>
      </c>
      <c r="H2798" t="s">
        <v>1747</v>
      </c>
      <c r="I2798" t="b">
        <v>0</v>
      </c>
      <c r="J2798" t="s">
        <v>1748</v>
      </c>
      <c r="K2798" t="s">
        <v>1770</v>
      </c>
      <c r="L2798" t="s">
        <v>1750</v>
      </c>
      <c r="M2798">
        <v>5</v>
      </c>
      <c r="N2798" t="b">
        <v>1</v>
      </c>
      <c r="O2798">
        <v>352</v>
      </c>
      <c r="P2798" t="s">
        <v>1752</v>
      </c>
      <c r="Q2798" t="s">
        <v>1753</v>
      </c>
      <c r="R2798" t="s">
        <v>1772</v>
      </c>
    </row>
    <row r="2799" spans="1:18" x14ac:dyDescent="0.25">
      <c r="A2799" t="s">
        <v>6103</v>
      </c>
      <c r="B2799" t="s">
        <v>1803</v>
      </c>
      <c r="C2799" t="s">
        <v>4</v>
      </c>
      <c r="D2799" t="s">
        <v>6102</v>
      </c>
      <c r="E2799" s="2">
        <v>40002</v>
      </c>
      <c r="F2799">
        <v>5609</v>
      </c>
      <c r="G2799" t="s">
        <v>1746</v>
      </c>
      <c r="H2799" t="s">
        <v>1798</v>
      </c>
      <c r="I2799" t="b">
        <v>0</v>
      </c>
      <c r="J2799" t="s">
        <v>1748</v>
      </c>
      <c r="K2799" t="s">
        <v>1755</v>
      </c>
      <c r="L2799" t="s">
        <v>1766</v>
      </c>
      <c r="M2799">
        <v>5</v>
      </c>
      <c r="N2799" t="b">
        <v>0</v>
      </c>
      <c r="P2799" t="s">
        <v>1752</v>
      </c>
      <c r="Q2799" t="s">
        <v>1753</v>
      </c>
      <c r="R2799" t="s">
        <v>1828</v>
      </c>
    </row>
    <row r="2800" spans="1:18" x14ac:dyDescent="0.25">
      <c r="A2800" t="s">
        <v>6105</v>
      </c>
      <c r="B2800" t="s">
        <v>2150</v>
      </c>
      <c r="C2800" t="s">
        <v>4</v>
      </c>
      <c r="D2800" t="s">
        <v>6104</v>
      </c>
      <c r="E2800" s="2">
        <v>45441</v>
      </c>
      <c r="F2800">
        <v>170</v>
      </c>
      <c r="G2800" t="s">
        <v>1746</v>
      </c>
      <c r="H2800" t="s">
        <v>1747</v>
      </c>
      <c r="I2800" t="b">
        <v>0</v>
      </c>
      <c r="J2800" t="s">
        <v>1761</v>
      </c>
      <c r="K2800" t="s">
        <v>1793</v>
      </c>
      <c r="L2800" t="s">
        <v>1750</v>
      </c>
      <c r="M2800">
        <v>5</v>
      </c>
      <c r="N2800" t="b">
        <v>1</v>
      </c>
      <c r="P2800" t="s">
        <v>1819</v>
      </c>
      <c r="Q2800" t="s">
        <v>1753</v>
      </c>
      <c r="R2800" t="s">
        <v>1759</v>
      </c>
    </row>
    <row r="2801" spans="1:18" x14ac:dyDescent="0.25">
      <c r="A2801" t="s">
        <v>6107</v>
      </c>
      <c r="B2801" t="s">
        <v>3874</v>
      </c>
      <c r="C2801" t="s">
        <v>4</v>
      </c>
      <c r="D2801" t="s">
        <v>6106</v>
      </c>
      <c r="E2801" s="2">
        <v>45385</v>
      </c>
      <c r="F2801">
        <v>226</v>
      </c>
      <c r="G2801" t="s">
        <v>1746</v>
      </c>
      <c r="H2801" t="s">
        <v>1747</v>
      </c>
      <c r="I2801" t="b">
        <v>0</v>
      </c>
      <c r="J2801" t="s">
        <v>1748</v>
      </c>
      <c r="K2801" t="s">
        <v>1880</v>
      </c>
      <c r="L2801" t="s">
        <v>1750</v>
      </c>
      <c r="M2801">
        <v>5</v>
      </c>
      <c r="N2801" t="b">
        <v>0</v>
      </c>
      <c r="O2801">
        <v>56</v>
      </c>
      <c r="P2801" t="s">
        <v>1752</v>
      </c>
      <c r="Q2801" t="s">
        <v>1753</v>
      </c>
      <c r="R2801" t="s">
        <v>1759</v>
      </c>
    </row>
    <row r="2802" spans="1:18" x14ac:dyDescent="0.25">
      <c r="A2802" t="s">
        <v>6108</v>
      </c>
      <c r="B2802" t="s">
        <v>3294</v>
      </c>
      <c r="C2802" t="s">
        <v>4</v>
      </c>
      <c r="D2802" t="s">
        <v>777</v>
      </c>
      <c r="E2802" s="2">
        <v>44706</v>
      </c>
      <c r="F2802">
        <v>905</v>
      </c>
      <c r="G2802" t="s">
        <v>1746</v>
      </c>
      <c r="H2802" t="s">
        <v>1747</v>
      </c>
      <c r="I2802" t="b">
        <v>0</v>
      </c>
      <c r="J2802" t="s">
        <v>1748</v>
      </c>
      <c r="K2802" t="s">
        <v>1767</v>
      </c>
      <c r="L2802" t="s">
        <v>1750</v>
      </c>
      <c r="M2802">
        <v>5</v>
      </c>
      <c r="N2802" t="b">
        <v>1</v>
      </c>
      <c r="O2802">
        <v>66</v>
      </c>
      <c r="P2802" t="s">
        <v>1752</v>
      </c>
      <c r="Q2802" t="s">
        <v>1753</v>
      </c>
      <c r="R2802" t="s">
        <v>1759</v>
      </c>
    </row>
    <row r="2803" spans="1:18" x14ac:dyDescent="0.25">
      <c r="A2803" t="s">
        <v>6110</v>
      </c>
      <c r="B2803" t="s">
        <v>2662</v>
      </c>
      <c r="C2803" t="s">
        <v>4</v>
      </c>
      <c r="D2803" t="s">
        <v>6109</v>
      </c>
      <c r="E2803" s="2">
        <v>44446</v>
      </c>
      <c r="F2803">
        <v>1165</v>
      </c>
      <c r="G2803" t="s">
        <v>1746</v>
      </c>
      <c r="H2803" t="s">
        <v>1747</v>
      </c>
      <c r="I2803" t="b">
        <v>1</v>
      </c>
      <c r="J2803" t="s">
        <v>1748</v>
      </c>
      <c r="K2803" t="s">
        <v>1835</v>
      </c>
      <c r="L2803" t="s">
        <v>1750</v>
      </c>
      <c r="M2803">
        <v>5</v>
      </c>
      <c r="N2803" t="b">
        <v>0</v>
      </c>
      <c r="O2803">
        <v>51</v>
      </c>
      <c r="P2803" t="s">
        <v>1752</v>
      </c>
      <c r="Q2803" t="s">
        <v>1753</v>
      </c>
    </row>
    <row r="2804" spans="1:18" x14ac:dyDescent="0.25">
      <c r="A2804" t="s">
        <v>6112</v>
      </c>
      <c r="B2804" t="s">
        <v>2284</v>
      </c>
      <c r="C2804" t="s">
        <v>2709</v>
      </c>
      <c r="D2804" t="s">
        <v>6111</v>
      </c>
      <c r="E2804" s="2">
        <v>44452</v>
      </c>
      <c r="F2804">
        <v>1159</v>
      </c>
      <c r="G2804" t="s">
        <v>1746</v>
      </c>
      <c r="H2804" t="s">
        <v>1747</v>
      </c>
      <c r="I2804" t="b">
        <v>0</v>
      </c>
      <c r="J2804" t="s">
        <v>1748</v>
      </c>
      <c r="K2804" t="s">
        <v>1884</v>
      </c>
      <c r="L2804" t="s">
        <v>1775</v>
      </c>
      <c r="M2804">
        <v>5</v>
      </c>
      <c r="N2804" t="b">
        <v>0</v>
      </c>
      <c r="P2804" t="s">
        <v>2283</v>
      </c>
      <c r="Q2804" t="s">
        <v>1705</v>
      </c>
    </row>
    <row r="2805" spans="1:18" x14ac:dyDescent="0.25">
      <c r="A2805" t="s">
        <v>6113</v>
      </c>
      <c r="B2805" t="s">
        <v>3016</v>
      </c>
      <c r="C2805" t="s">
        <v>4</v>
      </c>
      <c r="D2805" t="s">
        <v>1290</v>
      </c>
      <c r="E2805" s="2">
        <v>44880</v>
      </c>
      <c r="F2805">
        <v>731</v>
      </c>
      <c r="G2805" t="s">
        <v>1746</v>
      </c>
      <c r="H2805" t="s">
        <v>1798</v>
      </c>
      <c r="I2805" t="b">
        <v>0</v>
      </c>
      <c r="J2805" t="s">
        <v>1748</v>
      </c>
      <c r="K2805" t="s">
        <v>1826</v>
      </c>
      <c r="L2805" t="s">
        <v>1817</v>
      </c>
      <c r="M2805">
        <v>5</v>
      </c>
      <c r="N2805" t="b">
        <v>1</v>
      </c>
      <c r="O2805">
        <v>1801</v>
      </c>
      <c r="P2805" t="s">
        <v>1819</v>
      </c>
      <c r="Q2805" t="s">
        <v>1753</v>
      </c>
      <c r="R2805" t="s">
        <v>1759</v>
      </c>
    </row>
    <row r="2806" spans="1:18" x14ac:dyDescent="0.25">
      <c r="A2806" t="s">
        <v>6114</v>
      </c>
      <c r="B2806" t="s">
        <v>2353</v>
      </c>
      <c r="C2806" t="s">
        <v>4</v>
      </c>
      <c r="D2806" t="s">
        <v>753</v>
      </c>
      <c r="E2806" s="2">
        <v>44698</v>
      </c>
      <c r="F2806">
        <v>913</v>
      </c>
      <c r="G2806" t="s">
        <v>1833</v>
      </c>
      <c r="H2806" t="s">
        <v>1798</v>
      </c>
      <c r="I2806" t="b">
        <v>0</v>
      </c>
      <c r="J2806" t="s">
        <v>1761</v>
      </c>
      <c r="K2806" t="s">
        <v>1880</v>
      </c>
      <c r="L2806" t="s">
        <v>1750</v>
      </c>
      <c r="M2806">
        <v>5</v>
      </c>
      <c r="N2806" t="b">
        <v>1</v>
      </c>
      <c r="O2806">
        <v>400</v>
      </c>
      <c r="P2806" t="s">
        <v>1819</v>
      </c>
      <c r="Q2806" t="s">
        <v>1753</v>
      </c>
      <c r="R2806" t="s">
        <v>1759</v>
      </c>
    </row>
    <row r="2807" spans="1:18" x14ac:dyDescent="0.25">
      <c r="A2807" t="s">
        <v>6115</v>
      </c>
      <c r="B2807" t="s">
        <v>1876</v>
      </c>
      <c r="C2807" t="s">
        <v>4</v>
      </c>
      <c r="D2807" t="s">
        <v>1262</v>
      </c>
      <c r="E2807" s="2">
        <v>44463</v>
      </c>
      <c r="F2807">
        <v>1148</v>
      </c>
      <c r="G2807" t="s">
        <v>1746</v>
      </c>
      <c r="H2807" t="s">
        <v>1747</v>
      </c>
      <c r="I2807" t="b">
        <v>0</v>
      </c>
      <c r="J2807" t="s">
        <v>1748</v>
      </c>
      <c r="K2807" t="s">
        <v>2042</v>
      </c>
      <c r="L2807" t="s">
        <v>1750</v>
      </c>
      <c r="M2807">
        <v>5</v>
      </c>
      <c r="N2807" t="b">
        <v>1</v>
      </c>
      <c r="O2807">
        <v>100</v>
      </c>
      <c r="P2807" t="s">
        <v>1752</v>
      </c>
      <c r="Q2807" t="s">
        <v>1753</v>
      </c>
    </row>
    <row r="2808" spans="1:18" x14ac:dyDescent="0.25">
      <c r="A2808" t="s">
        <v>6117</v>
      </c>
      <c r="B2808" t="s">
        <v>2096</v>
      </c>
      <c r="C2808" t="s">
        <v>4</v>
      </c>
      <c r="D2808" t="s">
        <v>6116</v>
      </c>
      <c r="E2808" s="2">
        <v>45405</v>
      </c>
      <c r="F2808">
        <v>206</v>
      </c>
      <c r="G2808" t="s">
        <v>1746</v>
      </c>
      <c r="H2808" t="s">
        <v>1798</v>
      </c>
      <c r="I2808" t="b">
        <v>0</v>
      </c>
      <c r="J2808" t="s">
        <v>1761</v>
      </c>
      <c r="K2808" t="s">
        <v>1774</v>
      </c>
      <c r="L2808" t="s">
        <v>1817</v>
      </c>
      <c r="M2808">
        <v>5</v>
      </c>
      <c r="N2808" t="b">
        <v>0</v>
      </c>
      <c r="O2808">
        <v>12</v>
      </c>
      <c r="P2808" t="s">
        <v>1819</v>
      </c>
      <c r="Q2808" t="s">
        <v>1753</v>
      </c>
    </row>
    <row r="2809" spans="1:18" x14ac:dyDescent="0.25">
      <c r="A2809" t="s">
        <v>6118</v>
      </c>
      <c r="B2809" t="s">
        <v>1876</v>
      </c>
      <c r="C2809" t="s">
        <v>4</v>
      </c>
      <c r="D2809" t="s">
        <v>1222</v>
      </c>
      <c r="E2809" s="2">
        <v>44734</v>
      </c>
      <c r="F2809">
        <v>877</v>
      </c>
      <c r="G2809" t="s">
        <v>1746</v>
      </c>
      <c r="H2809" t="s">
        <v>1747</v>
      </c>
      <c r="I2809" t="b">
        <v>0</v>
      </c>
      <c r="J2809" t="s">
        <v>1748</v>
      </c>
      <c r="K2809" t="s">
        <v>1809</v>
      </c>
      <c r="L2809" t="s">
        <v>1750</v>
      </c>
      <c r="M2809">
        <v>5</v>
      </c>
      <c r="N2809" t="b">
        <v>1</v>
      </c>
      <c r="O2809">
        <v>135</v>
      </c>
      <c r="P2809" t="s">
        <v>1752</v>
      </c>
      <c r="Q2809" t="s">
        <v>1753</v>
      </c>
      <c r="R2809" t="s">
        <v>2028</v>
      </c>
    </row>
    <row r="2810" spans="1:18" x14ac:dyDescent="0.25">
      <c r="A2810" t="s">
        <v>6119</v>
      </c>
      <c r="B2810" t="s">
        <v>1876</v>
      </c>
      <c r="C2810" t="s">
        <v>4</v>
      </c>
      <c r="D2810" t="s">
        <v>977</v>
      </c>
      <c r="E2810" s="2">
        <v>44505</v>
      </c>
      <c r="F2810">
        <v>1106</v>
      </c>
      <c r="G2810" t="s">
        <v>1746</v>
      </c>
      <c r="H2810" t="s">
        <v>1747</v>
      </c>
      <c r="I2810" t="b">
        <v>0</v>
      </c>
      <c r="J2810" t="s">
        <v>1748</v>
      </c>
      <c r="K2810" t="s">
        <v>1856</v>
      </c>
      <c r="L2810" t="s">
        <v>1750</v>
      </c>
      <c r="M2810">
        <v>5</v>
      </c>
      <c r="N2810" t="b">
        <v>1</v>
      </c>
      <c r="O2810">
        <v>61</v>
      </c>
      <c r="P2810" t="s">
        <v>1752</v>
      </c>
      <c r="Q2810" t="s">
        <v>1753</v>
      </c>
      <c r="R2810" t="s">
        <v>1759</v>
      </c>
    </row>
    <row r="2811" spans="1:18" x14ac:dyDescent="0.25">
      <c r="A2811" t="s">
        <v>6121</v>
      </c>
      <c r="B2811" t="s">
        <v>2173</v>
      </c>
      <c r="C2811" t="s">
        <v>4</v>
      </c>
      <c r="D2811" t="s">
        <v>6120</v>
      </c>
      <c r="E2811" s="2">
        <v>43805</v>
      </c>
      <c r="F2811">
        <v>1806</v>
      </c>
      <c r="G2811" t="s">
        <v>1746</v>
      </c>
      <c r="H2811" t="s">
        <v>2231</v>
      </c>
      <c r="I2811" t="b">
        <v>0</v>
      </c>
      <c r="J2811" t="s">
        <v>1748</v>
      </c>
      <c r="K2811" t="s">
        <v>1880</v>
      </c>
      <c r="L2811" t="s">
        <v>1766</v>
      </c>
      <c r="M2811">
        <v>5</v>
      </c>
      <c r="N2811" t="b">
        <v>0</v>
      </c>
      <c r="P2811" t="s">
        <v>2070</v>
      </c>
      <c r="Q2811" t="s">
        <v>1753</v>
      </c>
    </row>
    <row r="2812" spans="1:18" x14ac:dyDescent="0.25">
      <c r="A2812" t="s">
        <v>6123</v>
      </c>
      <c r="B2812" t="s">
        <v>1907</v>
      </c>
      <c r="C2812" t="s">
        <v>4</v>
      </c>
      <c r="D2812" t="s">
        <v>6122</v>
      </c>
      <c r="E2812" s="2">
        <v>43920</v>
      </c>
      <c r="F2812">
        <v>1691</v>
      </c>
      <c r="G2812" t="s">
        <v>1746</v>
      </c>
      <c r="H2812" t="s">
        <v>1798</v>
      </c>
      <c r="I2812" t="b">
        <v>1</v>
      </c>
      <c r="J2812" t="s">
        <v>1748</v>
      </c>
      <c r="K2812" t="s">
        <v>1822</v>
      </c>
      <c r="L2812" t="s">
        <v>1817</v>
      </c>
      <c r="M2812">
        <v>5</v>
      </c>
      <c r="N2812" t="b">
        <v>0</v>
      </c>
      <c r="O2812">
        <v>51</v>
      </c>
      <c r="P2812" t="s">
        <v>1819</v>
      </c>
      <c r="Q2812" t="s">
        <v>1753</v>
      </c>
    </row>
    <row r="2813" spans="1:18" x14ac:dyDescent="0.25">
      <c r="A2813" t="s">
        <v>6124</v>
      </c>
      <c r="B2813" t="s">
        <v>2494</v>
      </c>
      <c r="C2813" t="s">
        <v>4</v>
      </c>
      <c r="D2813" t="s">
        <v>369</v>
      </c>
      <c r="E2813" s="2">
        <v>44783</v>
      </c>
      <c r="F2813">
        <v>828</v>
      </c>
      <c r="G2813" t="s">
        <v>1746</v>
      </c>
      <c r="H2813" t="s">
        <v>1747</v>
      </c>
      <c r="I2813" t="b">
        <v>0</v>
      </c>
      <c r="J2813" t="s">
        <v>1748</v>
      </c>
      <c r="K2813" t="s">
        <v>1880</v>
      </c>
      <c r="L2813" t="s">
        <v>1750</v>
      </c>
      <c r="M2813">
        <v>5</v>
      </c>
      <c r="N2813" t="b">
        <v>1</v>
      </c>
      <c r="O2813">
        <v>498</v>
      </c>
      <c r="P2813" t="s">
        <v>1752</v>
      </c>
      <c r="Q2813" t="s">
        <v>1753</v>
      </c>
      <c r="R2813" t="s">
        <v>1759</v>
      </c>
    </row>
    <row r="2814" spans="1:18" x14ac:dyDescent="0.25">
      <c r="A2814" t="s">
        <v>6126</v>
      </c>
      <c r="B2814" t="s">
        <v>1907</v>
      </c>
      <c r="C2814" t="s">
        <v>4</v>
      </c>
      <c r="D2814" t="s">
        <v>6125</v>
      </c>
      <c r="E2814" s="2">
        <v>44824</v>
      </c>
      <c r="F2814">
        <v>787</v>
      </c>
      <c r="G2814" t="s">
        <v>1746</v>
      </c>
      <c r="H2814" t="s">
        <v>1798</v>
      </c>
      <c r="I2814" t="b">
        <v>0</v>
      </c>
      <c r="J2814" t="s">
        <v>1761</v>
      </c>
      <c r="K2814" t="s">
        <v>1770</v>
      </c>
      <c r="L2814" t="s">
        <v>1750</v>
      </c>
      <c r="M2814">
        <v>5</v>
      </c>
      <c r="N2814" t="b">
        <v>1</v>
      </c>
      <c r="O2814">
        <v>73</v>
      </c>
      <c r="P2814" t="s">
        <v>1752</v>
      </c>
      <c r="Q2814" t="s">
        <v>1753</v>
      </c>
      <c r="R2814" t="s">
        <v>1759</v>
      </c>
    </row>
    <row r="2815" spans="1:18" x14ac:dyDescent="0.25">
      <c r="A2815" t="s">
        <v>6128</v>
      </c>
      <c r="B2815" t="s">
        <v>1803</v>
      </c>
      <c r="C2815" t="s">
        <v>6</v>
      </c>
      <c r="D2815" t="s">
        <v>6127</v>
      </c>
      <c r="E2815" s="2">
        <v>43137</v>
      </c>
      <c r="F2815">
        <v>2474</v>
      </c>
      <c r="G2815" t="s">
        <v>1746</v>
      </c>
      <c r="H2815" t="s">
        <v>1798</v>
      </c>
      <c r="I2815" t="b">
        <v>1</v>
      </c>
      <c r="J2815" t="s">
        <v>1761</v>
      </c>
      <c r="K2815" t="s">
        <v>1755</v>
      </c>
      <c r="L2815" t="s">
        <v>1817</v>
      </c>
      <c r="M2815">
        <v>5</v>
      </c>
      <c r="N2815" t="b">
        <v>0</v>
      </c>
      <c r="O2815">
        <v>1084</v>
      </c>
      <c r="P2815" t="s">
        <v>1819</v>
      </c>
      <c r="Q2815" t="s">
        <v>1753</v>
      </c>
      <c r="R2815" t="s">
        <v>1759</v>
      </c>
    </row>
    <row r="2816" spans="1:18" x14ac:dyDescent="0.25">
      <c r="A2816" t="s">
        <v>6130</v>
      </c>
      <c r="B2816" t="s">
        <v>2177</v>
      </c>
      <c r="C2816" t="s">
        <v>4</v>
      </c>
      <c r="D2816" t="s">
        <v>6129</v>
      </c>
      <c r="E2816" s="2">
        <v>43644</v>
      </c>
      <c r="F2816">
        <v>1967</v>
      </c>
      <c r="G2816" t="s">
        <v>1746</v>
      </c>
      <c r="H2816" t="s">
        <v>1805</v>
      </c>
      <c r="I2816" t="b">
        <v>1</v>
      </c>
      <c r="J2816" t="s">
        <v>1761</v>
      </c>
      <c r="K2816" t="s">
        <v>1822</v>
      </c>
      <c r="L2816" t="s">
        <v>1817</v>
      </c>
      <c r="M2816">
        <v>5</v>
      </c>
      <c r="N2816" t="b">
        <v>0</v>
      </c>
      <c r="O2816">
        <v>96</v>
      </c>
      <c r="P2816" t="s">
        <v>1819</v>
      </c>
      <c r="Q2816" t="s">
        <v>1753</v>
      </c>
    </row>
    <row r="2817" spans="1:18" x14ac:dyDescent="0.25">
      <c r="A2817" t="s">
        <v>6132</v>
      </c>
      <c r="B2817" t="s">
        <v>2284</v>
      </c>
      <c r="C2817" t="s">
        <v>2338</v>
      </c>
      <c r="D2817" t="s">
        <v>6131</v>
      </c>
      <c r="E2817" s="2">
        <v>44312</v>
      </c>
      <c r="F2817">
        <v>1299</v>
      </c>
      <c r="G2817" t="s">
        <v>1746</v>
      </c>
      <c r="H2817" t="s">
        <v>1747</v>
      </c>
      <c r="I2817" t="b">
        <v>0</v>
      </c>
      <c r="J2817" t="s">
        <v>1748</v>
      </c>
      <c r="K2817" t="s">
        <v>1935</v>
      </c>
      <c r="L2817" t="s">
        <v>1775</v>
      </c>
      <c r="M2817">
        <v>5</v>
      </c>
      <c r="N2817" t="b">
        <v>0</v>
      </c>
      <c r="P2817" t="s">
        <v>2283</v>
      </c>
      <c r="Q2817" t="s">
        <v>1705</v>
      </c>
    </row>
    <row r="2818" spans="1:18" x14ac:dyDescent="0.25">
      <c r="A2818" t="s">
        <v>6134</v>
      </c>
      <c r="B2818" t="s">
        <v>1704</v>
      </c>
      <c r="C2818" t="s">
        <v>6</v>
      </c>
      <c r="D2818" t="s">
        <v>6133</v>
      </c>
      <c r="E2818" s="2">
        <v>45245</v>
      </c>
      <c r="F2818">
        <v>366</v>
      </c>
      <c r="G2818" t="s">
        <v>1746</v>
      </c>
      <c r="H2818" t="s">
        <v>1798</v>
      </c>
      <c r="I2818" t="b">
        <v>1</v>
      </c>
      <c r="J2818" t="s">
        <v>1761</v>
      </c>
      <c r="K2818" t="s">
        <v>1891</v>
      </c>
      <c r="L2818" t="s">
        <v>1750</v>
      </c>
      <c r="M2818">
        <v>5</v>
      </c>
      <c r="N2818" t="b">
        <v>0</v>
      </c>
      <c r="O2818">
        <v>77</v>
      </c>
      <c r="P2818" t="s">
        <v>1752</v>
      </c>
      <c r="Q2818" t="s">
        <v>1753</v>
      </c>
    </row>
    <row r="2819" spans="1:18" x14ac:dyDescent="0.25">
      <c r="A2819" t="s">
        <v>6135</v>
      </c>
      <c r="B2819" t="s">
        <v>2599</v>
      </c>
      <c r="C2819" t="s">
        <v>4</v>
      </c>
      <c r="D2819" t="s">
        <v>1052</v>
      </c>
      <c r="E2819" s="2">
        <v>44624</v>
      </c>
      <c r="F2819">
        <v>987</v>
      </c>
      <c r="G2819" t="s">
        <v>1746</v>
      </c>
      <c r="H2819" t="s">
        <v>1747</v>
      </c>
      <c r="I2819" t="b">
        <v>0</v>
      </c>
      <c r="J2819" t="s">
        <v>1748</v>
      </c>
      <c r="K2819" t="s">
        <v>1824</v>
      </c>
      <c r="L2819" t="s">
        <v>1750</v>
      </c>
      <c r="M2819">
        <v>5</v>
      </c>
      <c r="N2819" t="b">
        <v>1</v>
      </c>
      <c r="O2819">
        <v>543</v>
      </c>
      <c r="P2819" t="s">
        <v>1752</v>
      </c>
      <c r="Q2819" t="s">
        <v>1753</v>
      </c>
      <c r="R2819" t="s">
        <v>1759</v>
      </c>
    </row>
    <row r="2820" spans="1:18" x14ac:dyDescent="0.25">
      <c r="A2820" t="s">
        <v>510</v>
      </c>
      <c r="B2820" t="s">
        <v>2611</v>
      </c>
      <c r="C2820" t="s">
        <v>4</v>
      </c>
      <c r="D2820" t="s">
        <v>511</v>
      </c>
      <c r="E2820" s="2">
        <v>44846</v>
      </c>
      <c r="F2820">
        <v>765</v>
      </c>
      <c r="G2820" t="s">
        <v>1746</v>
      </c>
      <c r="H2820" t="s">
        <v>1747</v>
      </c>
      <c r="I2820" t="b">
        <v>1</v>
      </c>
      <c r="J2820" t="s">
        <v>1761</v>
      </c>
      <c r="K2820" t="s">
        <v>1985</v>
      </c>
      <c r="L2820" t="s">
        <v>1817</v>
      </c>
      <c r="M2820">
        <v>5</v>
      </c>
      <c r="N2820" t="b">
        <v>0</v>
      </c>
      <c r="O2820">
        <v>86</v>
      </c>
      <c r="P2820" t="s">
        <v>1819</v>
      </c>
      <c r="Q2820" t="s">
        <v>1753</v>
      </c>
    </row>
    <row r="2821" spans="1:18" x14ac:dyDescent="0.25">
      <c r="A2821" t="s">
        <v>6137</v>
      </c>
      <c r="B2821" t="s">
        <v>1907</v>
      </c>
      <c r="C2821" t="s">
        <v>2709</v>
      </c>
      <c r="D2821" t="s">
        <v>6136</v>
      </c>
      <c r="E2821" s="2">
        <v>44677</v>
      </c>
      <c r="F2821">
        <v>934</v>
      </c>
      <c r="G2821" t="s">
        <v>1746</v>
      </c>
      <c r="H2821" t="s">
        <v>1747</v>
      </c>
      <c r="I2821" t="b">
        <v>0</v>
      </c>
      <c r="J2821" t="s">
        <v>1748</v>
      </c>
      <c r="K2821" t="s">
        <v>1884</v>
      </c>
      <c r="L2821" t="s">
        <v>1775</v>
      </c>
      <c r="M2821">
        <v>5</v>
      </c>
      <c r="N2821" t="b">
        <v>0</v>
      </c>
      <c r="P2821" t="s">
        <v>2283</v>
      </c>
      <c r="Q2821" t="s">
        <v>1705</v>
      </c>
    </row>
    <row r="2822" spans="1:18" x14ac:dyDescent="0.25">
      <c r="A2822" t="s">
        <v>6139</v>
      </c>
      <c r="B2822" t="s">
        <v>2393</v>
      </c>
      <c r="C2822" t="s">
        <v>4</v>
      </c>
      <c r="D2822" t="s">
        <v>6138</v>
      </c>
      <c r="E2822" s="2">
        <v>44376</v>
      </c>
      <c r="F2822">
        <v>1235</v>
      </c>
      <c r="G2822" t="s">
        <v>1746</v>
      </c>
      <c r="H2822" t="s">
        <v>1747</v>
      </c>
      <c r="I2822" t="b">
        <v>0</v>
      </c>
      <c r="J2822" t="s">
        <v>1748</v>
      </c>
      <c r="K2822" t="s">
        <v>1755</v>
      </c>
      <c r="L2822" t="s">
        <v>1750</v>
      </c>
      <c r="M2822">
        <v>5</v>
      </c>
      <c r="N2822" t="b">
        <v>1</v>
      </c>
      <c r="O2822">
        <v>99</v>
      </c>
      <c r="P2822" t="s">
        <v>1752</v>
      </c>
      <c r="Q2822" t="s">
        <v>1753</v>
      </c>
    </row>
    <row r="2823" spans="1:18" x14ac:dyDescent="0.25">
      <c r="A2823" t="s">
        <v>6141</v>
      </c>
      <c r="B2823" t="s">
        <v>1704</v>
      </c>
      <c r="C2823" t="s">
        <v>4</v>
      </c>
      <c r="D2823" t="s">
        <v>6140</v>
      </c>
      <c r="E2823" s="2">
        <v>45461</v>
      </c>
      <c r="F2823">
        <v>150</v>
      </c>
      <c r="G2823" t="s">
        <v>1746</v>
      </c>
      <c r="H2823" t="s">
        <v>1798</v>
      </c>
      <c r="I2823" t="b">
        <v>1</v>
      </c>
      <c r="J2823" t="s">
        <v>1748</v>
      </c>
      <c r="K2823" t="s">
        <v>1822</v>
      </c>
      <c r="L2823" t="s">
        <v>1817</v>
      </c>
      <c r="M2823">
        <v>5</v>
      </c>
      <c r="N2823" t="b">
        <v>1</v>
      </c>
      <c r="O2823">
        <v>67</v>
      </c>
      <c r="P2823" t="s">
        <v>1819</v>
      </c>
      <c r="Q2823" t="s">
        <v>1753</v>
      </c>
      <c r="R2823" t="s">
        <v>1759</v>
      </c>
    </row>
    <row r="2824" spans="1:18" x14ac:dyDescent="0.25">
      <c r="A2824" t="s">
        <v>6143</v>
      </c>
      <c r="B2824" t="s">
        <v>2611</v>
      </c>
      <c r="C2824" t="s">
        <v>4</v>
      </c>
      <c r="D2824" t="s">
        <v>6142</v>
      </c>
      <c r="E2824" s="2">
        <v>45594</v>
      </c>
      <c r="F2824">
        <v>17</v>
      </c>
      <c r="G2824" t="s">
        <v>1833</v>
      </c>
      <c r="H2824" t="s">
        <v>1747</v>
      </c>
      <c r="I2824" t="b">
        <v>0</v>
      </c>
      <c r="J2824" t="s">
        <v>1748</v>
      </c>
      <c r="K2824" t="s">
        <v>1880</v>
      </c>
      <c r="L2824" t="s">
        <v>1750</v>
      </c>
      <c r="M2824">
        <v>5</v>
      </c>
      <c r="N2824" t="b">
        <v>0</v>
      </c>
      <c r="P2824" t="s">
        <v>1752</v>
      </c>
      <c r="Q2824" t="s">
        <v>1753</v>
      </c>
    </row>
    <row r="2825" spans="1:18" x14ac:dyDescent="0.25">
      <c r="A2825" t="s">
        <v>6145</v>
      </c>
      <c r="B2825" t="s">
        <v>2483</v>
      </c>
      <c r="C2825" t="s">
        <v>4</v>
      </c>
      <c r="D2825" t="s">
        <v>6144</v>
      </c>
      <c r="E2825" s="2">
        <v>45210</v>
      </c>
      <c r="F2825">
        <v>401</v>
      </c>
      <c r="G2825" t="s">
        <v>1746</v>
      </c>
      <c r="H2825" t="s">
        <v>1798</v>
      </c>
      <c r="I2825" t="b">
        <v>0</v>
      </c>
      <c r="J2825" t="s">
        <v>1748</v>
      </c>
      <c r="K2825" t="s">
        <v>1776</v>
      </c>
      <c r="L2825" t="s">
        <v>1817</v>
      </c>
      <c r="M2825">
        <v>5</v>
      </c>
      <c r="N2825" t="b">
        <v>0</v>
      </c>
      <c r="O2825">
        <v>3489</v>
      </c>
      <c r="P2825" t="s">
        <v>1819</v>
      </c>
      <c r="Q2825" t="s">
        <v>1753</v>
      </c>
      <c r="R2825" t="s">
        <v>1759</v>
      </c>
    </row>
    <row r="2826" spans="1:18" x14ac:dyDescent="0.25">
      <c r="A2826" t="s">
        <v>6147</v>
      </c>
      <c r="B2826" t="s">
        <v>1907</v>
      </c>
      <c r="C2826" t="s">
        <v>4</v>
      </c>
      <c r="D2826" t="s">
        <v>6146</v>
      </c>
      <c r="E2826" s="2">
        <v>44483</v>
      </c>
      <c r="F2826">
        <v>1128</v>
      </c>
      <c r="G2826" t="s">
        <v>1746</v>
      </c>
      <c r="H2826" t="s">
        <v>1798</v>
      </c>
      <c r="I2826" t="b">
        <v>1</v>
      </c>
      <c r="J2826" t="s">
        <v>1748</v>
      </c>
      <c r="K2826" t="s">
        <v>1776</v>
      </c>
      <c r="L2826" t="s">
        <v>1756</v>
      </c>
      <c r="M2826">
        <v>5</v>
      </c>
      <c r="N2826" t="b">
        <v>0</v>
      </c>
      <c r="O2826">
        <v>815</v>
      </c>
      <c r="P2826" t="s">
        <v>1819</v>
      </c>
      <c r="Q2826" t="s">
        <v>1753</v>
      </c>
      <c r="R2826" t="s">
        <v>1759</v>
      </c>
    </row>
    <row r="2827" spans="1:18" x14ac:dyDescent="0.25">
      <c r="A2827" t="s">
        <v>6149</v>
      </c>
      <c r="B2827" t="s">
        <v>2611</v>
      </c>
      <c r="C2827" t="s">
        <v>4</v>
      </c>
      <c r="D2827" t="s">
        <v>6148</v>
      </c>
      <c r="E2827" s="2">
        <v>45594</v>
      </c>
      <c r="F2827">
        <v>17</v>
      </c>
      <c r="G2827" t="s">
        <v>1833</v>
      </c>
      <c r="H2827" t="s">
        <v>1747</v>
      </c>
      <c r="I2827" t="b">
        <v>0</v>
      </c>
      <c r="J2827" t="s">
        <v>1748</v>
      </c>
      <c r="K2827" t="s">
        <v>1880</v>
      </c>
      <c r="L2827" t="s">
        <v>1750</v>
      </c>
      <c r="M2827">
        <v>5</v>
      </c>
      <c r="N2827" t="b">
        <v>0</v>
      </c>
      <c r="P2827" t="s">
        <v>1752</v>
      </c>
      <c r="Q2827" t="s">
        <v>1753</v>
      </c>
    </row>
    <row r="2828" spans="1:18" x14ac:dyDescent="0.25">
      <c r="A2828" t="s">
        <v>6150</v>
      </c>
      <c r="B2828" t="s">
        <v>1860</v>
      </c>
      <c r="C2828" t="s">
        <v>4</v>
      </c>
      <c r="D2828" t="s">
        <v>1218</v>
      </c>
      <c r="E2828" s="2">
        <v>44264</v>
      </c>
      <c r="F2828">
        <v>1347</v>
      </c>
      <c r="G2828" t="s">
        <v>1746</v>
      </c>
      <c r="H2828" t="s">
        <v>1798</v>
      </c>
      <c r="I2828" t="b">
        <v>0</v>
      </c>
      <c r="J2828" t="s">
        <v>1748</v>
      </c>
      <c r="K2828" t="s">
        <v>1824</v>
      </c>
      <c r="L2828" t="s">
        <v>1750</v>
      </c>
      <c r="M2828">
        <v>5</v>
      </c>
      <c r="N2828" t="b">
        <v>1</v>
      </c>
      <c r="O2828">
        <v>253</v>
      </c>
      <c r="P2828" t="s">
        <v>1752</v>
      </c>
      <c r="Q2828" t="s">
        <v>1753</v>
      </c>
      <c r="R2828" t="s">
        <v>1828</v>
      </c>
    </row>
    <row r="2829" spans="1:18" x14ac:dyDescent="0.25">
      <c r="A2829" t="s">
        <v>6152</v>
      </c>
      <c r="B2829" t="s">
        <v>1704</v>
      </c>
      <c r="C2829" t="s">
        <v>4</v>
      </c>
      <c r="D2829" t="s">
        <v>6151</v>
      </c>
      <c r="E2829" s="2">
        <v>45525</v>
      </c>
      <c r="F2829">
        <v>86</v>
      </c>
      <c r="G2829" t="s">
        <v>1746</v>
      </c>
      <c r="H2829" t="s">
        <v>1798</v>
      </c>
      <c r="I2829" t="b">
        <v>1</v>
      </c>
      <c r="J2829" t="s">
        <v>1748</v>
      </c>
      <c r="K2829" t="s">
        <v>1822</v>
      </c>
      <c r="L2829" t="s">
        <v>1750</v>
      </c>
      <c r="M2829">
        <v>5</v>
      </c>
      <c r="N2829" t="b">
        <v>0</v>
      </c>
      <c r="O2829">
        <v>103</v>
      </c>
      <c r="P2829" t="s">
        <v>1752</v>
      </c>
      <c r="Q2829" t="s">
        <v>1753</v>
      </c>
    </row>
    <row r="2830" spans="1:18" x14ac:dyDescent="0.25">
      <c r="A2830" t="s">
        <v>6154</v>
      </c>
      <c r="B2830" t="s">
        <v>2857</v>
      </c>
      <c r="C2830" t="s">
        <v>6</v>
      </c>
      <c r="D2830" t="s">
        <v>6153</v>
      </c>
      <c r="E2830" s="2">
        <v>44014</v>
      </c>
      <c r="F2830">
        <v>1597</v>
      </c>
      <c r="G2830" t="s">
        <v>1746</v>
      </c>
      <c r="H2830" t="s">
        <v>1798</v>
      </c>
      <c r="I2830" t="b">
        <v>0</v>
      </c>
      <c r="J2830" t="s">
        <v>1761</v>
      </c>
      <c r="K2830" t="s">
        <v>1868</v>
      </c>
      <c r="L2830" t="s">
        <v>1766</v>
      </c>
      <c r="M2830">
        <v>5</v>
      </c>
      <c r="N2830" t="b">
        <v>0</v>
      </c>
      <c r="P2830" t="s">
        <v>1752</v>
      </c>
      <c r="Q2830" t="s">
        <v>1753</v>
      </c>
      <c r="R2830" t="s">
        <v>4083</v>
      </c>
    </row>
    <row r="2831" spans="1:18" x14ac:dyDescent="0.25">
      <c r="A2831" t="s">
        <v>6155</v>
      </c>
      <c r="B2831" t="s">
        <v>2220</v>
      </c>
      <c r="C2831" t="s">
        <v>4</v>
      </c>
      <c r="D2831" t="s">
        <v>224</v>
      </c>
      <c r="E2831" s="2">
        <v>42752</v>
      </c>
      <c r="F2831">
        <v>2859</v>
      </c>
      <c r="G2831" t="s">
        <v>1746</v>
      </c>
      <c r="H2831" t="s">
        <v>1747</v>
      </c>
      <c r="I2831" t="b">
        <v>0</v>
      </c>
      <c r="J2831" t="s">
        <v>1748</v>
      </c>
      <c r="K2831" t="s">
        <v>1757</v>
      </c>
      <c r="L2831" t="s">
        <v>1750</v>
      </c>
      <c r="M2831">
        <v>5</v>
      </c>
      <c r="N2831" t="b">
        <v>0</v>
      </c>
      <c r="O2831">
        <v>39</v>
      </c>
      <c r="P2831" t="s">
        <v>1752</v>
      </c>
      <c r="Q2831" t="s">
        <v>1753</v>
      </c>
      <c r="R2831" t="s">
        <v>1759</v>
      </c>
    </row>
    <row r="2832" spans="1:18" x14ac:dyDescent="0.25">
      <c r="A2832" t="s">
        <v>6156</v>
      </c>
      <c r="B2832" t="s">
        <v>2353</v>
      </c>
      <c r="C2832" t="s">
        <v>6</v>
      </c>
      <c r="D2832" t="s">
        <v>1141</v>
      </c>
      <c r="E2832" s="2">
        <v>44260</v>
      </c>
      <c r="F2832">
        <v>1351</v>
      </c>
      <c r="G2832" t="s">
        <v>1746</v>
      </c>
      <c r="H2832" t="s">
        <v>1798</v>
      </c>
      <c r="I2832" t="b">
        <v>1</v>
      </c>
      <c r="J2832" t="s">
        <v>1748</v>
      </c>
      <c r="K2832" t="s">
        <v>1868</v>
      </c>
      <c r="L2832" t="s">
        <v>1750</v>
      </c>
      <c r="M2832">
        <v>5</v>
      </c>
      <c r="N2832" t="b">
        <v>0</v>
      </c>
      <c r="O2832">
        <v>100</v>
      </c>
      <c r="P2832" t="s">
        <v>1752</v>
      </c>
      <c r="Q2832" t="s">
        <v>1753</v>
      </c>
    </row>
    <row r="2833" spans="1:18" x14ac:dyDescent="0.25">
      <c r="A2833" t="s">
        <v>6158</v>
      </c>
      <c r="B2833" t="s">
        <v>1907</v>
      </c>
      <c r="C2833" t="s">
        <v>186</v>
      </c>
      <c r="D2833" t="s">
        <v>6157</v>
      </c>
      <c r="E2833" s="2">
        <v>44733</v>
      </c>
      <c r="F2833">
        <v>878</v>
      </c>
      <c r="G2833" t="s">
        <v>1746</v>
      </c>
      <c r="H2833" t="s">
        <v>1747</v>
      </c>
      <c r="I2833" t="b">
        <v>0</v>
      </c>
      <c r="J2833" t="s">
        <v>1748</v>
      </c>
      <c r="K2833" t="s">
        <v>1799</v>
      </c>
      <c r="L2833" t="s">
        <v>1775</v>
      </c>
      <c r="M2833">
        <v>5</v>
      </c>
      <c r="N2833" t="b">
        <v>0</v>
      </c>
      <c r="P2833" t="s">
        <v>2283</v>
      </c>
      <c r="Q2833" t="s">
        <v>1705</v>
      </c>
    </row>
    <row r="2834" spans="1:18" x14ac:dyDescent="0.25">
      <c r="A2834" t="s">
        <v>6159</v>
      </c>
      <c r="B2834" t="s">
        <v>1876</v>
      </c>
      <c r="C2834" t="s">
        <v>4</v>
      </c>
      <c r="D2834" t="s">
        <v>1243</v>
      </c>
      <c r="E2834" s="2">
        <v>44806</v>
      </c>
      <c r="F2834">
        <v>805</v>
      </c>
      <c r="G2834" t="s">
        <v>1746</v>
      </c>
      <c r="H2834" t="s">
        <v>1747</v>
      </c>
      <c r="I2834" t="b">
        <v>0</v>
      </c>
      <c r="J2834" t="s">
        <v>1748</v>
      </c>
      <c r="K2834" t="s">
        <v>1880</v>
      </c>
      <c r="L2834" t="s">
        <v>1750</v>
      </c>
      <c r="M2834">
        <v>5</v>
      </c>
      <c r="N2834" t="b">
        <v>1</v>
      </c>
      <c r="O2834">
        <v>53</v>
      </c>
      <c r="P2834" t="s">
        <v>1752</v>
      </c>
      <c r="Q2834" t="s">
        <v>1753</v>
      </c>
      <c r="R2834" t="s">
        <v>1759</v>
      </c>
    </row>
    <row r="2835" spans="1:18" x14ac:dyDescent="0.25">
      <c r="A2835" t="s">
        <v>6161</v>
      </c>
      <c r="B2835" t="s">
        <v>2144</v>
      </c>
      <c r="C2835" t="s">
        <v>186</v>
      </c>
      <c r="D2835" t="s">
        <v>6160</v>
      </c>
      <c r="E2835" s="2">
        <v>44628</v>
      </c>
      <c r="F2835">
        <v>983</v>
      </c>
      <c r="G2835" t="s">
        <v>1746</v>
      </c>
      <c r="H2835" t="s">
        <v>1747</v>
      </c>
      <c r="I2835" t="b">
        <v>0</v>
      </c>
      <c r="J2835" t="s">
        <v>1748</v>
      </c>
      <c r="K2835" t="s">
        <v>1799</v>
      </c>
      <c r="L2835" t="s">
        <v>1775</v>
      </c>
      <c r="M2835">
        <v>5</v>
      </c>
      <c r="N2835" t="b">
        <v>0</v>
      </c>
      <c r="P2835" t="s">
        <v>2283</v>
      </c>
      <c r="Q2835" t="s">
        <v>1705</v>
      </c>
    </row>
    <row r="2836" spans="1:18" x14ac:dyDescent="0.25">
      <c r="A2836" t="s">
        <v>6162</v>
      </c>
      <c r="B2836" t="s">
        <v>1876</v>
      </c>
      <c r="C2836" t="s">
        <v>4</v>
      </c>
      <c r="D2836" t="s">
        <v>1267</v>
      </c>
      <c r="E2836" s="2">
        <v>44736</v>
      </c>
      <c r="F2836">
        <v>875</v>
      </c>
      <c r="G2836" t="s">
        <v>1746</v>
      </c>
      <c r="H2836" t="s">
        <v>1747</v>
      </c>
      <c r="I2836" t="b">
        <v>0</v>
      </c>
      <c r="J2836" t="s">
        <v>1748</v>
      </c>
      <c r="K2836" t="s">
        <v>1856</v>
      </c>
      <c r="L2836" t="s">
        <v>1750</v>
      </c>
      <c r="M2836">
        <v>5</v>
      </c>
      <c r="N2836" t="b">
        <v>1</v>
      </c>
      <c r="O2836">
        <v>35</v>
      </c>
      <c r="P2836" t="s">
        <v>1752</v>
      </c>
      <c r="Q2836" t="s">
        <v>1753</v>
      </c>
      <c r="R2836" t="s">
        <v>1759</v>
      </c>
    </row>
    <row r="2837" spans="1:18" x14ac:dyDescent="0.25">
      <c r="A2837" t="s">
        <v>6163</v>
      </c>
      <c r="B2837" t="s">
        <v>1768</v>
      </c>
      <c r="C2837" t="s">
        <v>4</v>
      </c>
      <c r="D2837" t="s">
        <v>1015</v>
      </c>
      <c r="E2837" s="2">
        <v>44671</v>
      </c>
      <c r="F2837">
        <v>940</v>
      </c>
      <c r="G2837" t="s">
        <v>1746</v>
      </c>
      <c r="H2837" t="s">
        <v>1747</v>
      </c>
      <c r="I2837" t="b">
        <v>0</v>
      </c>
      <c r="J2837" t="s">
        <v>1748</v>
      </c>
      <c r="K2837" t="s">
        <v>1755</v>
      </c>
      <c r="L2837" t="s">
        <v>1750</v>
      </c>
      <c r="M2837">
        <v>5</v>
      </c>
      <c r="N2837" t="b">
        <v>1</v>
      </c>
      <c r="O2837">
        <v>809</v>
      </c>
      <c r="P2837" t="s">
        <v>1752</v>
      </c>
      <c r="Q2837" t="s">
        <v>1753</v>
      </c>
      <c r="R2837" t="s">
        <v>1759</v>
      </c>
    </row>
    <row r="2838" spans="1:18" x14ac:dyDescent="0.25">
      <c r="A2838" t="s">
        <v>6164</v>
      </c>
      <c r="B2838" t="s">
        <v>1876</v>
      </c>
      <c r="C2838" t="s">
        <v>4</v>
      </c>
      <c r="D2838" t="s">
        <v>275</v>
      </c>
      <c r="E2838" s="2">
        <v>44811</v>
      </c>
      <c r="F2838">
        <v>800</v>
      </c>
      <c r="G2838" t="s">
        <v>1746</v>
      </c>
      <c r="H2838" t="s">
        <v>1747</v>
      </c>
      <c r="I2838" t="b">
        <v>0</v>
      </c>
      <c r="J2838" t="s">
        <v>1748</v>
      </c>
      <c r="K2838" t="s">
        <v>1868</v>
      </c>
      <c r="L2838" t="s">
        <v>1750</v>
      </c>
      <c r="M2838">
        <v>5</v>
      </c>
      <c r="N2838" t="b">
        <v>0</v>
      </c>
      <c r="O2838">
        <v>45</v>
      </c>
      <c r="P2838" t="s">
        <v>1752</v>
      </c>
      <c r="Q2838" t="s">
        <v>1753</v>
      </c>
      <c r="R2838" t="s">
        <v>1759</v>
      </c>
    </row>
    <row r="2839" spans="1:18" x14ac:dyDescent="0.25">
      <c r="A2839" t="s">
        <v>6165</v>
      </c>
      <c r="B2839" t="s">
        <v>1876</v>
      </c>
      <c r="C2839" t="s">
        <v>4</v>
      </c>
      <c r="D2839" t="s">
        <v>1238</v>
      </c>
      <c r="E2839" s="2">
        <v>44897</v>
      </c>
      <c r="F2839">
        <v>714</v>
      </c>
      <c r="G2839" t="s">
        <v>1746</v>
      </c>
      <c r="H2839" t="s">
        <v>1747</v>
      </c>
      <c r="I2839" t="b">
        <v>0</v>
      </c>
      <c r="J2839" t="s">
        <v>1748</v>
      </c>
      <c r="K2839" t="s">
        <v>1913</v>
      </c>
      <c r="L2839" t="s">
        <v>1750</v>
      </c>
      <c r="M2839">
        <v>5</v>
      </c>
      <c r="N2839" t="b">
        <v>1</v>
      </c>
      <c r="O2839">
        <v>25</v>
      </c>
      <c r="P2839" t="s">
        <v>1752</v>
      </c>
      <c r="Q2839" t="s">
        <v>1753</v>
      </c>
    </row>
    <row r="2840" spans="1:18" x14ac:dyDescent="0.25">
      <c r="A2840" t="s">
        <v>6166</v>
      </c>
      <c r="B2840" t="s">
        <v>2353</v>
      </c>
      <c r="C2840" t="s">
        <v>4</v>
      </c>
      <c r="D2840" t="s">
        <v>1409</v>
      </c>
      <c r="E2840" s="2">
        <v>45005</v>
      </c>
      <c r="F2840">
        <v>606</v>
      </c>
      <c r="G2840" t="s">
        <v>1746</v>
      </c>
      <c r="H2840" t="s">
        <v>1798</v>
      </c>
      <c r="I2840" t="b">
        <v>0</v>
      </c>
      <c r="J2840" t="s">
        <v>1748</v>
      </c>
      <c r="K2840" t="s">
        <v>1857</v>
      </c>
      <c r="L2840" t="s">
        <v>1756</v>
      </c>
      <c r="M2840">
        <v>5</v>
      </c>
      <c r="N2840" t="b">
        <v>1</v>
      </c>
      <c r="O2840">
        <v>585</v>
      </c>
      <c r="P2840" t="s">
        <v>1752</v>
      </c>
      <c r="Q2840" t="s">
        <v>1753</v>
      </c>
      <c r="R2840" t="s">
        <v>1759</v>
      </c>
    </row>
    <row r="2841" spans="1:18" x14ac:dyDescent="0.25">
      <c r="A2841" t="s">
        <v>6168</v>
      </c>
      <c r="B2841" t="s">
        <v>1803</v>
      </c>
      <c r="C2841" t="s">
        <v>4</v>
      </c>
      <c r="D2841" t="s">
        <v>6167</v>
      </c>
      <c r="E2841" s="2">
        <v>40001</v>
      </c>
      <c r="F2841">
        <v>5610</v>
      </c>
      <c r="G2841" t="s">
        <v>1746</v>
      </c>
      <c r="H2841" t="s">
        <v>1798</v>
      </c>
      <c r="I2841" t="b">
        <v>0</v>
      </c>
      <c r="J2841" t="s">
        <v>1748</v>
      </c>
      <c r="K2841" t="s">
        <v>1755</v>
      </c>
      <c r="L2841" t="s">
        <v>1766</v>
      </c>
      <c r="M2841">
        <v>5</v>
      </c>
      <c r="N2841" t="b">
        <v>0</v>
      </c>
      <c r="P2841" t="s">
        <v>1752</v>
      </c>
      <c r="Q2841" t="s">
        <v>1753</v>
      </c>
      <c r="R2841" t="s">
        <v>1828</v>
      </c>
    </row>
    <row r="2842" spans="1:18" x14ac:dyDescent="0.25">
      <c r="A2842" t="s">
        <v>6169</v>
      </c>
      <c r="B2842" t="s">
        <v>1876</v>
      </c>
      <c r="C2842" t="s">
        <v>4</v>
      </c>
      <c r="D2842" t="s">
        <v>1239</v>
      </c>
      <c r="E2842" s="2">
        <v>44855</v>
      </c>
      <c r="F2842">
        <v>756</v>
      </c>
      <c r="G2842" t="s">
        <v>1746</v>
      </c>
      <c r="H2842" t="s">
        <v>1747</v>
      </c>
      <c r="I2842" t="b">
        <v>0</v>
      </c>
      <c r="J2842" t="s">
        <v>1748</v>
      </c>
      <c r="K2842" t="s">
        <v>2021</v>
      </c>
      <c r="L2842" t="s">
        <v>1750</v>
      </c>
      <c r="M2842">
        <v>5</v>
      </c>
      <c r="N2842" t="b">
        <v>1</v>
      </c>
      <c r="O2842">
        <v>25</v>
      </c>
      <c r="P2842" t="s">
        <v>1752</v>
      </c>
      <c r="Q2842" t="s">
        <v>1753</v>
      </c>
      <c r="R2842" t="s">
        <v>1759</v>
      </c>
    </row>
    <row r="2843" spans="1:18" x14ac:dyDescent="0.25">
      <c r="A2843" t="s">
        <v>6171</v>
      </c>
      <c r="B2843" t="s">
        <v>2494</v>
      </c>
      <c r="C2843" t="s">
        <v>6</v>
      </c>
      <c r="D2843" t="s">
        <v>6170</v>
      </c>
      <c r="E2843" s="2">
        <v>42152</v>
      </c>
      <c r="F2843">
        <v>3459</v>
      </c>
      <c r="G2843" t="s">
        <v>1746</v>
      </c>
      <c r="H2843" t="s">
        <v>1805</v>
      </c>
      <c r="I2843" t="b">
        <v>0</v>
      </c>
      <c r="J2843" t="s">
        <v>1748</v>
      </c>
      <c r="K2843" t="s">
        <v>1770</v>
      </c>
      <c r="L2843" t="s">
        <v>1766</v>
      </c>
      <c r="M2843">
        <v>5</v>
      </c>
      <c r="N2843" t="b">
        <v>0</v>
      </c>
      <c r="P2843" t="s">
        <v>1752</v>
      </c>
      <c r="Q2843" t="s">
        <v>1753</v>
      </c>
    </row>
    <row r="2844" spans="1:18" x14ac:dyDescent="0.25">
      <c r="A2844" t="s">
        <v>6173</v>
      </c>
      <c r="B2844" t="s">
        <v>3117</v>
      </c>
      <c r="C2844" t="s">
        <v>4</v>
      </c>
      <c r="D2844" t="s">
        <v>6172</v>
      </c>
      <c r="E2844" s="2">
        <v>45454</v>
      </c>
      <c r="F2844">
        <v>157</v>
      </c>
      <c r="G2844" t="s">
        <v>1746</v>
      </c>
      <c r="H2844" t="s">
        <v>1747</v>
      </c>
      <c r="I2844" t="b">
        <v>0</v>
      </c>
      <c r="J2844" t="s">
        <v>1748</v>
      </c>
      <c r="K2844" t="s">
        <v>1749</v>
      </c>
      <c r="L2844" t="s">
        <v>1750</v>
      </c>
      <c r="M2844">
        <v>5</v>
      </c>
      <c r="N2844" t="b">
        <v>1</v>
      </c>
      <c r="O2844">
        <v>292</v>
      </c>
      <c r="P2844" t="s">
        <v>1752</v>
      </c>
      <c r="Q2844" t="s">
        <v>1753</v>
      </c>
    </row>
    <row r="2845" spans="1:18" x14ac:dyDescent="0.25">
      <c r="A2845" t="s">
        <v>6175</v>
      </c>
      <c r="B2845" t="s">
        <v>1704</v>
      </c>
      <c r="C2845" t="s">
        <v>6</v>
      </c>
      <c r="D2845" t="s">
        <v>6174</v>
      </c>
      <c r="E2845" s="2">
        <v>45182</v>
      </c>
      <c r="F2845">
        <v>429</v>
      </c>
      <c r="G2845" t="s">
        <v>1833</v>
      </c>
      <c r="H2845" t="s">
        <v>1798</v>
      </c>
      <c r="I2845" t="b">
        <v>0</v>
      </c>
      <c r="J2845" t="s">
        <v>1748</v>
      </c>
      <c r="K2845" t="s">
        <v>1974</v>
      </c>
      <c r="L2845" t="s">
        <v>1750</v>
      </c>
      <c r="M2845">
        <v>5</v>
      </c>
      <c r="N2845" t="b">
        <v>1</v>
      </c>
      <c r="P2845" t="s">
        <v>1752</v>
      </c>
      <c r="Q2845" t="s">
        <v>1753</v>
      </c>
      <c r="R2845" t="s">
        <v>1759</v>
      </c>
    </row>
    <row r="2846" spans="1:18" x14ac:dyDescent="0.25">
      <c r="A2846" t="s">
        <v>6177</v>
      </c>
      <c r="B2846" t="s">
        <v>2173</v>
      </c>
      <c r="C2846" t="s">
        <v>4</v>
      </c>
      <c r="D2846" t="s">
        <v>6176</v>
      </c>
      <c r="E2846" s="2">
        <v>43088</v>
      </c>
      <c r="F2846">
        <v>2523</v>
      </c>
      <c r="G2846" t="s">
        <v>1746</v>
      </c>
      <c r="H2846" t="s">
        <v>1747</v>
      </c>
      <c r="I2846" t="b">
        <v>0</v>
      </c>
      <c r="J2846" t="s">
        <v>1748</v>
      </c>
      <c r="K2846" t="s">
        <v>1891</v>
      </c>
      <c r="L2846" t="s">
        <v>1750</v>
      </c>
      <c r="M2846">
        <v>5</v>
      </c>
      <c r="N2846" t="b">
        <v>1</v>
      </c>
      <c r="O2846">
        <v>114</v>
      </c>
      <c r="P2846" t="s">
        <v>1752</v>
      </c>
      <c r="Q2846" t="s">
        <v>1753</v>
      </c>
      <c r="R2846" t="s">
        <v>1759</v>
      </c>
    </row>
    <row r="2847" spans="1:18" x14ac:dyDescent="0.25">
      <c r="A2847" t="s">
        <v>6179</v>
      </c>
      <c r="B2847" t="s">
        <v>2173</v>
      </c>
      <c r="C2847" t="s">
        <v>6</v>
      </c>
      <c r="D2847" t="s">
        <v>6178</v>
      </c>
      <c r="E2847" s="2">
        <v>44692</v>
      </c>
      <c r="F2847">
        <v>919</v>
      </c>
      <c r="G2847" t="s">
        <v>1746</v>
      </c>
      <c r="H2847" t="s">
        <v>2231</v>
      </c>
      <c r="I2847" t="b">
        <v>0</v>
      </c>
      <c r="J2847" t="s">
        <v>1748</v>
      </c>
      <c r="K2847" t="s">
        <v>1824</v>
      </c>
      <c r="L2847" t="s">
        <v>1817</v>
      </c>
      <c r="M2847">
        <v>5</v>
      </c>
      <c r="N2847" t="b">
        <v>1</v>
      </c>
      <c r="O2847">
        <v>401</v>
      </c>
      <c r="P2847" t="s">
        <v>1819</v>
      </c>
      <c r="Q2847" t="s">
        <v>1753</v>
      </c>
      <c r="R2847" t="s">
        <v>1759</v>
      </c>
    </row>
    <row r="2848" spans="1:18" x14ac:dyDescent="0.25">
      <c r="A2848" t="s">
        <v>6180</v>
      </c>
      <c r="B2848" t="s">
        <v>1881</v>
      </c>
      <c r="C2848" t="s">
        <v>4</v>
      </c>
      <c r="D2848" t="s">
        <v>1210</v>
      </c>
      <c r="E2848" s="2">
        <v>42348</v>
      </c>
      <c r="F2848">
        <v>3263</v>
      </c>
      <c r="G2848" t="s">
        <v>1746</v>
      </c>
      <c r="H2848" t="s">
        <v>1798</v>
      </c>
      <c r="I2848" t="b">
        <v>1</v>
      </c>
      <c r="J2848" t="s">
        <v>1748</v>
      </c>
      <c r="K2848" t="s">
        <v>1943</v>
      </c>
      <c r="L2848" t="s">
        <v>1750</v>
      </c>
      <c r="M2848">
        <v>5</v>
      </c>
      <c r="N2848" t="b">
        <v>0</v>
      </c>
      <c r="O2848">
        <v>179</v>
      </c>
      <c r="P2848" t="s">
        <v>1752</v>
      </c>
      <c r="Q2848" t="s">
        <v>1753</v>
      </c>
    </row>
    <row r="2849" spans="1:18" x14ac:dyDescent="0.25">
      <c r="A2849" t="s">
        <v>6182</v>
      </c>
      <c r="B2849" t="s">
        <v>1704</v>
      </c>
      <c r="C2849" t="s">
        <v>6</v>
      </c>
      <c r="D2849" t="s">
        <v>6181</v>
      </c>
      <c r="E2849" s="2">
        <v>45181</v>
      </c>
      <c r="F2849">
        <v>430</v>
      </c>
      <c r="G2849" t="s">
        <v>1746</v>
      </c>
      <c r="H2849" t="s">
        <v>1798</v>
      </c>
      <c r="I2849" t="b">
        <v>1</v>
      </c>
      <c r="J2849" t="s">
        <v>1748</v>
      </c>
      <c r="K2849" t="s">
        <v>1749</v>
      </c>
      <c r="L2849" t="s">
        <v>1756</v>
      </c>
      <c r="M2849">
        <v>5</v>
      </c>
      <c r="N2849" t="b">
        <v>0</v>
      </c>
      <c r="O2849">
        <v>39</v>
      </c>
      <c r="P2849" t="s">
        <v>1819</v>
      </c>
      <c r="Q2849" t="s">
        <v>1753</v>
      </c>
      <c r="R2849" t="s">
        <v>1828</v>
      </c>
    </row>
    <row r="2850" spans="1:18" x14ac:dyDescent="0.25">
      <c r="A2850" t="s">
        <v>6184</v>
      </c>
      <c r="B2850" t="s">
        <v>2662</v>
      </c>
      <c r="C2850" t="s">
        <v>4</v>
      </c>
      <c r="D2850" t="s">
        <v>6183</v>
      </c>
      <c r="E2850" s="2">
        <v>45007</v>
      </c>
      <c r="F2850">
        <v>604</v>
      </c>
      <c r="G2850" t="s">
        <v>1746</v>
      </c>
      <c r="H2850" t="s">
        <v>1747</v>
      </c>
      <c r="I2850" t="b">
        <v>1</v>
      </c>
      <c r="J2850" t="s">
        <v>1748</v>
      </c>
      <c r="K2850" t="s">
        <v>1776</v>
      </c>
      <c r="L2850" t="s">
        <v>1817</v>
      </c>
      <c r="M2850">
        <v>4</v>
      </c>
      <c r="N2850" t="b">
        <v>0</v>
      </c>
      <c r="O2850">
        <v>508</v>
      </c>
      <c r="P2850" t="s">
        <v>1819</v>
      </c>
      <c r="Q2850" t="s">
        <v>1753</v>
      </c>
      <c r="R2850" t="s">
        <v>1759</v>
      </c>
    </row>
    <row r="2851" spans="1:18" x14ac:dyDescent="0.25">
      <c r="A2851" t="s">
        <v>6186</v>
      </c>
      <c r="B2851" t="s">
        <v>1704</v>
      </c>
      <c r="C2851" t="s">
        <v>1249</v>
      </c>
      <c r="D2851" t="s">
        <v>6185</v>
      </c>
      <c r="E2851" s="2">
        <v>42615</v>
      </c>
      <c r="F2851">
        <v>2996</v>
      </c>
      <c r="G2851" t="s">
        <v>1746</v>
      </c>
      <c r="H2851" t="s">
        <v>1747</v>
      </c>
      <c r="I2851" t="b">
        <v>0</v>
      </c>
      <c r="J2851" t="s">
        <v>1748</v>
      </c>
      <c r="K2851" t="s">
        <v>1813</v>
      </c>
      <c r="L2851" t="s">
        <v>2102</v>
      </c>
      <c r="M2851">
        <v>4</v>
      </c>
      <c r="N2851" t="b">
        <v>0</v>
      </c>
      <c r="P2851" t="s">
        <v>2070</v>
      </c>
      <c r="Q2851" t="s">
        <v>1779</v>
      </c>
    </row>
    <row r="2852" spans="1:18" x14ac:dyDescent="0.25">
      <c r="A2852" t="s">
        <v>6187</v>
      </c>
      <c r="B2852" t="s">
        <v>2353</v>
      </c>
      <c r="C2852" t="s">
        <v>4</v>
      </c>
      <c r="D2852" t="s">
        <v>1094</v>
      </c>
      <c r="E2852" s="2">
        <v>44126</v>
      </c>
      <c r="F2852">
        <v>1485</v>
      </c>
      <c r="G2852" t="s">
        <v>1746</v>
      </c>
      <c r="H2852" t="s">
        <v>1798</v>
      </c>
      <c r="I2852" t="b">
        <v>0</v>
      </c>
      <c r="J2852" t="s">
        <v>1748</v>
      </c>
      <c r="K2852" t="s">
        <v>1808</v>
      </c>
      <c r="L2852" t="s">
        <v>2102</v>
      </c>
      <c r="M2852">
        <v>4</v>
      </c>
      <c r="N2852" t="b">
        <v>0</v>
      </c>
      <c r="P2852" t="s">
        <v>1819</v>
      </c>
      <c r="Q2852" t="s">
        <v>1753</v>
      </c>
    </row>
    <row r="2853" spans="1:18" x14ac:dyDescent="0.25">
      <c r="A2853" t="s">
        <v>6189</v>
      </c>
      <c r="B2853" t="s">
        <v>2085</v>
      </c>
      <c r="C2853" t="s">
        <v>4</v>
      </c>
      <c r="D2853" t="s">
        <v>6188</v>
      </c>
      <c r="E2853" s="2">
        <v>43154</v>
      </c>
      <c r="F2853">
        <v>2457</v>
      </c>
      <c r="G2853" t="s">
        <v>1746</v>
      </c>
      <c r="H2853" t="s">
        <v>1798</v>
      </c>
      <c r="I2853" t="b">
        <v>1</v>
      </c>
      <c r="J2853" t="s">
        <v>1761</v>
      </c>
      <c r="K2853" t="s">
        <v>1856</v>
      </c>
      <c r="L2853" t="s">
        <v>1756</v>
      </c>
      <c r="M2853">
        <v>4</v>
      </c>
      <c r="N2853" t="b">
        <v>0</v>
      </c>
      <c r="O2853">
        <v>161</v>
      </c>
      <c r="P2853" t="s">
        <v>1752</v>
      </c>
      <c r="Q2853" t="s">
        <v>1753</v>
      </c>
      <c r="R2853" t="s">
        <v>1828</v>
      </c>
    </row>
    <row r="2854" spans="1:18" x14ac:dyDescent="0.25">
      <c r="A2854" t="s">
        <v>6191</v>
      </c>
      <c r="B2854" t="s">
        <v>2494</v>
      </c>
      <c r="C2854" t="s">
        <v>6</v>
      </c>
      <c r="D2854" t="s">
        <v>6190</v>
      </c>
      <c r="E2854" s="2">
        <v>40346</v>
      </c>
      <c r="F2854">
        <v>5265</v>
      </c>
      <c r="G2854" t="s">
        <v>1746</v>
      </c>
      <c r="H2854" t="s">
        <v>1747</v>
      </c>
      <c r="I2854" t="b">
        <v>0</v>
      </c>
      <c r="J2854" t="s">
        <v>1748</v>
      </c>
      <c r="K2854" t="s">
        <v>1913</v>
      </c>
      <c r="L2854" t="s">
        <v>1750</v>
      </c>
      <c r="M2854">
        <v>4</v>
      </c>
      <c r="N2854" t="b">
        <v>1</v>
      </c>
      <c r="O2854">
        <v>89</v>
      </c>
      <c r="P2854" t="s">
        <v>1752</v>
      </c>
      <c r="Q2854" t="s">
        <v>1753</v>
      </c>
    </row>
    <row r="2855" spans="1:18" x14ac:dyDescent="0.25">
      <c r="A2855" t="s">
        <v>6192</v>
      </c>
      <c r="B2855" t="s">
        <v>1876</v>
      </c>
      <c r="C2855" t="s">
        <v>6</v>
      </c>
      <c r="D2855" t="s">
        <v>1508</v>
      </c>
      <c r="E2855" s="2">
        <v>44537</v>
      </c>
      <c r="F2855">
        <v>1074</v>
      </c>
      <c r="G2855" t="s">
        <v>1746</v>
      </c>
      <c r="H2855" t="s">
        <v>1798</v>
      </c>
      <c r="I2855" t="b">
        <v>0</v>
      </c>
      <c r="J2855" t="s">
        <v>1761</v>
      </c>
      <c r="K2855" t="s">
        <v>1755</v>
      </c>
      <c r="L2855" t="s">
        <v>1756</v>
      </c>
      <c r="M2855">
        <v>4</v>
      </c>
      <c r="N2855" t="b">
        <v>1</v>
      </c>
      <c r="O2855">
        <v>1024</v>
      </c>
      <c r="P2855" t="s">
        <v>1819</v>
      </c>
      <c r="Q2855" t="s">
        <v>1753</v>
      </c>
      <c r="R2855" t="s">
        <v>1759</v>
      </c>
    </row>
    <row r="2856" spans="1:18" x14ac:dyDescent="0.25">
      <c r="A2856" t="s">
        <v>6194</v>
      </c>
      <c r="B2856" t="s">
        <v>2150</v>
      </c>
      <c r="C2856" t="s">
        <v>4</v>
      </c>
      <c r="D2856" t="s">
        <v>6193</v>
      </c>
      <c r="E2856" s="2">
        <v>44607</v>
      </c>
      <c r="F2856">
        <v>1004</v>
      </c>
      <c r="G2856" t="s">
        <v>1833</v>
      </c>
      <c r="H2856" t="s">
        <v>1747</v>
      </c>
      <c r="I2856" t="b">
        <v>0</v>
      </c>
      <c r="J2856" t="s">
        <v>1761</v>
      </c>
      <c r="K2856" t="s">
        <v>1853</v>
      </c>
      <c r="L2856" t="s">
        <v>1750</v>
      </c>
      <c r="M2856">
        <v>4</v>
      </c>
      <c r="N2856" t="b">
        <v>1</v>
      </c>
      <c r="O2856">
        <v>358</v>
      </c>
      <c r="P2856" t="s">
        <v>1752</v>
      </c>
      <c r="Q2856" t="s">
        <v>1753</v>
      </c>
      <c r="R2856" t="s">
        <v>2028</v>
      </c>
    </row>
    <row r="2857" spans="1:18" x14ac:dyDescent="0.25">
      <c r="A2857" t="s">
        <v>6196</v>
      </c>
      <c r="B2857" t="s">
        <v>2277</v>
      </c>
      <c r="C2857" t="s">
        <v>4</v>
      </c>
      <c r="D2857" t="s">
        <v>6195</v>
      </c>
      <c r="E2857" s="2">
        <v>45568</v>
      </c>
      <c r="F2857">
        <v>43</v>
      </c>
      <c r="G2857" t="s">
        <v>1746</v>
      </c>
      <c r="H2857" t="s">
        <v>1747</v>
      </c>
      <c r="I2857" t="b">
        <v>0</v>
      </c>
      <c r="J2857" t="s">
        <v>1748</v>
      </c>
      <c r="K2857" t="s">
        <v>1755</v>
      </c>
      <c r="L2857" t="s">
        <v>2102</v>
      </c>
      <c r="M2857">
        <v>4</v>
      </c>
      <c r="N2857" t="b">
        <v>0</v>
      </c>
      <c r="P2857" t="s">
        <v>1752</v>
      </c>
      <c r="Q2857" t="s">
        <v>1753</v>
      </c>
    </row>
    <row r="2858" spans="1:18" x14ac:dyDescent="0.25">
      <c r="A2858" t="s">
        <v>6197</v>
      </c>
      <c r="B2858" t="s">
        <v>2997</v>
      </c>
      <c r="C2858" t="s">
        <v>6</v>
      </c>
      <c r="D2858" t="s">
        <v>883</v>
      </c>
      <c r="E2858" s="2">
        <v>44692</v>
      </c>
      <c r="F2858">
        <v>919</v>
      </c>
      <c r="G2858" t="s">
        <v>1746</v>
      </c>
      <c r="H2858" t="s">
        <v>1798</v>
      </c>
      <c r="I2858" t="b">
        <v>0</v>
      </c>
      <c r="J2858" t="s">
        <v>1748</v>
      </c>
      <c r="K2858" t="s">
        <v>1824</v>
      </c>
      <c r="L2858" t="s">
        <v>1817</v>
      </c>
      <c r="M2858">
        <v>4</v>
      </c>
      <c r="N2858" t="b">
        <v>1</v>
      </c>
      <c r="O2858">
        <v>401</v>
      </c>
      <c r="P2858" t="s">
        <v>1819</v>
      </c>
      <c r="Q2858" t="s">
        <v>1753</v>
      </c>
      <c r="R2858" t="s">
        <v>1759</v>
      </c>
    </row>
    <row r="2859" spans="1:18" x14ac:dyDescent="0.25">
      <c r="A2859" t="s">
        <v>6199</v>
      </c>
      <c r="B2859" t="s">
        <v>2085</v>
      </c>
      <c r="C2859" t="s">
        <v>4</v>
      </c>
      <c r="D2859" t="s">
        <v>6198</v>
      </c>
      <c r="E2859" s="2">
        <v>42216</v>
      </c>
      <c r="F2859">
        <v>3395</v>
      </c>
      <c r="G2859" t="s">
        <v>1746</v>
      </c>
      <c r="H2859" t="s">
        <v>1747</v>
      </c>
      <c r="I2859" t="b">
        <v>1</v>
      </c>
      <c r="J2859" t="s">
        <v>1748</v>
      </c>
      <c r="K2859" t="s">
        <v>1776</v>
      </c>
      <c r="L2859" t="s">
        <v>1750</v>
      </c>
      <c r="M2859">
        <v>4</v>
      </c>
      <c r="N2859" t="b">
        <v>1</v>
      </c>
      <c r="O2859">
        <v>182</v>
      </c>
      <c r="P2859" t="s">
        <v>1752</v>
      </c>
      <c r="Q2859" t="s">
        <v>1753</v>
      </c>
    </row>
    <row r="2860" spans="1:18" x14ac:dyDescent="0.25">
      <c r="A2860" t="s">
        <v>6201</v>
      </c>
      <c r="B2860" t="s">
        <v>2483</v>
      </c>
      <c r="C2860" t="s">
        <v>6</v>
      </c>
      <c r="D2860" t="s">
        <v>6200</v>
      </c>
      <c r="E2860" s="2">
        <v>45266</v>
      </c>
      <c r="F2860">
        <v>345</v>
      </c>
      <c r="G2860" t="s">
        <v>1746</v>
      </c>
      <c r="H2860" t="s">
        <v>1747</v>
      </c>
      <c r="I2860" t="b">
        <v>1</v>
      </c>
      <c r="J2860" t="s">
        <v>1761</v>
      </c>
      <c r="K2860" t="s">
        <v>1985</v>
      </c>
      <c r="L2860" t="s">
        <v>1817</v>
      </c>
      <c r="M2860">
        <v>4</v>
      </c>
      <c r="N2860" t="b">
        <v>0</v>
      </c>
      <c r="O2860">
        <v>86</v>
      </c>
      <c r="P2860" t="s">
        <v>1819</v>
      </c>
      <c r="Q2860" t="s">
        <v>1753</v>
      </c>
    </row>
    <row r="2861" spans="1:18" x14ac:dyDescent="0.25">
      <c r="A2861" t="s">
        <v>6203</v>
      </c>
      <c r="B2861" t="s">
        <v>2177</v>
      </c>
      <c r="C2861" t="s">
        <v>6</v>
      </c>
      <c r="D2861" t="s">
        <v>6202</v>
      </c>
      <c r="E2861" s="2">
        <v>42479</v>
      </c>
      <c r="F2861">
        <v>3132</v>
      </c>
      <c r="G2861" t="s">
        <v>1746</v>
      </c>
      <c r="H2861" t="s">
        <v>1805</v>
      </c>
      <c r="I2861" t="b">
        <v>0</v>
      </c>
      <c r="J2861" t="s">
        <v>1761</v>
      </c>
      <c r="K2861" t="s">
        <v>1822</v>
      </c>
      <c r="L2861" t="s">
        <v>1817</v>
      </c>
      <c r="M2861">
        <v>4</v>
      </c>
      <c r="N2861" t="b">
        <v>1</v>
      </c>
      <c r="O2861">
        <v>3956</v>
      </c>
      <c r="P2861" t="s">
        <v>1819</v>
      </c>
      <c r="Q2861" t="s">
        <v>1753</v>
      </c>
      <c r="R2861" t="s">
        <v>1759</v>
      </c>
    </row>
    <row r="2862" spans="1:18" x14ac:dyDescent="0.25">
      <c r="A2862" t="s">
        <v>6204</v>
      </c>
      <c r="B2862" t="s">
        <v>1876</v>
      </c>
      <c r="C2862" t="s">
        <v>4</v>
      </c>
      <c r="D2862" t="s">
        <v>279</v>
      </c>
      <c r="E2862" s="2">
        <v>44599</v>
      </c>
      <c r="F2862">
        <v>1012</v>
      </c>
      <c r="G2862" t="s">
        <v>1746</v>
      </c>
      <c r="H2862" t="s">
        <v>1747</v>
      </c>
      <c r="I2862" t="b">
        <v>0</v>
      </c>
      <c r="J2862" t="s">
        <v>1748</v>
      </c>
      <c r="K2862" t="s">
        <v>1868</v>
      </c>
      <c r="L2862" t="s">
        <v>1750</v>
      </c>
      <c r="M2862">
        <v>4</v>
      </c>
      <c r="N2862" t="b">
        <v>1</v>
      </c>
      <c r="O2862">
        <v>16</v>
      </c>
      <c r="P2862" t="s">
        <v>1752</v>
      </c>
      <c r="Q2862" t="s">
        <v>1753</v>
      </c>
      <c r="R2862" t="s">
        <v>1759</v>
      </c>
    </row>
    <row r="2863" spans="1:18" x14ac:dyDescent="0.25">
      <c r="A2863" t="s">
        <v>6206</v>
      </c>
      <c r="B2863" t="s">
        <v>1704</v>
      </c>
      <c r="C2863" t="s">
        <v>2338</v>
      </c>
      <c r="D2863" t="s">
        <v>6205</v>
      </c>
      <c r="E2863" s="2">
        <v>45376</v>
      </c>
      <c r="F2863">
        <v>235</v>
      </c>
      <c r="G2863" t="s">
        <v>1746</v>
      </c>
      <c r="H2863" t="s">
        <v>1747</v>
      </c>
      <c r="I2863" t="b">
        <v>0</v>
      </c>
      <c r="J2863" t="s">
        <v>1748</v>
      </c>
      <c r="K2863" t="s">
        <v>1880</v>
      </c>
      <c r="L2863" t="s">
        <v>1775</v>
      </c>
      <c r="M2863">
        <v>4</v>
      </c>
      <c r="N2863" t="b">
        <v>0</v>
      </c>
      <c r="P2863" t="s">
        <v>2283</v>
      </c>
      <c r="Q2863" t="s">
        <v>1705</v>
      </c>
    </row>
    <row r="2864" spans="1:18" x14ac:dyDescent="0.25">
      <c r="A2864" t="s">
        <v>6207</v>
      </c>
      <c r="B2864" t="s">
        <v>1860</v>
      </c>
      <c r="C2864" t="s">
        <v>4</v>
      </c>
      <c r="D2864" t="s">
        <v>1217</v>
      </c>
      <c r="E2864" s="2">
        <v>44264</v>
      </c>
      <c r="F2864">
        <v>1347</v>
      </c>
      <c r="G2864" t="s">
        <v>1746</v>
      </c>
      <c r="H2864" t="s">
        <v>1798</v>
      </c>
      <c r="I2864" t="b">
        <v>0</v>
      </c>
      <c r="J2864" t="s">
        <v>1748</v>
      </c>
      <c r="K2864" t="s">
        <v>1934</v>
      </c>
      <c r="L2864" t="s">
        <v>1750</v>
      </c>
      <c r="M2864">
        <v>4</v>
      </c>
      <c r="N2864" t="b">
        <v>1</v>
      </c>
      <c r="O2864">
        <v>126</v>
      </c>
      <c r="P2864" t="s">
        <v>1752</v>
      </c>
      <c r="Q2864" t="s">
        <v>1753</v>
      </c>
      <c r="R2864" t="s">
        <v>1828</v>
      </c>
    </row>
    <row r="2865" spans="1:18" x14ac:dyDescent="0.25">
      <c r="A2865" t="s">
        <v>6208</v>
      </c>
      <c r="B2865" t="s">
        <v>1876</v>
      </c>
      <c r="C2865" t="s">
        <v>4</v>
      </c>
      <c r="D2865" t="s">
        <v>803</v>
      </c>
      <c r="E2865" s="2">
        <v>44805</v>
      </c>
      <c r="F2865">
        <v>806</v>
      </c>
      <c r="G2865" t="s">
        <v>1746</v>
      </c>
      <c r="H2865" t="s">
        <v>1747</v>
      </c>
      <c r="I2865" t="b">
        <v>0</v>
      </c>
      <c r="J2865" t="s">
        <v>1748</v>
      </c>
      <c r="K2865" t="s">
        <v>2042</v>
      </c>
      <c r="L2865" t="s">
        <v>1756</v>
      </c>
      <c r="M2865">
        <v>4</v>
      </c>
      <c r="N2865" t="b">
        <v>1</v>
      </c>
      <c r="O2865">
        <v>358</v>
      </c>
      <c r="P2865" t="s">
        <v>1752</v>
      </c>
      <c r="Q2865" t="s">
        <v>1753</v>
      </c>
      <c r="R2865" t="s">
        <v>1759</v>
      </c>
    </row>
    <row r="2866" spans="1:18" x14ac:dyDescent="0.25">
      <c r="A2866" t="s">
        <v>6210</v>
      </c>
      <c r="B2866" t="s">
        <v>2532</v>
      </c>
      <c r="C2866" t="s">
        <v>4</v>
      </c>
      <c r="D2866" t="s">
        <v>6209</v>
      </c>
      <c r="E2866" s="2">
        <v>42682</v>
      </c>
      <c r="F2866">
        <v>2929</v>
      </c>
      <c r="G2866" t="s">
        <v>1746</v>
      </c>
      <c r="H2866" t="s">
        <v>1747</v>
      </c>
      <c r="I2866" t="b">
        <v>1</v>
      </c>
      <c r="J2866" t="s">
        <v>1761</v>
      </c>
      <c r="K2866" t="s">
        <v>1755</v>
      </c>
      <c r="L2866" t="s">
        <v>1750</v>
      </c>
      <c r="M2866">
        <v>4</v>
      </c>
      <c r="N2866" t="b">
        <v>0</v>
      </c>
      <c r="O2866">
        <v>170</v>
      </c>
      <c r="P2866" t="s">
        <v>1752</v>
      </c>
      <c r="Q2866" t="s">
        <v>1753</v>
      </c>
    </row>
    <row r="2867" spans="1:18" x14ac:dyDescent="0.25">
      <c r="A2867" t="s">
        <v>6212</v>
      </c>
      <c r="B2867" t="s">
        <v>2284</v>
      </c>
      <c r="C2867" t="s">
        <v>2338</v>
      </c>
      <c r="D2867" t="s">
        <v>6211</v>
      </c>
      <c r="E2867" s="2">
        <v>44522</v>
      </c>
      <c r="F2867">
        <v>1089</v>
      </c>
      <c r="G2867" t="s">
        <v>1746</v>
      </c>
      <c r="H2867" t="s">
        <v>1747</v>
      </c>
      <c r="I2867" t="b">
        <v>0</v>
      </c>
      <c r="J2867" t="s">
        <v>1748</v>
      </c>
      <c r="K2867" t="s">
        <v>1935</v>
      </c>
      <c r="L2867" t="s">
        <v>1775</v>
      </c>
      <c r="M2867">
        <v>4</v>
      </c>
      <c r="N2867" t="b">
        <v>0</v>
      </c>
      <c r="P2867" t="s">
        <v>2283</v>
      </c>
      <c r="Q2867" t="s">
        <v>1705</v>
      </c>
    </row>
    <row r="2868" spans="1:18" x14ac:dyDescent="0.25">
      <c r="A2868" t="s">
        <v>6214</v>
      </c>
      <c r="B2868" t="s">
        <v>1907</v>
      </c>
      <c r="C2868" t="s">
        <v>186</v>
      </c>
      <c r="D2868" t="s">
        <v>6213</v>
      </c>
      <c r="E2868" s="2">
        <v>44685</v>
      </c>
      <c r="F2868">
        <v>926</v>
      </c>
      <c r="G2868" t="s">
        <v>1746</v>
      </c>
      <c r="H2868" t="s">
        <v>1747</v>
      </c>
      <c r="I2868" t="b">
        <v>0</v>
      </c>
      <c r="J2868" t="s">
        <v>1748</v>
      </c>
      <c r="K2868" t="s">
        <v>1884</v>
      </c>
      <c r="L2868" t="s">
        <v>1775</v>
      </c>
      <c r="M2868">
        <v>4</v>
      </c>
      <c r="N2868" t="b">
        <v>0</v>
      </c>
      <c r="P2868" t="s">
        <v>2283</v>
      </c>
      <c r="Q2868" t="s">
        <v>1705</v>
      </c>
    </row>
    <row r="2869" spans="1:18" x14ac:dyDescent="0.25">
      <c r="A2869" t="s">
        <v>6215</v>
      </c>
      <c r="B2869" t="s">
        <v>6216</v>
      </c>
      <c r="C2869" t="s">
        <v>4</v>
      </c>
      <c r="D2869" t="s">
        <v>227</v>
      </c>
      <c r="E2869" s="2">
        <v>42179</v>
      </c>
      <c r="F2869">
        <v>3432</v>
      </c>
      <c r="G2869" t="s">
        <v>1746</v>
      </c>
      <c r="H2869" t="s">
        <v>1747</v>
      </c>
      <c r="I2869" t="b">
        <v>0</v>
      </c>
      <c r="J2869" t="s">
        <v>1748</v>
      </c>
      <c r="K2869" t="s">
        <v>1751</v>
      </c>
      <c r="L2869" t="s">
        <v>1750</v>
      </c>
      <c r="M2869">
        <v>4</v>
      </c>
      <c r="N2869" t="b">
        <v>0</v>
      </c>
      <c r="O2869">
        <v>100</v>
      </c>
      <c r="P2869" t="s">
        <v>1752</v>
      </c>
      <c r="Q2869" t="s">
        <v>1753</v>
      </c>
      <c r="R2869" t="s">
        <v>1759</v>
      </c>
    </row>
    <row r="2870" spans="1:18" x14ac:dyDescent="0.25">
      <c r="A2870" t="s">
        <v>6218</v>
      </c>
      <c r="B2870" t="s">
        <v>2177</v>
      </c>
      <c r="C2870" t="s">
        <v>4</v>
      </c>
      <c r="D2870" t="s">
        <v>6217</v>
      </c>
      <c r="E2870" s="2">
        <v>43258</v>
      </c>
      <c r="F2870">
        <v>2353</v>
      </c>
      <c r="G2870" t="s">
        <v>1746</v>
      </c>
      <c r="H2870" t="s">
        <v>1805</v>
      </c>
      <c r="I2870" t="b">
        <v>0</v>
      </c>
      <c r="J2870" t="s">
        <v>1748</v>
      </c>
      <c r="K2870" t="s">
        <v>1891</v>
      </c>
      <c r="L2870" t="s">
        <v>1750</v>
      </c>
      <c r="M2870">
        <v>4</v>
      </c>
      <c r="N2870" t="b">
        <v>1</v>
      </c>
      <c r="O2870">
        <v>114</v>
      </c>
      <c r="P2870" t="s">
        <v>1752</v>
      </c>
      <c r="Q2870" t="s">
        <v>1753</v>
      </c>
      <c r="R2870" t="s">
        <v>1759</v>
      </c>
    </row>
    <row r="2871" spans="1:18" x14ac:dyDescent="0.25">
      <c r="A2871" t="s">
        <v>6219</v>
      </c>
      <c r="B2871" t="s">
        <v>1781</v>
      </c>
      <c r="C2871" t="s">
        <v>4</v>
      </c>
      <c r="D2871" t="s">
        <v>1089</v>
      </c>
      <c r="E2871" s="2">
        <v>44994</v>
      </c>
      <c r="F2871">
        <v>617</v>
      </c>
      <c r="G2871" t="s">
        <v>1746</v>
      </c>
      <c r="H2871" t="s">
        <v>1747</v>
      </c>
      <c r="I2871" t="b">
        <v>1</v>
      </c>
      <c r="J2871" t="s">
        <v>1748</v>
      </c>
      <c r="K2871" t="s">
        <v>1848</v>
      </c>
      <c r="L2871" t="s">
        <v>1750</v>
      </c>
      <c r="M2871">
        <v>4</v>
      </c>
      <c r="N2871" t="b">
        <v>1</v>
      </c>
      <c r="O2871">
        <v>77</v>
      </c>
      <c r="P2871" t="s">
        <v>1752</v>
      </c>
      <c r="Q2871" t="s">
        <v>1753</v>
      </c>
      <c r="R2871" t="s">
        <v>1759</v>
      </c>
    </row>
    <row r="2872" spans="1:18" x14ac:dyDescent="0.25">
      <c r="A2872" t="s">
        <v>6220</v>
      </c>
      <c r="B2872" t="s">
        <v>2599</v>
      </c>
      <c r="C2872" t="s">
        <v>4</v>
      </c>
      <c r="D2872" t="s">
        <v>1021</v>
      </c>
      <c r="E2872" s="2">
        <v>44760</v>
      </c>
      <c r="F2872">
        <v>851</v>
      </c>
      <c r="G2872" t="s">
        <v>1746</v>
      </c>
      <c r="H2872" t="s">
        <v>1747</v>
      </c>
      <c r="I2872" t="b">
        <v>0</v>
      </c>
      <c r="J2872" t="s">
        <v>1748</v>
      </c>
      <c r="K2872" t="s">
        <v>1891</v>
      </c>
      <c r="L2872" t="s">
        <v>1750</v>
      </c>
      <c r="M2872">
        <v>4</v>
      </c>
      <c r="N2872" t="b">
        <v>1</v>
      </c>
      <c r="O2872">
        <v>347</v>
      </c>
      <c r="P2872" t="s">
        <v>1752</v>
      </c>
      <c r="Q2872" t="s">
        <v>1753</v>
      </c>
      <c r="R2872" t="s">
        <v>1772</v>
      </c>
    </row>
    <row r="2873" spans="1:18" x14ac:dyDescent="0.25">
      <c r="A2873" t="s">
        <v>6222</v>
      </c>
      <c r="B2873" t="s">
        <v>2150</v>
      </c>
      <c r="C2873" t="s">
        <v>6</v>
      </c>
      <c r="D2873" t="s">
        <v>6221</v>
      </c>
      <c r="E2873" s="2">
        <v>44713</v>
      </c>
      <c r="F2873">
        <v>898</v>
      </c>
      <c r="G2873" t="s">
        <v>1746</v>
      </c>
      <c r="H2873" t="s">
        <v>1805</v>
      </c>
      <c r="I2873" t="b">
        <v>0</v>
      </c>
      <c r="J2873" t="s">
        <v>1761</v>
      </c>
      <c r="K2873" t="s">
        <v>1824</v>
      </c>
      <c r="L2873" t="s">
        <v>1750</v>
      </c>
      <c r="M2873">
        <v>4</v>
      </c>
      <c r="N2873" t="b">
        <v>1</v>
      </c>
      <c r="O2873">
        <v>26</v>
      </c>
      <c r="P2873" t="s">
        <v>1752</v>
      </c>
      <c r="Q2873" t="s">
        <v>1753</v>
      </c>
      <c r="R2873" t="s">
        <v>2028</v>
      </c>
    </row>
    <row r="2874" spans="1:18" x14ac:dyDescent="0.25">
      <c r="A2874" t="s">
        <v>6224</v>
      </c>
      <c r="B2874" t="s">
        <v>2662</v>
      </c>
      <c r="C2874" t="s">
        <v>4</v>
      </c>
      <c r="D2874" t="s">
        <v>6223</v>
      </c>
      <c r="E2874" s="2">
        <v>44503</v>
      </c>
      <c r="F2874">
        <v>1108</v>
      </c>
      <c r="G2874" t="s">
        <v>1746</v>
      </c>
      <c r="H2874" t="s">
        <v>1747</v>
      </c>
      <c r="I2874" t="b">
        <v>1</v>
      </c>
      <c r="J2874" t="s">
        <v>1748</v>
      </c>
      <c r="K2874" t="s">
        <v>1757</v>
      </c>
      <c r="L2874" t="s">
        <v>1750</v>
      </c>
      <c r="M2874">
        <v>4</v>
      </c>
      <c r="N2874" t="b">
        <v>0</v>
      </c>
      <c r="O2874">
        <v>29</v>
      </c>
      <c r="P2874" t="s">
        <v>1752</v>
      </c>
      <c r="Q2874" t="s">
        <v>1753</v>
      </c>
      <c r="R2874" t="s">
        <v>1759</v>
      </c>
    </row>
    <row r="2875" spans="1:18" x14ac:dyDescent="0.25">
      <c r="A2875" t="s">
        <v>6225</v>
      </c>
      <c r="B2875" t="s">
        <v>1781</v>
      </c>
      <c r="C2875" t="s">
        <v>186</v>
      </c>
      <c r="D2875" t="s">
        <v>1407</v>
      </c>
      <c r="E2875" s="2">
        <v>38987</v>
      </c>
      <c r="F2875">
        <v>6624</v>
      </c>
      <c r="G2875" t="s">
        <v>1746</v>
      </c>
      <c r="H2875" t="s">
        <v>1747</v>
      </c>
      <c r="I2875" t="b">
        <v>0</v>
      </c>
      <c r="J2875" t="s">
        <v>1748</v>
      </c>
      <c r="K2875" t="s">
        <v>1830</v>
      </c>
      <c r="L2875" t="s">
        <v>2102</v>
      </c>
      <c r="M2875">
        <v>4</v>
      </c>
      <c r="N2875" t="b">
        <v>0</v>
      </c>
      <c r="P2875" t="s">
        <v>2070</v>
      </c>
      <c r="Q2875" t="s">
        <v>1779</v>
      </c>
    </row>
    <row r="2876" spans="1:18" x14ac:dyDescent="0.25">
      <c r="A2876" t="s">
        <v>6226</v>
      </c>
      <c r="B2876" t="s">
        <v>1876</v>
      </c>
      <c r="C2876" t="s">
        <v>4</v>
      </c>
      <c r="D2876" t="s">
        <v>1585</v>
      </c>
      <c r="E2876" s="2">
        <v>44908</v>
      </c>
      <c r="F2876">
        <v>703</v>
      </c>
      <c r="G2876" t="s">
        <v>1746</v>
      </c>
      <c r="H2876" t="s">
        <v>1747</v>
      </c>
      <c r="I2876" t="b">
        <v>0</v>
      </c>
      <c r="J2876" t="s">
        <v>1748</v>
      </c>
      <c r="K2876" t="s">
        <v>1880</v>
      </c>
      <c r="L2876" t="s">
        <v>1750</v>
      </c>
      <c r="M2876">
        <v>4</v>
      </c>
      <c r="N2876" t="b">
        <v>1</v>
      </c>
      <c r="O2876">
        <v>268</v>
      </c>
      <c r="P2876" t="s">
        <v>1752</v>
      </c>
      <c r="Q2876" t="s">
        <v>1753</v>
      </c>
      <c r="R2876" t="s">
        <v>1759</v>
      </c>
    </row>
    <row r="2877" spans="1:18" x14ac:dyDescent="0.25">
      <c r="A2877" t="s">
        <v>6228</v>
      </c>
      <c r="B2877" t="s">
        <v>1907</v>
      </c>
      <c r="C2877" t="s">
        <v>6</v>
      </c>
      <c r="D2877" t="s">
        <v>6227</v>
      </c>
      <c r="E2877" s="2">
        <v>44098</v>
      </c>
      <c r="F2877">
        <v>1513</v>
      </c>
      <c r="G2877" t="s">
        <v>1746</v>
      </c>
      <c r="H2877" t="s">
        <v>1798</v>
      </c>
      <c r="I2877" t="b">
        <v>1</v>
      </c>
      <c r="J2877" t="s">
        <v>1761</v>
      </c>
      <c r="K2877" t="s">
        <v>1824</v>
      </c>
      <c r="L2877" t="s">
        <v>1750</v>
      </c>
      <c r="M2877">
        <v>4</v>
      </c>
      <c r="N2877" t="b">
        <v>0</v>
      </c>
      <c r="O2877">
        <v>101</v>
      </c>
      <c r="P2877" t="s">
        <v>1819</v>
      </c>
      <c r="Q2877" t="s">
        <v>1753</v>
      </c>
      <c r="R2877" t="s">
        <v>1828</v>
      </c>
    </row>
    <row r="2878" spans="1:18" x14ac:dyDescent="0.25">
      <c r="A2878" t="s">
        <v>6230</v>
      </c>
      <c r="B2878" t="s">
        <v>1907</v>
      </c>
      <c r="C2878" t="s">
        <v>2709</v>
      </c>
      <c r="D2878" t="s">
        <v>6229</v>
      </c>
      <c r="E2878" s="2">
        <v>44544</v>
      </c>
      <c r="F2878">
        <v>1067</v>
      </c>
      <c r="G2878" t="s">
        <v>1746</v>
      </c>
      <c r="H2878" t="s">
        <v>1747</v>
      </c>
      <c r="I2878" t="b">
        <v>0</v>
      </c>
      <c r="J2878" t="s">
        <v>1748</v>
      </c>
      <c r="K2878" t="s">
        <v>1941</v>
      </c>
      <c r="L2878" t="s">
        <v>1775</v>
      </c>
      <c r="M2878">
        <v>4</v>
      </c>
      <c r="N2878" t="b">
        <v>0</v>
      </c>
      <c r="P2878" t="s">
        <v>2283</v>
      </c>
      <c r="Q2878" t="s">
        <v>1705</v>
      </c>
    </row>
    <row r="2879" spans="1:18" x14ac:dyDescent="0.25">
      <c r="A2879" t="s">
        <v>6232</v>
      </c>
      <c r="B2879" t="s">
        <v>2096</v>
      </c>
      <c r="C2879" t="s">
        <v>4</v>
      </c>
      <c r="D2879" t="s">
        <v>6231</v>
      </c>
      <c r="E2879" s="2">
        <v>45405</v>
      </c>
      <c r="F2879">
        <v>206</v>
      </c>
      <c r="G2879" t="s">
        <v>1746</v>
      </c>
      <c r="H2879" t="s">
        <v>1798</v>
      </c>
      <c r="I2879" t="b">
        <v>0</v>
      </c>
      <c r="J2879" t="s">
        <v>1761</v>
      </c>
      <c r="K2879" t="s">
        <v>1774</v>
      </c>
      <c r="L2879" t="s">
        <v>1817</v>
      </c>
      <c r="M2879">
        <v>4</v>
      </c>
      <c r="N2879" t="b">
        <v>0</v>
      </c>
      <c r="O2879">
        <v>7</v>
      </c>
      <c r="P2879" t="s">
        <v>1819</v>
      </c>
      <c r="Q2879" t="s">
        <v>1753</v>
      </c>
    </row>
    <row r="2880" spans="1:18" x14ac:dyDescent="0.25">
      <c r="A2880" t="s">
        <v>6233</v>
      </c>
      <c r="B2880" t="s">
        <v>2180</v>
      </c>
      <c r="C2880" t="s">
        <v>6</v>
      </c>
      <c r="D2880" t="s">
        <v>967</v>
      </c>
      <c r="E2880" s="2">
        <v>44916</v>
      </c>
      <c r="F2880">
        <v>695</v>
      </c>
      <c r="G2880" t="s">
        <v>1746</v>
      </c>
      <c r="H2880" t="s">
        <v>1798</v>
      </c>
      <c r="I2880" t="b">
        <v>0</v>
      </c>
      <c r="J2880" t="s">
        <v>1748</v>
      </c>
      <c r="K2880" t="s">
        <v>1757</v>
      </c>
      <c r="L2880" t="s">
        <v>2102</v>
      </c>
      <c r="M2880">
        <v>4</v>
      </c>
      <c r="N2880" t="b">
        <v>0</v>
      </c>
      <c r="P2880" t="s">
        <v>1752</v>
      </c>
      <c r="Q2880" t="s">
        <v>1753</v>
      </c>
      <c r="R2880" t="s">
        <v>1759</v>
      </c>
    </row>
    <row r="2881" spans="1:18" x14ac:dyDescent="0.25">
      <c r="A2881" t="s">
        <v>6235</v>
      </c>
      <c r="B2881" t="s">
        <v>2173</v>
      </c>
      <c r="C2881" t="s">
        <v>6</v>
      </c>
      <c r="D2881" t="s">
        <v>6234</v>
      </c>
      <c r="E2881" s="2">
        <v>42527</v>
      </c>
      <c r="F2881">
        <v>3084</v>
      </c>
      <c r="G2881" t="s">
        <v>1746</v>
      </c>
      <c r="H2881" t="s">
        <v>1747</v>
      </c>
      <c r="I2881" t="b">
        <v>0</v>
      </c>
      <c r="J2881" t="s">
        <v>1748</v>
      </c>
      <c r="K2881" t="s">
        <v>1793</v>
      </c>
      <c r="L2881" t="s">
        <v>1750</v>
      </c>
      <c r="M2881">
        <v>4</v>
      </c>
      <c r="N2881" t="b">
        <v>1</v>
      </c>
      <c r="O2881">
        <v>60</v>
      </c>
      <c r="P2881" t="s">
        <v>1752</v>
      </c>
      <c r="Q2881" t="s">
        <v>1753</v>
      </c>
    </row>
    <row r="2882" spans="1:18" x14ac:dyDescent="0.25">
      <c r="A2882" t="s">
        <v>6237</v>
      </c>
      <c r="B2882" t="s">
        <v>2032</v>
      </c>
      <c r="C2882" t="s">
        <v>4</v>
      </c>
      <c r="D2882" t="s">
        <v>6236</v>
      </c>
      <c r="E2882" s="2">
        <v>44854</v>
      </c>
      <c r="F2882">
        <v>757</v>
      </c>
      <c r="G2882" t="s">
        <v>1746</v>
      </c>
      <c r="H2882" t="s">
        <v>1747</v>
      </c>
      <c r="I2882" t="b">
        <v>0</v>
      </c>
      <c r="J2882" t="s">
        <v>1748</v>
      </c>
      <c r="K2882" t="s">
        <v>1826</v>
      </c>
      <c r="L2882" t="s">
        <v>1756</v>
      </c>
      <c r="M2882">
        <v>4</v>
      </c>
      <c r="N2882" t="b">
        <v>1</v>
      </c>
      <c r="O2882">
        <v>116</v>
      </c>
      <c r="P2882" t="s">
        <v>1752</v>
      </c>
      <c r="Q2882" t="s">
        <v>1753</v>
      </c>
      <c r="R2882" t="s">
        <v>2028</v>
      </c>
    </row>
    <row r="2883" spans="1:18" x14ac:dyDescent="0.25">
      <c r="A2883" t="s">
        <v>6239</v>
      </c>
      <c r="B2883" t="s">
        <v>2150</v>
      </c>
      <c r="C2883" t="s">
        <v>4</v>
      </c>
      <c r="D2883" t="s">
        <v>6238</v>
      </c>
      <c r="E2883" s="2">
        <v>45189</v>
      </c>
      <c r="F2883">
        <v>422</v>
      </c>
      <c r="G2883" t="s">
        <v>1746</v>
      </c>
      <c r="H2883" t="s">
        <v>1805</v>
      </c>
      <c r="I2883" t="b">
        <v>1</v>
      </c>
      <c r="J2883" t="s">
        <v>1761</v>
      </c>
      <c r="K2883" t="s">
        <v>1776</v>
      </c>
      <c r="L2883" t="s">
        <v>1817</v>
      </c>
      <c r="M2883">
        <v>4</v>
      </c>
      <c r="N2883" t="b">
        <v>0</v>
      </c>
      <c r="O2883">
        <v>2268</v>
      </c>
      <c r="P2883" t="s">
        <v>1819</v>
      </c>
      <c r="Q2883" t="s">
        <v>1753</v>
      </c>
      <c r="R2883" t="s">
        <v>1759</v>
      </c>
    </row>
    <row r="2884" spans="1:18" x14ac:dyDescent="0.25">
      <c r="A2884" t="s">
        <v>518</v>
      </c>
      <c r="B2884" t="s">
        <v>1876</v>
      </c>
      <c r="C2884" t="s">
        <v>4</v>
      </c>
      <c r="D2884" t="s">
        <v>519</v>
      </c>
      <c r="E2884" s="2">
        <v>44811</v>
      </c>
      <c r="F2884">
        <v>800</v>
      </c>
      <c r="G2884" t="s">
        <v>1746</v>
      </c>
      <c r="H2884" t="s">
        <v>1747</v>
      </c>
      <c r="I2884" t="b">
        <v>0</v>
      </c>
      <c r="J2884" t="s">
        <v>1748</v>
      </c>
      <c r="K2884" t="s">
        <v>2042</v>
      </c>
      <c r="L2884" t="s">
        <v>1750</v>
      </c>
      <c r="M2884">
        <v>4</v>
      </c>
      <c r="N2884" t="b">
        <v>1</v>
      </c>
      <c r="O2884">
        <v>70</v>
      </c>
      <c r="P2884" t="s">
        <v>1752</v>
      </c>
      <c r="Q2884" t="s">
        <v>1753</v>
      </c>
      <c r="R2884" t="s">
        <v>1759</v>
      </c>
    </row>
    <row r="2885" spans="1:18" x14ac:dyDescent="0.25">
      <c r="A2885" t="s">
        <v>6240</v>
      </c>
      <c r="B2885" t="s">
        <v>1876</v>
      </c>
      <c r="C2885" t="s">
        <v>4</v>
      </c>
      <c r="D2885" t="s">
        <v>289</v>
      </c>
      <c r="E2885" s="2">
        <v>44607</v>
      </c>
      <c r="F2885">
        <v>1004</v>
      </c>
      <c r="G2885" t="s">
        <v>1746</v>
      </c>
      <c r="H2885" t="s">
        <v>1747</v>
      </c>
      <c r="I2885" t="b">
        <v>0</v>
      </c>
      <c r="J2885" t="s">
        <v>1748</v>
      </c>
      <c r="K2885" t="s">
        <v>1868</v>
      </c>
      <c r="L2885" t="s">
        <v>1750</v>
      </c>
      <c r="M2885">
        <v>4</v>
      </c>
      <c r="N2885" t="b">
        <v>1</v>
      </c>
      <c r="O2885">
        <v>33</v>
      </c>
      <c r="P2885" t="s">
        <v>1752</v>
      </c>
      <c r="Q2885" t="s">
        <v>1753</v>
      </c>
      <c r="R2885" t="s">
        <v>1759</v>
      </c>
    </row>
    <row r="2886" spans="1:18" x14ac:dyDescent="0.25">
      <c r="A2886" t="s">
        <v>6242</v>
      </c>
      <c r="B2886" t="s">
        <v>2620</v>
      </c>
      <c r="C2886" t="s">
        <v>4</v>
      </c>
      <c r="D2886" t="s">
        <v>6241</v>
      </c>
      <c r="E2886" s="2">
        <v>43893</v>
      </c>
      <c r="F2886">
        <v>1718</v>
      </c>
      <c r="G2886" t="s">
        <v>1746</v>
      </c>
      <c r="H2886" t="s">
        <v>1798</v>
      </c>
      <c r="I2886" t="b">
        <v>0</v>
      </c>
      <c r="J2886" t="s">
        <v>1761</v>
      </c>
      <c r="K2886" t="s">
        <v>1755</v>
      </c>
      <c r="L2886" t="s">
        <v>1750</v>
      </c>
      <c r="M2886">
        <v>4</v>
      </c>
      <c r="N2886" t="b">
        <v>1</v>
      </c>
      <c r="O2886">
        <v>64</v>
      </c>
      <c r="P2886" t="s">
        <v>1752</v>
      </c>
      <c r="Q2886" t="s">
        <v>1753</v>
      </c>
      <c r="R2886" t="s">
        <v>1828</v>
      </c>
    </row>
    <row r="2887" spans="1:18" x14ac:dyDescent="0.25">
      <c r="A2887" t="s">
        <v>6244</v>
      </c>
      <c r="B2887" t="s">
        <v>2370</v>
      </c>
      <c r="C2887" t="s">
        <v>4</v>
      </c>
      <c r="D2887" t="s">
        <v>6243</v>
      </c>
      <c r="E2887" s="2">
        <v>45405</v>
      </c>
      <c r="F2887">
        <v>206</v>
      </c>
      <c r="G2887" t="s">
        <v>1746</v>
      </c>
      <c r="H2887" t="s">
        <v>1747</v>
      </c>
      <c r="I2887" t="b">
        <v>0</v>
      </c>
      <c r="J2887" t="s">
        <v>1761</v>
      </c>
      <c r="K2887" t="s">
        <v>1822</v>
      </c>
      <c r="L2887" t="s">
        <v>1817</v>
      </c>
      <c r="M2887">
        <v>4</v>
      </c>
      <c r="N2887" t="b">
        <v>0</v>
      </c>
      <c r="O2887">
        <v>27</v>
      </c>
      <c r="P2887" t="s">
        <v>1819</v>
      </c>
      <c r="Q2887" t="s">
        <v>1753</v>
      </c>
    </row>
    <row r="2888" spans="1:18" x14ac:dyDescent="0.25">
      <c r="A2888" t="s">
        <v>6245</v>
      </c>
      <c r="B2888" t="s">
        <v>1781</v>
      </c>
      <c r="C2888" t="s">
        <v>186</v>
      </c>
      <c r="D2888" t="s">
        <v>1373</v>
      </c>
      <c r="E2888" s="2">
        <v>38987</v>
      </c>
      <c r="F2888">
        <v>6624</v>
      </c>
      <c r="G2888" t="s">
        <v>1746</v>
      </c>
      <c r="H2888" t="s">
        <v>1747</v>
      </c>
      <c r="I2888" t="b">
        <v>0</v>
      </c>
      <c r="J2888" t="s">
        <v>1748</v>
      </c>
      <c r="K2888" t="s">
        <v>1830</v>
      </c>
      <c r="L2888" t="s">
        <v>2102</v>
      </c>
      <c r="M2888">
        <v>4</v>
      </c>
      <c r="N2888" t="b">
        <v>0</v>
      </c>
      <c r="P2888" t="s">
        <v>2070</v>
      </c>
      <c r="Q2888" t="s">
        <v>1779</v>
      </c>
    </row>
    <row r="2889" spans="1:18" x14ac:dyDescent="0.25">
      <c r="A2889" t="s">
        <v>6247</v>
      </c>
      <c r="B2889" t="s">
        <v>2133</v>
      </c>
      <c r="C2889" t="s">
        <v>186</v>
      </c>
      <c r="D2889" t="s">
        <v>6246</v>
      </c>
      <c r="E2889" s="2">
        <v>38987</v>
      </c>
      <c r="F2889">
        <v>6624</v>
      </c>
      <c r="G2889" t="s">
        <v>1746</v>
      </c>
      <c r="H2889" t="s">
        <v>1747</v>
      </c>
      <c r="I2889" t="b">
        <v>0</v>
      </c>
      <c r="J2889" t="s">
        <v>1748</v>
      </c>
      <c r="K2889" t="s">
        <v>1830</v>
      </c>
      <c r="L2889" t="s">
        <v>2102</v>
      </c>
      <c r="M2889">
        <v>4</v>
      </c>
      <c r="N2889" t="b">
        <v>0</v>
      </c>
      <c r="P2889" t="s">
        <v>2070</v>
      </c>
      <c r="Q2889" t="s">
        <v>1779</v>
      </c>
    </row>
    <row r="2890" spans="1:18" x14ac:dyDescent="0.25">
      <c r="A2890" t="s">
        <v>6249</v>
      </c>
      <c r="B2890" t="s">
        <v>3294</v>
      </c>
      <c r="C2890" t="s">
        <v>186</v>
      </c>
      <c r="D2890" t="s">
        <v>6248</v>
      </c>
      <c r="E2890" s="2">
        <v>38987</v>
      </c>
      <c r="F2890">
        <v>6624</v>
      </c>
      <c r="G2890" t="s">
        <v>1746</v>
      </c>
      <c r="H2890" t="s">
        <v>1747</v>
      </c>
      <c r="I2890" t="b">
        <v>0</v>
      </c>
      <c r="J2890" t="s">
        <v>1748</v>
      </c>
      <c r="K2890" t="s">
        <v>1830</v>
      </c>
      <c r="L2890" t="s">
        <v>2102</v>
      </c>
      <c r="M2890">
        <v>4</v>
      </c>
      <c r="N2890" t="b">
        <v>0</v>
      </c>
      <c r="P2890" t="s">
        <v>2070</v>
      </c>
      <c r="Q2890" t="s">
        <v>1779</v>
      </c>
    </row>
    <row r="2891" spans="1:18" x14ac:dyDescent="0.25">
      <c r="A2891" t="s">
        <v>6250</v>
      </c>
      <c r="B2891" t="s">
        <v>2353</v>
      </c>
      <c r="C2891" t="s">
        <v>4</v>
      </c>
      <c r="D2891" t="s">
        <v>1091</v>
      </c>
      <c r="E2891" s="2">
        <v>44587</v>
      </c>
      <c r="F2891">
        <v>1024</v>
      </c>
      <c r="G2891" t="s">
        <v>1746</v>
      </c>
      <c r="H2891" t="s">
        <v>1798</v>
      </c>
      <c r="I2891" t="b">
        <v>0</v>
      </c>
      <c r="J2891" t="s">
        <v>1748</v>
      </c>
      <c r="K2891" t="s">
        <v>1776</v>
      </c>
      <c r="L2891" t="s">
        <v>1750</v>
      </c>
      <c r="M2891">
        <v>4</v>
      </c>
      <c r="N2891" t="b">
        <v>1</v>
      </c>
      <c r="P2891" t="s">
        <v>1819</v>
      </c>
      <c r="Q2891" t="s">
        <v>1753</v>
      </c>
      <c r="R2891" t="s">
        <v>1759</v>
      </c>
    </row>
    <row r="2892" spans="1:18" x14ac:dyDescent="0.25">
      <c r="A2892" t="s">
        <v>6252</v>
      </c>
      <c r="B2892" t="s">
        <v>2393</v>
      </c>
      <c r="C2892" t="s">
        <v>4</v>
      </c>
      <c r="D2892" t="s">
        <v>6251</v>
      </c>
      <c r="E2892" s="2">
        <v>44279</v>
      </c>
      <c r="F2892">
        <v>1332</v>
      </c>
      <c r="G2892" t="s">
        <v>1746</v>
      </c>
      <c r="H2892" t="s">
        <v>1747</v>
      </c>
      <c r="I2892" t="b">
        <v>0</v>
      </c>
      <c r="J2892" t="s">
        <v>1761</v>
      </c>
      <c r="K2892" t="s">
        <v>1755</v>
      </c>
      <c r="L2892" t="s">
        <v>1817</v>
      </c>
      <c r="M2892">
        <v>4</v>
      </c>
      <c r="N2892" t="b">
        <v>1</v>
      </c>
      <c r="O2892">
        <v>726</v>
      </c>
      <c r="P2892" t="s">
        <v>1819</v>
      </c>
      <c r="Q2892" t="s">
        <v>1753</v>
      </c>
      <c r="R2892" t="s">
        <v>1759</v>
      </c>
    </row>
    <row r="2893" spans="1:18" x14ac:dyDescent="0.25">
      <c r="A2893" t="s">
        <v>6253</v>
      </c>
      <c r="B2893" t="s">
        <v>1781</v>
      </c>
      <c r="C2893" t="s">
        <v>4</v>
      </c>
      <c r="D2893" t="s">
        <v>466</v>
      </c>
      <c r="E2893" s="2">
        <v>44761</v>
      </c>
      <c r="F2893">
        <v>850</v>
      </c>
      <c r="G2893" t="s">
        <v>1833</v>
      </c>
      <c r="H2893" t="s">
        <v>1747</v>
      </c>
      <c r="I2893" t="b">
        <v>0</v>
      </c>
      <c r="J2893" t="s">
        <v>1748</v>
      </c>
      <c r="K2893" t="s">
        <v>1776</v>
      </c>
      <c r="L2893" t="s">
        <v>1750</v>
      </c>
      <c r="M2893">
        <v>4</v>
      </c>
      <c r="N2893" t="b">
        <v>1</v>
      </c>
      <c r="O2893">
        <v>357</v>
      </c>
      <c r="P2893" t="s">
        <v>1752</v>
      </c>
      <c r="Q2893" t="s">
        <v>1753</v>
      </c>
      <c r="R2893" t="s">
        <v>1759</v>
      </c>
    </row>
    <row r="2894" spans="1:18" x14ac:dyDescent="0.25">
      <c r="A2894" t="s">
        <v>6255</v>
      </c>
      <c r="B2894" t="s">
        <v>2173</v>
      </c>
      <c r="C2894" t="s">
        <v>4</v>
      </c>
      <c r="D2894" t="s">
        <v>6254</v>
      </c>
      <c r="E2894" s="2">
        <v>44020</v>
      </c>
      <c r="F2894">
        <v>1591</v>
      </c>
      <c r="G2894" t="s">
        <v>1746</v>
      </c>
      <c r="H2894" t="s">
        <v>1798</v>
      </c>
      <c r="I2894" t="b">
        <v>0</v>
      </c>
      <c r="J2894" t="s">
        <v>1748</v>
      </c>
      <c r="K2894" t="s">
        <v>1909</v>
      </c>
      <c r="L2894" t="s">
        <v>2102</v>
      </c>
      <c r="M2894">
        <v>4</v>
      </c>
      <c r="N2894" t="b">
        <v>0</v>
      </c>
      <c r="P2894" t="s">
        <v>1752</v>
      </c>
      <c r="Q2894" t="s">
        <v>1753</v>
      </c>
      <c r="R2894" t="s">
        <v>1828</v>
      </c>
    </row>
    <row r="2895" spans="1:18" x14ac:dyDescent="0.25">
      <c r="A2895" t="s">
        <v>6257</v>
      </c>
      <c r="B2895" t="s">
        <v>1785</v>
      </c>
      <c r="C2895" t="s">
        <v>6258</v>
      </c>
      <c r="D2895" t="s">
        <v>6256</v>
      </c>
      <c r="E2895" s="2">
        <v>42910</v>
      </c>
      <c r="F2895">
        <v>2701</v>
      </c>
      <c r="G2895" t="s">
        <v>1746</v>
      </c>
      <c r="H2895" t="s">
        <v>6259</v>
      </c>
      <c r="I2895" t="b">
        <v>0</v>
      </c>
      <c r="J2895" t="s">
        <v>1748</v>
      </c>
      <c r="K2895" t="s">
        <v>1762</v>
      </c>
      <c r="L2895" t="s">
        <v>1750</v>
      </c>
      <c r="M2895">
        <v>4</v>
      </c>
      <c r="N2895" t="b">
        <v>0</v>
      </c>
      <c r="O2895">
        <v>10</v>
      </c>
      <c r="P2895" t="s">
        <v>1752</v>
      </c>
      <c r="Q2895" t="s">
        <v>1753</v>
      </c>
    </row>
    <row r="2896" spans="1:18" x14ac:dyDescent="0.25">
      <c r="A2896" t="s">
        <v>6261</v>
      </c>
      <c r="B2896" t="s">
        <v>2150</v>
      </c>
      <c r="C2896" t="s">
        <v>4</v>
      </c>
      <c r="D2896" t="s">
        <v>6260</v>
      </c>
      <c r="E2896" s="2">
        <v>44880</v>
      </c>
      <c r="F2896">
        <v>731</v>
      </c>
      <c r="G2896" t="s">
        <v>1746</v>
      </c>
      <c r="H2896" t="s">
        <v>1805</v>
      </c>
      <c r="I2896" t="b">
        <v>0</v>
      </c>
      <c r="J2896" t="s">
        <v>1748</v>
      </c>
      <c r="K2896" t="s">
        <v>1826</v>
      </c>
      <c r="L2896" t="s">
        <v>1817</v>
      </c>
      <c r="M2896">
        <v>4</v>
      </c>
      <c r="N2896" t="b">
        <v>1</v>
      </c>
      <c r="O2896">
        <v>1801</v>
      </c>
      <c r="P2896" t="s">
        <v>1819</v>
      </c>
      <c r="Q2896" t="s">
        <v>1753</v>
      </c>
      <c r="R2896" t="s">
        <v>1759</v>
      </c>
    </row>
    <row r="2897" spans="1:18" x14ac:dyDescent="0.25">
      <c r="A2897" t="s">
        <v>6262</v>
      </c>
      <c r="B2897" t="s">
        <v>1876</v>
      </c>
      <c r="C2897" t="s">
        <v>4</v>
      </c>
      <c r="D2897" t="s">
        <v>294</v>
      </c>
      <c r="E2897" s="2">
        <v>44182</v>
      </c>
      <c r="F2897">
        <v>1429</v>
      </c>
      <c r="G2897" t="s">
        <v>1746</v>
      </c>
      <c r="H2897" t="s">
        <v>1747</v>
      </c>
      <c r="I2897" t="b">
        <v>1</v>
      </c>
      <c r="J2897" t="s">
        <v>1748</v>
      </c>
      <c r="K2897" t="s">
        <v>1868</v>
      </c>
      <c r="L2897" t="s">
        <v>1750</v>
      </c>
      <c r="M2897">
        <v>4</v>
      </c>
      <c r="N2897" t="b">
        <v>0</v>
      </c>
      <c r="O2897">
        <v>43</v>
      </c>
      <c r="P2897" t="s">
        <v>1752</v>
      </c>
      <c r="Q2897" t="s">
        <v>1753</v>
      </c>
      <c r="R2897" t="s">
        <v>1759</v>
      </c>
    </row>
    <row r="2898" spans="1:18" x14ac:dyDescent="0.25">
      <c r="A2898" t="s">
        <v>6264</v>
      </c>
      <c r="B2898" t="s">
        <v>2662</v>
      </c>
      <c r="C2898" t="s">
        <v>4</v>
      </c>
      <c r="D2898" t="s">
        <v>6263</v>
      </c>
      <c r="E2898" s="2">
        <v>44280</v>
      </c>
      <c r="F2898">
        <v>1331</v>
      </c>
      <c r="G2898" t="s">
        <v>1746</v>
      </c>
      <c r="H2898" t="s">
        <v>1747</v>
      </c>
      <c r="I2898" t="b">
        <v>1</v>
      </c>
      <c r="J2898" t="s">
        <v>1761</v>
      </c>
      <c r="K2898" t="s">
        <v>1853</v>
      </c>
      <c r="L2898" t="s">
        <v>1817</v>
      </c>
      <c r="M2898">
        <v>4</v>
      </c>
      <c r="N2898" t="b">
        <v>1</v>
      </c>
      <c r="O2898">
        <v>429</v>
      </c>
      <c r="P2898" t="s">
        <v>1819</v>
      </c>
      <c r="Q2898" t="s">
        <v>1753</v>
      </c>
      <c r="R2898" t="s">
        <v>1772</v>
      </c>
    </row>
    <row r="2899" spans="1:18" x14ac:dyDescent="0.25">
      <c r="A2899" t="s">
        <v>6266</v>
      </c>
      <c r="B2899" t="s">
        <v>2150</v>
      </c>
      <c r="C2899" t="s">
        <v>4</v>
      </c>
      <c r="D2899" t="s">
        <v>6265</v>
      </c>
      <c r="E2899" s="2">
        <v>45559</v>
      </c>
      <c r="F2899">
        <v>52</v>
      </c>
      <c r="G2899" t="s">
        <v>1746</v>
      </c>
      <c r="H2899" t="s">
        <v>1747</v>
      </c>
      <c r="I2899" t="b">
        <v>0</v>
      </c>
      <c r="J2899" t="s">
        <v>1748</v>
      </c>
      <c r="K2899" t="s">
        <v>1749</v>
      </c>
      <c r="L2899" t="s">
        <v>1756</v>
      </c>
      <c r="M2899">
        <v>4</v>
      </c>
      <c r="N2899" t="b">
        <v>0</v>
      </c>
      <c r="O2899">
        <v>17</v>
      </c>
      <c r="P2899" t="s">
        <v>1827</v>
      </c>
      <c r="Q2899" t="s">
        <v>1753</v>
      </c>
    </row>
    <row r="2900" spans="1:18" x14ac:dyDescent="0.25">
      <c r="A2900" t="s">
        <v>6268</v>
      </c>
      <c r="B2900" t="s">
        <v>1704</v>
      </c>
      <c r="C2900" t="s">
        <v>4</v>
      </c>
      <c r="D2900" t="s">
        <v>6267</v>
      </c>
      <c r="E2900" s="2">
        <v>45461</v>
      </c>
      <c r="F2900">
        <v>150</v>
      </c>
      <c r="G2900" t="s">
        <v>1746</v>
      </c>
      <c r="H2900" t="s">
        <v>1798</v>
      </c>
      <c r="I2900" t="b">
        <v>1</v>
      </c>
      <c r="J2900" t="s">
        <v>1748</v>
      </c>
      <c r="K2900" t="s">
        <v>1822</v>
      </c>
      <c r="L2900" t="s">
        <v>1817</v>
      </c>
      <c r="M2900">
        <v>4</v>
      </c>
      <c r="N2900" t="b">
        <v>1</v>
      </c>
      <c r="O2900">
        <v>70</v>
      </c>
      <c r="P2900" t="s">
        <v>1819</v>
      </c>
      <c r="Q2900" t="s">
        <v>1753</v>
      </c>
      <c r="R2900" t="s">
        <v>1759</v>
      </c>
    </row>
    <row r="2901" spans="1:18" x14ac:dyDescent="0.25">
      <c r="A2901" t="s">
        <v>6270</v>
      </c>
      <c r="B2901" t="s">
        <v>2173</v>
      </c>
      <c r="C2901" t="s">
        <v>6</v>
      </c>
      <c r="D2901" t="s">
        <v>6269</v>
      </c>
      <c r="E2901" s="2">
        <v>44006</v>
      </c>
      <c r="F2901">
        <v>1605</v>
      </c>
      <c r="G2901" t="s">
        <v>1746</v>
      </c>
      <c r="H2901" t="s">
        <v>1798</v>
      </c>
      <c r="I2901" t="b">
        <v>1</v>
      </c>
      <c r="J2901" t="s">
        <v>1761</v>
      </c>
      <c r="K2901" t="s">
        <v>1891</v>
      </c>
      <c r="L2901" t="s">
        <v>1750</v>
      </c>
      <c r="M2901">
        <v>4</v>
      </c>
      <c r="N2901" t="b">
        <v>0</v>
      </c>
      <c r="O2901">
        <v>46</v>
      </c>
      <c r="P2901" t="s">
        <v>1752</v>
      </c>
      <c r="Q2901" t="s">
        <v>1753</v>
      </c>
    </row>
    <row r="2902" spans="1:18" x14ac:dyDescent="0.25">
      <c r="A2902" t="s">
        <v>6271</v>
      </c>
      <c r="B2902" t="s">
        <v>2353</v>
      </c>
      <c r="C2902" t="s">
        <v>4</v>
      </c>
      <c r="D2902" t="s">
        <v>393</v>
      </c>
      <c r="E2902" s="2">
        <v>44734</v>
      </c>
      <c r="F2902">
        <v>877</v>
      </c>
      <c r="G2902" t="s">
        <v>1833</v>
      </c>
      <c r="H2902" t="s">
        <v>1798</v>
      </c>
      <c r="I2902" t="b">
        <v>0</v>
      </c>
      <c r="J2902" t="s">
        <v>1748</v>
      </c>
      <c r="K2902" t="s">
        <v>1809</v>
      </c>
      <c r="L2902" t="s">
        <v>1750</v>
      </c>
      <c r="M2902">
        <v>4</v>
      </c>
      <c r="N2902" t="b">
        <v>1</v>
      </c>
      <c r="O2902">
        <v>159</v>
      </c>
      <c r="P2902" t="s">
        <v>1819</v>
      </c>
      <c r="Q2902" t="s">
        <v>1753</v>
      </c>
      <c r="R2902" t="s">
        <v>1759</v>
      </c>
    </row>
    <row r="2903" spans="1:18" x14ac:dyDescent="0.25">
      <c r="A2903" t="s">
        <v>6272</v>
      </c>
      <c r="B2903" t="s">
        <v>2353</v>
      </c>
      <c r="C2903" t="s">
        <v>4</v>
      </c>
      <c r="D2903" t="s">
        <v>743</v>
      </c>
      <c r="E2903" s="2">
        <v>44581</v>
      </c>
      <c r="F2903">
        <v>1030</v>
      </c>
      <c r="G2903" t="s">
        <v>1746</v>
      </c>
      <c r="H2903" t="s">
        <v>1798</v>
      </c>
      <c r="I2903" t="b">
        <v>0</v>
      </c>
      <c r="J2903" t="s">
        <v>1748</v>
      </c>
      <c r="K2903" t="s">
        <v>1809</v>
      </c>
      <c r="L2903" t="s">
        <v>1750</v>
      </c>
      <c r="M2903">
        <v>4</v>
      </c>
      <c r="N2903" t="b">
        <v>1</v>
      </c>
      <c r="O2903">
        <v>409</v>
      </c>
      <c r="P2903" t="s">
        <v>1752</v>
      </c>
      <c r="Q2903" t="s">
        <v>1753</v>
      </c>
      <c r="R2903" t="s">
        <v>1759</v>
      </c>
    </row>
    <row r="2904" spans="1:18" x14ac:dyDescent="0.25">
      <c r="A2904" t="s">
        <v>6274</v>
      </c>
      <c r="B2904" t="s">
        <v>1876</v>
      </c>
      <c r="C2904" t="s">
        <v>4</v>
      </c>
      <c r="D2904" t="s">
        <v>6273</v>
      </c>
      <c r="E2904" s="2">
        <v>45394</v>
      </c>
      <c r="F2904">
        <v>217</v>
      </c>
      <c r="G2904" t="s">
        <v>1833</v>
      </c>
      <c r="H2904" t="s">
        <v>1747</v>
      </c>
      <c r="I2904" t="b">
        <v>0</v>
      </c>
      <c r="J2904" t="s">
        <v>1748</v>
      </c>
      <c r="K2904" t="s">
        <v>1848</v>
      </c>
      <c r="L2904" t="s">
        <v>1750</v>
      </c>
      <c r="M2904">
        <v>4</v>
      </c>
      <c r="N2904" t="b">
        <v>1</v>
      </c>
      <c r="O2904">
        <v>36</v>
      </c>
      <c r="P2904" t="s">
        <v>1752</v>
      </c>
      <c r="Q2904" t="s">
        <v>1753</v>
      </c>
      <c r="R2904" t="s">
        <v>1759</v>
      </c>
    </row>
    <row r="2905" spans="1:18" x14ac:dyDescent="0.25">
      <c r="A2905" t="s">
        <v>6276</v>
      </c>
      <c r="B2905" t="s">
        <v>2150</v>
      </c>
      <c r="C2905" t="s">
        <v>6</v>
      </c>
      <c r="D2905" t="s">
        <v>6275</v>
      </c>
      <c r="E2905" s="2">
        <v>44847</v>
      </c>
      <c r="F2905">
        <v>764</v>
      </c>
      <c r="G2905" t="s">
        <v>1746</v>
      </c>
      <c r="H2905" t="s">
        <v>1747</v>
      </c>
      <c r="I2905" t="b">
        <v>1</v>
      </c>
      <c r="J2905" t="s">
        <v>1748</v>
      </c>
      <c r="K2905" t="s">
        <v>1755</v>
      </c>
      <c r="L2905" t="s">
        <v>1817</v>
      </c>
      <c r="M2905">
        <v>4</v>
      </c>
      <c r="N2905" t="b">
        <v>0</v>
      </c>
      <c r="O2905">
        <v>65</v>
      </c>
      <c r="P2905" t="s">
        <v>1819</v>
      </c>
      <c r="Q2905" t="s">
        <v>1753</v>
      </c>
    </row>
    <row r="2906" spans="1:18" x14ac:dyDescent="0.25">
      <c r="A2906" t="s">
        <v>6277</v>
      </c>
      <c r="B2906" t="s">
        <v>1876</v>
      </c>
      <c r="C2906" t="s">
        <v>4</v>
      </c>
      <c r="D2906" t="s">
        <v>291</v>
      </c>
      <c r="E2906" s="2">
        <v>44182</v>
      </c>
      <c r="F2906">
        <v>1429</v>
      </c>
      <c r="G2906" t="s">
        <v>1746</v>
      </c>
      <c r="H2906" t="s">
        <v>1747</v>
      </c>
      <c r="I2906" t="b">
        <v>1</v>
      </c>
      <c r="J2906" t="s">
        <v>1748</v>
      </c>
      <c r="K2906" t="s">
        <v>2007</v>
      </c>
      <c r="L2906" t="s">
        <v>1750</v>
      </c>
      <c r="M2906">
        <v>4</v>
      </c>
      <c r="N2906" t="b">
        <v>0</v>
      </c>
      <c r="O2906">
        <v>40</v>
      </c>
      <c r="P2906" t="s">
        <v>1752</v>
      </c>
      <c r="Q2906" t="s">
        <v>1753</v>
      </c>
      <c r="R2906" t="s">
        <v>1759</v>
      </c>
    </row>
    <row r="2907" spans="1:18" x14ac:dyDescent="0.25">
      <c r="A2907" t="s">
        <v>6278</v>
      </c>
      <c r="B2907" t="s">
        <v>2353</v>
      </c>
      <c r="C2907" t="s">
        <v>186</v>
      </c>
      <c r="D2907" t="s">
        <v>194</v>
      </c>
      <c r="E2907" s="2">
        <v>41096</v>
      </c>
      <c r="F2907">
        <v>4515</v>
      </c>
      <c r="G2907" t="s">
        <v>1746</v>
      </c>
      <c r="H2907" t="s">
        <v>1798</v>
      </c>
      <c r="I2907" t="b">
        <v>0</v>
      </c>
      <c r="J2907" t="s">
        <v>1748</v>
      </c>
      <c r="K2907" t="s">
        <v>1830</v>
      </c>
      <c r="L2907" t="s">
        <v>2102</v>
      </c>
      <c r="M2907">
        <v>4</v>
      </c>
      <c r="N2907" t="b">
        <v>0</v>
      </c>
      <c r="P2907" t="s">
        <v>2070</v>
      </c>
      <c r="Q2907" t="s">
        <v>1779</v>
      </c>
    </row>
    <row r="2908" spans="1:18" x14ac:dyDescent="0.25">
      <c r="A2908" t="s">
        <v>6280</v>
      </c>
      <c r="B2908" t="s">
        <v>2611</v>
      </c>
      <c r="C2908" t="s">
        <v>4</v>
      </c>
      <c r="D2908" t="s">
        <v>6279</v>
      </c>
      <c r="E2908" s="2">
        <v>45385</v>
      </c>
      <c r="F2908">
        <v>226</v>
      </c>
      <c r="G2908" t="s">
        <v>1746</v>
      </c>
      <c r="H2908" t="s">
        <v>1747</v>
      </c>
      <c r="I2908" t="b">
        <v>0</v>
      </c>
      <c r="J2908" t="s">
        <v>1748</v>
      </c>
      <c r="K2908" t="s">
        <v>1868</v>
      </c>
      <c r="L2908" t="s">
        <v>1750</v>
      </c>
      <c r="M2908">
        <v>4</v>
      </c>
      <c r="N2908" t="b">
        <v>1</v>
      </c>
      <c r="O2908">
        <v>69</v>
      </c>
      <c r="P2908" t="s">
        <v>1752</v>
      </c>
      <c r="Q2908" t="s">
        <v>1753</v>
      </c>
      <c r="R2908" t="s">
        <v>1759</v>
      </c>
    </row>
    <row r="2909" spans="1:18" x14ac:dyDescent="0.25">
      <c r="A2909" t="s">
        <v>6282</v>
      </c>
      <c r="B2909" t="s">
        <v>1907</v>
      </c>
      <c r="C2909" t="s">
        <v>4</v>
      </c>
      <c r="D2909" t="s">
        <v>6281</v>
      </c>
      <c r="E2909" s="2">
        <v>44624</v>
      </c>
      <c r="F2909">
        <v>987</v>
      </c>
      <c r="G2909" t="s">
        <v>1746</v>
      </c>
      <c r="H2909" t="s">
        <v>2001</v>
      </c>
      <c r="I2909" t="b">
        <v>0</v>
      </c>
      <c r="J2909" t="s">
        <v>1748</v>
      </c>
      <c r="K2909" t="s">
        <v>1774</v>
      </c>
      <c r="L2909" t="s">
        <v>1750</v>
      </c>
      <c r="M2909">
        <v>4</v>
      </c>
      <c r="N2909" t="b">
        <v>1</v>
      </c>
      <c r="O2909">
        <v>69</v>
      </c>
      <c r="P2909" t="s">
        <v>1752</v>
      </c>
      <c r="Q2909" t="s">
        <v>1753</v>
      </c>
    </row>
    <row r="2910" spans="1:18" x14ac:dyDescent="0.25">
      <c r="A2910" t="s">
        <v>4378</v>
      </c>
      <c r="B2910" t="s">
        <v>2342</v>
      </c>
      <c r="C2910" t="s">
        <v>6</v>
      </c>
      <c r="D2910" t="s">
        <v>6283</v>
      </c>
      <c r="E2910" s="2">
        <v>42766</v>
      </c>
      <c r="F2910">
        <v>2845</v>
      </c>
      <c r="G2910" t="s">
        <v>1746</v>
      </c>
      <c r="H2910" t="s">
        <v>1798</v>
      </c>
      <c r="I2910" t="b">
        <v>0</v>
      </c>
      <c r="J2910" t="s">
        <v>1761</v>
      </c>
      <c r="K2910" t="s">
        <v>1879</v>
      </c>
      <c r="L2910" t="s">
        <v>1766</v>
      </c>
      <c r="M2910">
        <v>4</v>
      </c>
      <c r="N2910" t="b">
        <v>1</v>
      </c>
      <c r="P2910" t="s">
        <v>1752</v>
      </c>
      <c r="Q2910" t="s">
        <v>1753</v>
      </c>
      <c r="R2910" t="s">
        <v>1828</v>
      </c>
    </row>
    <row r="2911" spans="1:18" x14ac:dyDescent="0.25">
      <c r="A2911" t="s">
        <v>6284</v>
      </c>
      <c r="B2911" t="s">
        <v>1876</v>
      </c>
      <c r="C2911" t="s">
        <v>4</v>
      </c>
      <c r="D2911" t="s">
        <v>1347</v>
      </c>
      <c r="E2911" s="2">
        <v>44533</v>
      </c>
      <c r="F2911">
        <v>1078</v>
      </c>
      <c r="G2911" t="s">
        <v>1746</v>
      </c>
      <c r="H2911" t="s">
        <v>1747</v>
      </c>
      <c r="I2911" t="b">
        <v>0</v>
      </c>
      <c r="J2911" t="s">
        <v>1748</v>
      </c>
      <c r="K2911" t="s">
        <v>1856</v>
      </c>
      <c r="L2911" t="s">
        <v>1750</v>
      </c>
      <c r="M2911">
        <v>4</v>
      </c>
      <c r="N2911" t="b">
        <v>1</v>
      </c>
      <c r="O2911">
        <v>89</v>
      </c>
      <c r="P2911" t="s">
        <v>1752</v>
      </c>
      <c r="Q2911" t="s">
        <v>1753</v>
      </c>
      <c r="R2911" t="s">
        <v>1759</v>
      </c>
    </row>
    <row r="2912" spans="1:18" x14ac:dyDescent="0.25">
      <c r="A2912" t="s">
        <v>6286</v>
      </c>
      <c r="B2912" t="s">
        <v>2965</v>
      </c>
      <c r="C2912" t="s">
        <v>572</v>
      </c>
      <c r="D2912" t="s">
        <v>6285</v>
      </c>
      <c r="E2912" s="2">
        <v>44657</v>
      </c>
      <c r="F2912">
        <v>954</v>
      </c>
      <c r="G2912" t="s">
        <v>1746</v>
      </c>
      <c r="H2912" t="s">
        <v>1798</v>
      </c>
      <c r="I2912" t="b">
        <v>0</v>
      </c>
      <c r="J2912" t="s">
        <v>1748</v>
      </c>
      <c r="K2912" t="s">
        <v>1865</v>
      </c>
      <c r="L2912" t="s">
        <v>1750</v>
      </c>
      <c r="M2912">
        <v>4</v>
      </c>
      <c r="N2912" t="b">
        <v>0</v>
      </c>
      <c r="O2912">
        <v>13</v>
      </c>
      <c r="P2912" t="s">
        <v>1752</v>
      </c>
      <c r="Q2912" t="s">
        <v>1753</v>
      </c>
      <c r="R2912" t="s">
        <v>1828</v>
      </c>
    </row>
    <row r="2913" spans="1:18" x14ac:dyDescent="0.25">
      <c r="A2913" t="s">
        <v>6288</v>
      </c>
      <c r="B2913" t="s">
        <v>2284</v>
      </c>
      <c r="C2913" t="s">
        <v>186</v>
      </c>
      <c r="D2913" t="s">
        <v>6287</v>
      </c>
      <c r="E2913" s="2">
        <v>44638</v>
      </c>
      <c r="F2913">
        <v>973</v>
      </c>
      <c r="G2913" t="s">
        <v>1746</v>
      </c>
      <c r="H2913" t="s">
        <v>1747</v>
      </c>
      <c r="I2913" t="b">
        <v>0</v>
      </c>
      <c r="J2913" t="s">
        <v>1748</v>
      </c>
      <c r="K2913" t="s">
        <v>1868</v>
      </c>
      <c r="L2913" t="s">
        <v>1775</v>
      </c>
      <c r="M2913">
        <v>4</v>
      </c>
      <c r="N2913" t="b">
        <v>0</v>
      </c>
      <c r="P2913" t="s">
        <v>2283</v>
      </c>
      <c r="Q2913" t="s">
        <v>1705</v>
      </c>
    </row>
    <row r="2914" spans="1:18" x14ac:dyDescent="0.25">
      <c r="A2914" t="s">
        <v>6290</v>
      </c>
      <c r="B2914" t="s">
        <v>2370</v>
      </c>
      <c r="C2914" t="s">
        <v>4</v>
      </c>
      <c r="D2914" t="s">
        <v>6289</v>
      </c>
      <c r="E2914" s="2">
        <v>45405</v>
      </c>
      <c r="F2914">
        <v>206</v>
      </c>
      <c r="G2914" t="s">
        <v>1746</v>
      </c>
      <c r="H2914" t="s">
        <v>1747</v>
      </c>
      <c r="I2914" t="b">
        <v>0</v>
      </c>
      <c r="J2914" t="s">
        <v>1761</v>
      </c>
      <c r="K2914" t="s">
        <v>1822</v>
      </c>
      <c r="L2914" t="s">
        <v>1817</v>
      </c>
      <c r="M2914">
        <v>4</v>
      </c>
      <c r="N2914" t="b">
        <v>0</v>
      </c>
      <c r="O2914">
        <v>37</v>
      </c>
      <c r="P2914" t="s">
        <v>1819</v>
      </c>
      <c r="Q2914" t="s">
        <v>1753</v>
      </c>
    </row>
    <row r="2915" spans="1:18" x14ac:dyDescent="0.25">
      <c r="A2915" t="s">
        <v>6291</v>
      </c>
      <c r="B2915" t="s">
        <v>1876</v>
      </c>
      <c r="C2915" t="s">
        <v>4</v>
      </c>
      <c r="D2915" t="s">
        <v>277</v>
      </c>
      <c r="E2915" s="2">
        <v>44516</v>
      </c>
      <c r="F2915">
        <v>1095</v>
      </c>
      <c r="G2915" t="s">
        <v>1746</v>
      </c>
      <c r="H2915" t="s">
        <v>1747</v>
      </c>
      <c r="I2915" t="b">
        <v>1</v>
      </c>
      <c r="J2915" t="s">
        <v>1748</v>
      </c>
      <c r="K2915" t="s">
        <v>2042</v>
      </c>
      <c r="L2915" t="s">
        <v>1750</v>
      </c>
      <c r="M2915">
        <v>4</v>
      </c>
      <c r="N2915" t="b">
        <v>0</v>
      </c>
      <c r="O2915">
        <v>59</v>
      </c>
      <c r="P2915" t="s">
        <v>1752</v>
      </c>
      <c r="Q2915" t="s">
        <v>1753</v>
      </c>
      <c r="R2915" t="s">
        <v>1759</v>
      </c>
    </row>
    <row r="2916" spans="1:18" x14ac:dyDescent="0.25">
      <c r="A2916" t="s">
        <v>6292</v>
      </c>
      <c r="B2916" t="s">
        <v>1876</v>
      </c>
      <c r="C2916" t="s">
        <v>4</v>
      </c>
      <c r="D2916" t="s">
        <v>1584</v>
      </c>
      <c r="E2916" s="2">
        <v>44754</v>
      </c>
      <c r="F2916">
        <v>857</v>
      </c>
      <c r="G2916" t="s">
        <v>1746</v>
      </c>
      <c r="H2916" t="s">
        <v>1747</v>
      </c>
      <c r="I2916" t="b">
        <v>1</v>
      </c>
      <c r="J2916" t="s">
        <v>1748</v>
      </c>
      <c r="K2916" t="s">
        <v>1853</v>
      </c>
      <c r="L2916" t="s">
        <v>1750</v>
      </c>
      <c r="M2916">
        <v>3</v>
      </c>
      <c r="N2916" t="b">
        <v>1</v>
      </c>
      <c r="O2916">
        <v>97</v>
      </c>
      <c r="P2916" t="s">
        <v>1752</v>
      </c>
      <c r="Q2916" t="s">
        <v>1753</v>
      </c>
      <c r="R2916" t="s">
        <v>1759</v>
      </c>
    </row>
    <row r="2917" spans="1:18" x14ac:dyDescent="0.25">
      <c r="A2917" t="s">
        <v>6294</v>
      </c>
      <c r="B2917" t="s">
        <v>2133</v>
      </c>
      <c r="C2917" t="s">
        <v>4</v>
      </c>
      <c r="D2917" t="s">
        <v>6293</v>
      </c>
      <c r="E2917" s="2">
        <v>45147</v>
      </c>
      <c r="F2917">
        <v>464</v>
      </c>
      <c r="G2917" t="s">
        <v>1833</v>
      </c>
      <c r="H2917" t="s">
        <v>1747</v>
      </c>
      <c r="I2917" t="b">
        <v>0</v>
      </c>
      <c r="J2917" t="s">
        <v>1761</v>
      </c>
      <c r="K2917" t="s">
        <v>1755</v>
      </c>
      <c r="L2917" t="s">
        <v>1756</v>
      </c>
      <c r="M2917">
        <v>3</v>
      </c>
      <c r="N2917" t="b">
        <v>1</v>
      </c>
      <c r="O2917">
        <v>149</v>
      </c>
      <c r="P2917" t="s">
        <v>1752</v>
      </c>
      <c r="Q2917" t="s">
        <v>1753</v>
      </c>
    </row>
    <row r="2918" spans="1:18" x14ac:dyDescent="0.25">
      <c r="A2918" t="s">
        <v>6296</v>
      </c>
      <c r="B2918" t="s">
        <v>2150</v>
      </c>
      <c r="C2918" t="s">
        <v>4</v>
      </c>
      <c r="D2918" t="s">
        <v>6295</v>
      </c>
      <c r="E2918" s="2">
        <v>45098</v>
      </c>
      <c r="F2918">
        <v>513</v>
      </c>
      <c r="G2918" t="s">
        <v>1746</v>
      </c>
      <c r="H2918" t="s">
        <v>1747</v>
      </c>
      <c r="I2918" t="b">
        <v>0</v>
      </c>
      <c r="J2918" t="s">
        <v>1748</v>
      </c>
      <c r="K2918" t="s">
        <v>1868</v>
      </c>
      <c r="L2918" t="s">
        <v>1750</v>
      </c>
      <c r="M2918">
        <v>3</v>
      </c>
      <c r="N2918" t="b">
        <v>1</v>
      </c>
      <c r="P2918" t="s">
        <v>1819</v>
      </c>
      <c r="Q2918" t="s">
        <v>1753</v>
      </c>
      <c r="R2918" t="s">
        <v>1759</v>
      </c>
    </row>
    <row r="2919" spans="1:18" x14ac:dyDescent="0.25">
      <c r="A2919" t="s">
        <v>6297</v>
      </c>
      <c r="B2919" t="s">
        <v>2106</v>
      </c>
      <c r="C2919" t="s">
        <v>6</v>
      </c>
      <c r="D2919" t="s">
        <v>148</v>
      </c>
      <c r="E2919" s="2">
        <v>44245</v>
      </c>
      <c r="F2919">
        <v>1366</v>
      </c>
      <c r="G2919" t="s">
        <v>1746</v>
      </c>
      <c r="H2919" t="s">
        <v>1798</v>
      </c>
      <c r="I2919" t="b">
        <v>0</v>
      </c>
      <c r="J2919" t="s">
        <v>1761</v>
      </c>
      <c r="K2919" t="s">
        <v>1776</v>
      </c>
      <c r="L2919" t="s">
        <v>1750</v>
      </c>
      <c r="M2919">
        <v>3</v>
      </c>
      <c r="N2919" t="b">
        <v>1</v>
      </c>
      <c r="O2919">
        <v>314</v>
      </c>
      <c r="P2919" t="s">
        <v>1819</v>
      </c>
      <c r="Q2919" t="s">
        <v>1753</v>
      </c>
      <c r="R2919" t="s">
        <v>1759</v>
      </c>
    </row>
    <row r="2920" spans="1:18" x14ac:dyDescent="0.25">
      <c r="A2920" t="s">
        <v>6299</v>
      </c>
      <c r="B2920" t="s">
        <v>2133</v>
      </c>
      <c r="C2920" t="s">
        <v>186</v>
      </c>
      <c r="D2920" t="s">
        <v>6298</v>
      </c>
      <c r="E2920" s="2">
        <v>41242</v>
      </c>
      <c r="F2920">
        <v>4369</v>
      </c>
      <c r="G2920" t="s">
        <v>1746</v>
      </c>
      <c r="H2920" t="s">
        <v>1747</v>
      </c>
      <c r="I2920" t="b">
        <v>0</v>
      </c>
      <c r="J2920" t="s">
        <v>1748</v>
      </c>
      <c r="K2920" t="s">
        <v>1830</v>
      </c>
      <c r="L2920" t="s">
        <v>2102</v>
      </c>
      <c r="M2920">
        <v>3</v>
      </c>
      <c r="N2920" t="b">
        <v>0</v>
      </c>
      <c r="P2920" t="s">
        <v>2070</v>
      </c>
      <c r="Q2920" t="s">
        <v>1779</v>
      </c>
    </row>
    <row r="2921" spans="1:18" x14ac:dyDescent="0.25">
      <c r="A2921" t="s">
        <v>6301</v>
      </c>
      <c r="B2921" t="s">
        <v>4245</v>
      </c>
      <c r="C2921" t="s">
        <v>6</v>
      </c>
      <c r="D2921" t="s">
        <v>6300</v>
      </c>
      <c r="E2921" s="2">
        <v>41786</v>
      </c>
      <c r="F2921">
        <v>3825</v>
      </c>
      <c r="G2921" t="s">
        <v>1746</v>
      </c>
      <c r="H2921" t="s">
        <v>1747</v>
      </c>
      <c r="I2921" t="b">
        <v>1</v>
      </c>
      <c r="J2921" t="s">
        <v>1748</v>
      </c>
      <c r="K2921" t="s">
        <v>2021</v>
      </c>
      <c r="L2921" t="s">
        <v>1750</v>
      </c>
      <c r="M2921">
        <v>3</v>
      </c>
      <c r="N2921" t="b">
        <v>0</v>
      </c>
      <c r="O2921">
        <v>1088</v>
      </c>
      <c r="P2921" t="s">
        <v>1752</v>
      </c>
      <c r="Q2921" t="s">
        <v>1753</v>
      </c>
      <c r="R2921" t="s">
        <v>1759</v>
      </c>
    </row>
    <row r="2922" spans="1:18" x14ac:dyDescent="0.25">
      <c r="A2922" t="s">
        <v>6303</v>
      </c>
      <c r="B2922" t="s">
        <v>1704</v>
      </c>
      <c r="C2922" t="s">
        <v>1249</v>
      </c>
      <c r="D2922" t="s">
        <v>6302</v>
      </c>
      <c r="E2922" s="2">
        <v>43684</v>
      </c>
      <c r="F2922">
        <v>1927</v>
      </c>
      <c r="G2922" t="s">
        <v>1746</v>
      </c>
      <c r="H2922" t="s">
        <v>1798</v>
      </c>
      <c r="I2922" t="b">
        <v>0</v>
      </c>
      <c r="J2922" t="s">
        <v>1748</v>
      </c>
      <c r="K2922" t="s">
        <v>1967</v>
      </c>
      <c r="L2922" t="s">
        <v>2102</v>
      </c>
      <c r="M2922">
        <v>3</v>
      </c>
      <c r="N2922" t="b">
        <v>0</v>
      </c>
      <c r="P2922" t="s">
        <v>2070</v>
      </c>
      <c r="Q2922" t="s">
        <v>1779</v>
      </c>
    </row>
    <row r="2923" spans="1:18" x14ac:dyDescent="0.25">
      <c r="A2923" t="s">
        <v>1399</v>
      </c>
      <c r="B2923" t="s">
        <v>2220</v>
      </c>
      <c r="C2923" t="s">
        <v>4</v>
      </c>
      <c r="D2923" t="s">
        <v>1400</v>
      </c>
      <c r="E2923" s="2">
        <v>42677</v>
      </c>
      <c r="F2923">
        <v>2934</v>
      </c>
      <c r="G2923" t="s">
        <v>1746</v>
      </c>
      <c r="H2923" t="s">
        <v>1798</v>
      </c>
      <c r="I2923" t="b">
        <v>0</v>
      </c>
      <c r="J2923" t="s">
        <v>1748</v>
      </c>
      <c r="K2923" t="s">
        <v>1771</v>
      </c>
      <c r="L2923" t="s">
        <v>1750</v>
      </c>
      <c r="M2923">
        <v>3</v>
      </c>
      <c r="N2923" t="b">
        <v>1</v>
      </c>
      <c r="O2923">
        <v>230</v>
      </c>
      <c r="P2923" t="s">
        <v>1752</v>
      </c>
      <c r="Q2923" t="s">
        <v>1753</v>
      </c>
      <c r="R2923" t="s">
        <v>1828</v>
      </c>
    </row>
    <row r="2924" spans="1:18" x14ac:dyDescent="0.25">
      <c r="A2924" t="s">
        <v>6305</v>
      </c>
      <c r="B2924" t="s">
        <v>1704</v>
      </c>
      <c r="C2924" t="s">
        <v>4</v>
      </c>
      <c r="D2924" t="s">
        <v>6304</v>
      </c>
      <c r="E2924" s="2">
        <v>45358</v>
      </c>
      <c r="F2924">
        <v>253</v>
      </c>
      <c r="G2924" t="s">
        <v>1746</v>
      </c>
      <c r="H2924" t="s">
        <v>1798</v>
      </c>
      <c r="I2924" t="b">
        <v>1</v>
      </c>
      <c r="J2924" t="s">
        <v>1748</v>
      </c>
      <c r="K2924" t="s">
        <v>1755</v>
      </c>
      <c r="L2924" t="s">
        <v>1817</v>
      </c>
      <c r="M2924">
        <v>3</v>
      </c>
      <c r="N2924" t="b">
        <v>0</v>
      </c>
      <c r="O2924">
        <v>1551</v>
      </c>
      <c r="P2924" t="s">
        <v>1819</v>
      </c>
      <c r="Q2924" t="s">
        <v>1753</v>
      </c>
      <c r="R2924" t="s">
        <v>1759</v>
      </c>
    </row>
    <row r="2925" spans="1:18" x14ac:dyDescent="0.25">
      <c r="A2925" t="s">
        <v>6307</v>
      </c>
      <c r="B2925" t="s">
        <v>1704</v>
      </c>
      <c r="C2925" t="s">
        <v>6</v>
      </c>
      <c r="D2925" t="s">
        <v>6306</v>
      </c>
      <c r="E2925" s="2">
        <v>44713</v>
      </c>
      <c r="F2925">
        <v>898</v>
      </c>
      <c r="G2925" t="s">
        <v>1746</v>
      </c>
      <c r="H2925" t="s">
        <v>1747</v>
      </c>
      <c r="I2925" t="b">
        <v>0</v>
      </c>
      <c r="J2925" t="s">
        <v>1748</v>
      </c>
      <c r="K2925" t="s">
        <v>1826</v>
      </c>
      <c r="L2925" t="s">
        <v>1817</v>
      </c>
      <c r="M2925">
        <v>3</v>
      </c>
      <c r="N2925" t="b">
        <v>1</v>
      </c>
      <c r="O2925">
        <v>2929</v>
      </c>
      <c r="P2925" t="s">
        <v>1819</v>
      </c>
      <c r="Q2925" t="s">
        <v>1753</v>
      </c>
      <c r="R2925" t="s">
        <v>1759</v>
      </c>
    </row>
    <row r="2926" spans="1:18" x14ac:dyDescent="0.25">
      <c r="A2926" t="s">
        <v>6308</v>
      </c>
      <c r="B2926" t="s">
        <v>1876</v>
      </c>
      <c r="C2926" t="s">
        <v>4</v>
      </c>
      <c r="D2926" t="s">
        <v>271</v>
      </c>
      <c r="E2926" s="2">
        <v>44502</v>
      </c>
      <c r="F2926">
        <v>1109</v>
      </c>
      <c r="G2926" t="s">
        <v>1746</v>
      </c>
      <c r="H2926" t="s">
        <v>1747</v>
      </c>
      <c r="I2926" t="b">
        <v>0</v>
      </c>
      <c r="J2926" t="s">
        <v>1748</v>
      </c>
      <c r="K2926" t="s">
        <v>1913</v>
      </c>
      <c r="L2926" t="s">
        <v>1750</v>
      </c>
      <c r="M2926">
        <v>3</v>
      </c>
      <c r="N2926" t="b">
        <v>0</v>
      </c>
      <c r="O2926">
        <v>35</v>
      </c>
      <c r="P2926" t="s">
        <v>1752</v>
      </c>
      <c r="Q2926" t="s">
        <v>1753</v>
      </c>
      <c r="R2926" t="s">
        <v>1759</v>
      </c>
    </row>
    <row r="2927" spans="1:18" x14ac:dyDescent="0.25">
      <c r="A2927" t="s">
        <v>6310</v>
      </c>
      <c r="B2927" t="s">
        <v>2662</v>
      </c>
      <c r="C2927" t="s">
        <v>4</v>
      </c>
      <c r="D2927" t="s">
        <v>6309</v>
      </c>
      <c r="E2927" s="2">
        <v>44649</v>
      </c>
      <c r="F2927">
        <v>962</v>
      </c>
      <c r="G2927" t="s">
        <v>1833</v>
      </c>
      <c r="H2927" t="s">
        <v>1747</v>
      </c>
      <c r="I2927" t="b">
        <v>0</v>
      </c>
      <c r="J2927" t="s">
        <v>1748</v>
      </c>
      <c r="K2927" t="s">
        <v>1776</v>
      </c>
      <c r="L2927" t="s">
        <v>1750</v>
      </c>
      <c r="M2927">
        <v>3</v>
      </c>
      <c r="N2927" t="b">
        <v>1</v>
      </c>
      <c r="O2927">
        <v>14673</v>
      </c>
      <c r="P2927" t="s">
        <v>1752</v>
      </c>
      <c r="Q2927" t="s">
        <v>1753</v>
      </c>
      <c r="R2927" t="s">
        <v>1759</v>
      </c>
    </row>
    <row r="2928" spans="1:18" x14ac:dyDescent="0.25">
      <c r="A2928" t="s">
        <v>6312</v>
      </c>
      <c r="B2928" t="s">
        <v>2011</v>
      </c>
      <c r="C2928" t="s">
        <v>4</v>
      </c>
      <c r="D2928" t="s">
        <v>6311</v>
      </c>
      <c r="E2928" s="2">
        <v>45461</v>
      </c>
      <c r="F2928">
        <v>150</v>
      </c>
      <c r="G2928" t="s">
        <v>1746</v>
      </c>
      <c r="H2928" t="s">
        <v>1798</v>
      </c>
      <c r="I2928" t="b">
        <v>1</v>
      </c>
      <c r="J2928" t="s">
        <v>1761</v>
      </c>
      <c r="K2928" t="s">
        <v>1822</v>
      </c>
      <c r="L2928" t="s">
        <v>1817</v>
      </c>
      <c r="M2928">
        <v>3</v>
      </c>
      <c r="N2928" t="b">
        <v>1</v>
      </c>
      <c r="O2928">
        <v>70</v>
      </c>
      <c r="P2928" t="s">
        <v>1819</v>
      </c>
      <c r="Q2928" t="s">
        <v>1753</v>
      </c>
      <c r="R2928" t="s">
        <v>1759</v>
      </c>
    </row>
    <row r="2929" spans="1:18" x14ac:dyDescent="0.25">
      <c r="A2929" t="s">
        <v>6314</v>
      </c>
      <c r="B2929" t="s">
        <v>2177</v>
      </c>
      <c r="C2929" t="s">
        <v>4</v>
      </c>
      <c r="D2929" t="s">
        <v>6313</v>
      </c>
      <c r="E2929" s="2">
        <v>42335</v>
      </c>
      <c r="F2929">
        <v>3276</v>
      </c>
      <c r="G2929" t="s">
        <v>1746</v>
      </c>
      <c r="H2929" t="s">
        <v>1805</v>
      </c>
      <c r="I2929" t="b">
        <v>1</v>
      </c>
      <c r="J2929" t="s">
        <v>1748</v>
      </c>
      <c r="K2929" t="s">
        <v>1857</v>
      </c>
      <c r="L2929" t="s">
        <v>1750</v>
      </c>
      <c r="M2929">
        <v>3</v>
      </c>
      <c r="N2929" t="b">
        <v>0</v>
      </c>
      <c r="O2929">
        <v>57</v>
      </c>
      <c r="P2929" t="s">
        <v>1752</v>
      </c>
      <c r="Q2929" t="s">
        <v>1753</v>
      </c>
    </row>
    <row r="2930" spans="1:18" x14ac:dyDescent="0.25">
      <c r="A2930" t="s">
        <v>6316</v>
      </c>
      <c r="B2930" t="s">
        <v>2483</v>
      </c>
      <c r="C2930" t="s">
        <v>6</v>
      </c>
      <c r="D2930" t="s">
        <v>6315</v>
      </c>
      <c r="E2930" s="2">
        <v>45266</v>
      </c>
      <c r="F2930">
        <v>345</v>
      </c>
      <c r="G2930" t="s">
        <v>1746</v>
      </c>
      <c r="H2930" t="s">
        <v>1747</v>
      </c>
      <c r="I2930" t="b">
        <v>1</v>
      </c>
      <c r="J2930" t="s">
        <v>1761</v>
      </c>
      <c r="K2930" t="s">
        <v>1985</v>
      </c>
      <c r="L2930" t="s">
        <v>1817</v>
      </c>
      <c r="M2930">
        <v>3</v>
      </c>
      <c r="N2930" t="b">
        <v>0</v>
      </c>
      <c r="O2930">
        <v>95</v>
      </c>
      <c r="P2930" t="s">
        <v>1819</v>
      </c>
      <c r="Q2930" t="s">
        <v>1753</v>
      </c>
    </row>
    <row r="2931" spans="1:18" x14ac:dyDescent="0.25">
      <c r="A2931" t="s">
        <v>6317</v>
      </c>
      <c r="B2931" t="s">
        <v>1860</v>
      </c>
      <c r="C2931" t="s">
        <v>4</v>
      </c>
      <c r="D2931" t="s">
        <v>768</v>
      </c>
      <c r="E2931" s="2">
        <v>44509</v>
      </c>
      <c r="F2931">
        <v>1102</v>
      </c>
      <c r="G2931" t="s">
        <v>1833</v>
      </c>
      <c r="H2931" t="s">
        <v>1798</v>
      </c>
      <c r="I2931" t="b">
        <v>0</v>
      </c>
      <c r="J2931" t="s">
        <v>1748</v>
      </c>
      <c r="K2931" t="s">
        <v>1809</v>
      </c>
      <c r="L2931" t="s">
        <v>1750</v>
      </c>
      <c r="M2931">
        <v>3</v>
      </c>
      <c r="N2931" t="b">
        <v>1</v>
      </c>
      <c r="O2931">
        <v>334</v>
      </c>
      <c r="P2931" t="s">
        <v>1819</v>
      </c>
      <c r="Q2931" t="s">
        <v>1753</v>
      </c>
      <c r="R2931" t="s">
        <v>1759</v>
      </c>
    </row>
    <row r="2932" spans="1:18" x14ac:dyDescent="0.25">
      <c r="A2932" t="s">
        <v>6318</v>
      </c>
      <c r="B2932" t="s">
        <v>1860</v>
      </c>
      <c r="C2932" t="s">
        <v>4</v>
      </c>
      <c r="D2932" t="s">
        <v>764</v>
      </c>
      <c r="E2932" s="2">
        <v>45147</v>
      </c>
      <c r="F2932">
        <v>464</v>
      </c>
      <c r="G2932" t="s">
        <v>1833</v>
      </c>
      <c r="H2932" t="s">
        <v>1798</v>
      </c>
      <c r="I2932" t="b">
        <v>0</v>
      </c>
      <c r="J2932" t="s">
        <v>1748</v>
      </c>
      <c r="K2932" t="s">
        <v>1755</v>
      </c>
      <c r="L2932" t="s">
        <v>1756</v>
      </c>
      <c r="M2932">
        <v>3</v>
      </c>
      <c r="N2932" t="b">
        <v>1</v>
      </c>
      <c r="O2932">
        <v>149</v>
      </c>
      <c r="P2932" t="s">
        <v>1752</v>
      </c>
      <c r="Q2932" t="s">
        <v>1753</v>
      </c>
    </row>
    <row r="2933" spans="1:18" x14ac:dyDescent="0.25">
      <c r="A2933" t="s">
        <v>6320</v>
      </c>
      <c r="B2933" t="s">
        <v>2032</v>
      </c>
      <c r="C2933" t="s">
        <v>4</v>
      </c>
      <c r="D2933" t="s">
        <v>6319</v>
      </c>
      <c r="E2933" s="2">
        <v>44854</v>
      </c>
      <c r="F2933">
        <v>757</v>
      </c>
      <c r="G2933" t="s">
        <v>1746</v>
      </c>
      <c r="H2933" t="s">
        <v>1747</v>
      </c>
      <c r="I2933" t="b">
        <v>0</v>
      </c>
      <c r="J2933" t="s">
        <v>1748</v>
      </c>
      <c r="K2933" t="s">
        <v>1826</v>
      </c>
      <c r="L2933" t="s">
        <v>1756</v>
      </c>
      <c r="M2933">
        <v>3</v>
      </c>
      <c r="N2933" t="b">
        <v>1</v>
      </c>
      <c r="O2933">
        <v>192</v>
      </c>
      <c r="P2933" t="s">
        <v>1752</v>
      </c>
      <c r="Q2933" t="s">
        <v>1753</v>
      </c>
    </row>
    <row r="2934" spans="1:18" x14ac:dyDescent="0.25">
      <c r="A2934" t="s">
        <v>6322</v>
      </c>
      <c r="B2934" t="s">
        <v>2144</v>
      </c>
      <c r="C2934" t="s">
        <v>572</v>
      </c>
      <c r="D2934" t="s">
        <v>6321</v>
      </c>
      <c r="E2934" s="2">
        <v>44659</v>
      </c>
      <c r="F2934">
        <v>952</v>
      </c>
      <c r="G2934" t="s">
        <v>1746</v>
      </c>
      <c r="H2934" t="s">
        <v>1747</v>
      </c>
      <c r="I2934" t="b">
        <v>0</v>
      </c>
      <c r="J2934" t="s">
        <v>1748</v>
      </c>
      <c r="K2934" t="s">
        <v>1993</v>
      </c>
      <c r="L2934" t="s">
        <v>1775</v>
      </c>
      <c r="M2934">
        <v>3</v>
      </c>
      <c r="N2934" t="b">
        <v>0</v>
      </c>
      <c r="P2934" t="s">
        <v>2283</v>
      </c>
      <c r="Q2934" t="s">
        <v>1705</v>
      </c>
    </row>
    <row r="2935" spans="1:18" x14ac:dyDescent="0.25">
      <c r="A2935" t="s">
        <v>6324</v>
      </c>
      <c r="B2935" t="s">
        <v>5939</v>
      </c>
      <c r="C2935" t="s">
        <v>6258</v>
      </c>
      <c r="D2935" t="s">
        <v>6323</v>
      </c>
      <c r="E2935" s="2">
        <v>43136</v>
      </c>
      <c r="F2935">
        <v>2475</v>
      </c>
      <c r="G2935" t="s">
        <v>1746</v>
      </c>
      <c r="H2935" t="s">
        <v>1798</v>
      </c>
      <c r="I2935" t="b">
        <v>0</v>
      </c>
      <c r="J2935" t="s">
        <v>1748</v>
      </c>
      <c r="K2935" t="s">
        <v>2152</v>
      </c>
      <c r="L2935" t="s">
        <v>1750</v>
      </c>
      <c r="M2935">
        <v>3</v>
      </c>
      <c r="N2935" t="b">
        <v>0</v>
      </c>
      <c r="O2935">
        <v>7</v>
      </c>
      <c r="P2935" t="s">
        <v>1752</v>
      </c>
      <c r="Q2935" t="s">
        <v>1753</v>
      </c>
    </row>
    <row r="2936" spans="1:18" x14ac:dyDescent="0.25">
      <c r="A2936" t="s">
        <v>6326</v>
      </c>
      <c r="B2936" t="s">
        <v>2040</v>
      </c>
      <c r="C2936" t="s">
        <v>6</v>
      </c>
      <c r="D2936" t="s">
        <v>6325</v>
      </c>
      <c r="E2936" s="2">
        <v>45302</v>
      </c>
      <c r="F2936">
        <v>309</v>
      </c>
      <c r="G2936" t="s">
        <v>1833</v>
      </c>
      <c r="H2936" t="s">
        <v>1798</v>
      </c>
      <c r="I2936" t="b">
        <v>0</v>
      </c>
      <c r="J2936" t="s">
        <v>1761</v>
      </c>
      <c r="K2936" t="s">
        <v>1776</v>
      </c>
      <c r="L2936" t="s">
        <v>1750</v>
      </c>
      <c r="M2936">
        <v>3</v>
      </c>
      <c r="N2936" t="b">
        <v>1</v>
      </c>
      <c r="O2936">
        <v>444</v>
      </c>
      <c r="P2936" t="s">
        <v>1819</v>
      </c>
      <c r="Q2936" t="s">
        <v>1753</v>
      </c>
      <c r="R2936" t="s">
        <v>1828</v>
      </c>
    </row>
    <row r="2937" spans="1:18" x14ac:dyDescent="0.25">
      <c r="A2937" t="s">
        <v>6328</v>
      </c>
      <c r="B2937" t="s">
        <v>2150</v>
      </c>
      <c r="C2937" t="s">
        <v>4</v>
      </c>
      <c r="D2937" t="s">
        <v>6327</v>
      </c>
      <c r="E2937" s="2">
        <v>44336</v>
      </c>
      <c r="F2937">
        <v>1275</v>
      </c>
      <c r="G2937" t="s">
        <v>1746</v>
      </c>
      <c r="H2937" t="s">
        <v>1747</v>
      </c>
      <c r="I2937" t="b">
        <v>0</v>
      </c>
      <c r="J2937" t="s">
        <v>1761</v>
      </c>
      <c r="K2937" t="s">
        <v>1824</v>
      </c>
      <c r="L2937" t="s">
        <v>1817</v>
      </c>
      <c r="M2937">
        <v>3</v>
      </c>
      <c r="N2937" t="b">
        <v>1</v>
      </c>
      <c r="O2937">
        <v>4040</v>
      </c>
      <c r="P2937" t="s">
        <v>1819</v>
      </c>
      <c r="Q2937" t="s">
        <v>1753</v>
      </c>
      <c r="R2937" t="s">
        <v>1759</v>
      </c>
    </row>
    <row r="2938" spans="1:18" x14ac:dyDescent="0.25">
      <c r="A2938" t="s">
        <v>6330</v>
      </c>
      <c r="B2938" t="s">
        <v>2494</v>
      </c>
      <c r="C2938" t="s">
        <v>6</v>
      </c>
      <c r="D2938" t="s">
        <v>6329</v>
      </c>
      <c r="E2938" s="2">
        <v>40346</v>
      </c>
      <c r="F2938">
        <v>5265</v>
      </c>
      <c r="G2938" t="s">
        <v>1746</v>
      </c>
      <c r="H2938" t="s">
        <v>1747</v>
      </c>
      <c r="I2938" t="b">
        <v>1</v>
      </c>
      <c r="J2938" t="s">
        <v>1748</v>
      </c>
      <c r="K2938" t="s">
        <v>1880</v>
      </c>
      <c r="L2938" t="s">
        <v>1750</v>
      </c>
      <c r="M2938">
        <v>3</v>
      </c>
      <c r="N2938" t="b">
        <v>1</v>
      </c>
      <c r="O2938">
        <v>22</v>
      </c>
      <c r="P2938" t="s">
        <v>1752</v>
      </c>
      <c r="Q2938" t="s">
        <v>1753</v>
      </c>
      <c r="R2938" t="s">
        <v>1759</v>
      </c>
    </row>
    <row r="2939" spans="1:18" x14ac:dyDescent="0.25">
      <c r="A2939" t="s">
        <v>6332</v>
      </c>
      <c r="B2939" t="s">
        <v>2133</v>
      </c>
      <c r="C2939" t="s">
        <v>4</v>
      </c>
      <c r="D2939" t="s">
        <v>6331</v>
      </c>
      <c r="E2939" s="2">
        <v>44651</v>
      </c>
      <c r="F2939">
        <v>960</v>
      </c>
      <c r="G2939" t="s">
        <v>1746</v>
      </c>
      <c r="H2939" t="s">
        <v>1747</v>
      </c>
      <c r="I2939" t="b">
        <v>0</v>
      </c>
      <c r="J2939" t="s">
        <v>1748</v>
      </c>
      <c r="K2939" t="s">
        <v>2042</v>
      </c>
      <c r="L2939" t="s">
        <v>1750</v>
      </c>
      <c r="M2939">
        <v>3</v>
      </c>
      <c r="N2939" t="b">
        <v>0</v>
      </c>
      <c r="O2939">
        <v>26</v>
      </c>
      <c r="P2939" t="s">
        <v>1752</v>
      </c>
      <c r="Q2939" t="s">
        <v>1753</v>
      </c>
      <c r="R2939" t="s">
        <v>1759</v>
      </c>
    </row>
    <row r="2940" spans="1:18" x14ac:dyDescent="0.25">
      <c r="A2940" t="s">
        <v>6333</v>
      </c>
      <c r="B2940" t="s">
        <v>1945</v>
      </c>
      <c r="C2940" t="s">
        <v>6</v>
      </c>
      <c r="D2940" t="s">
        <v>141</v>
      </c>
      <c r="E2940" s="2">
        <v>42528</v>
      </c>
      <c r="F2940">
        <v>3083</v>
      </c>
      <c r="G2940" t="s">
        <v>1746</v>
      </c>
      <c r="H2940" t="s">
        <v>1798</v>
      </c>
      <c r="I2940" t="b">
        <v>0</v>
      </c>
      <c r="J2940" t="s">
        <v>1748</v>
      </c>
      <c r="K2940" t="s">
        <v>1922</v>
      </c>
      <c r="L2940" t="s">
        <v>1766</v>
      </c>
      <c r="M2940">
        <v>3</v>
      </c>
      <c r="N2940" t="b">
        <v>1</v>
      </c>
      <c r="P2940" t="s">
        <v>1752</v>
      </c>
      <c r="Q2940" t="s">
        <v>1753</v>
      </c>
      <c r="R2940" t="s">
        <v>1828</v>
      </c>
    </row>
    <row r="2941" spans="1:18" x14ac:dyDescent="0.25">
      <c r="A2941" t="s">
        <v>6335</v>
      </c>
      <c r="B2941" t="s">
        <v>1803</v>
      </c>
      <c r="C2941" t="s">
        <v>4</v>
      </c>
      <c r="D2941" t="s">
        <v>6334</v>
      </c>
      <c r="E2941" s="2">
        <v>39997</v>
      </c>
      <c r="F2941">
        <v>5614</v>
      </c>
      <c r="G2941" t="s">
        <v>1746</v>
      </c>
      <c r="H2941" t="s">
        <v>1798</v>
      </c>
      <c r="I2941" t="b">
        <v>0</v>
      </c>
      <c r="J2941" t="s">
        <v>1748</v>
      </c>
      <c r="K2941" t="s">
        <v>1755</v>
      </c>
      <c r="L2941" t="s">
        <v>1766</v>
      </c>
      <c r="M2941">
        <v>3</v>
      </c>
      <c r="N2941" t="b">
        <v>0</v>
      </c>
      <c r="P2941" t="s">
        <v>1752</v>
      </c>
      <c r="Q2941" t="s">
        <v>1753</v>
      </c>
      <c r="R2941" t="s">
        <v>1828</v>
      </c>
    </row>
    <row r="2942" spans="1:18" x14ac:dyDescent="0.25">
      <c r="A2942" t="s">
        <v>6337</v>
      </c>
      <c r="B2942" t="s">
        <v>1704</v>
      </c>
      <c r="C2942" t="s">
        <v>6</v>
      </c>
      <c r="D2942" t="s">
        <v>6336</v>
      </c>
      <c r="E2942" s="2">
        <v>45181</v>
      </c>
      <c r="F2942">
        <v>430</v>
      </c>
      <c r="G2942" t="s">
        <v>1746</v>
      </c>
      <c r="H2942" t="s">
        <v>1798</v>
      </c>
      <c r="I2942" t="b">
        <v>1</v>
      </c>
      <c r="J2942" t="s">
        <v>1748</v>
      </c>
      <c r="K2942" t="s">
        <v>1749</v>
      </c>
      <c r="L2942" t="s">
        <v>1756</v>
      </c>
      <c r="M2942">
        <v>3</v>
      </c>
      <c r="N2942" t="b">
        <v>0</v>
      </c>
      <c r="O2942">
        <v>28</v>
      </c>
      <c r="P2942" t="s">
        <v>1819</v>
      </c>
      <c r="Q2942" t="s">
        <v>1753</v>
      </c>
      <c r="R2942" t="s">
        <v>1828</v>
      </c>
    </row>
    <row r="2943" spans="1:18" x14ac:dyDescent="0.25">
      <c r="A2943" t="s">
        <v>6339</v>
      </c>
      <c r="B2943" t="s">
        <v>2150</v>
      </c>
      <c r="C2943" t="s">
        <v>4</v>
      </c>
      <c r="D2943" t="s">
        <v>6338</v>
      </c>
      <c r="E2943" s="2">
        <v>42475</v>
      </c>
      <c r="F2943">
        <v>3136</v>
      </c>
      <c r="G2943" t="s">
        <v>1746</v>
      </c>
      <c r="H2943" t="s">
        <v>1805</v>
      </c>
      <c r="I2943" t="b">
        <v>0</v>
      </c>
      <c r="J2943" t="s">
        <v>1761</v>
      </c>
      <c r="K2943" t="s">
        <v>1757</v>
      </c>
      <c r="L2943" t="s">
        <v>1750</v>
      </c>
      <c r="M2943">
        <v>3</v>
      </c>
      <c r="N2943" t="b">
        <v>0</v>
      </c>
      <c r="O2943">
        <v>75</v>
      </c>
      <c r="P2943" t="s">
        <v>1752</v>
      </c>
      <c r="Q2943" t="s">
        <v>1753</v>
      </c>
    </row>
    <row r="2944" spans="1:18" x14ac:dyDescent="0.25">
      <c r="A2944" t="s">
        <v>6340</v>
      </c>
      <c r="B2944" t="s">
        <v>1876</v>
      </c>
      <c r="C2944" t="s">
        <v>4</v>
      </c>
      <c r="D2944" t="s">
        <v>283</v>
      </c>
      <c r="E2944" s="2">
        <v>44537</v>
      </c>
      <c r="F2944">
        <v>1074</v>
      </c>
      <c r="G2944" t="s">
        <v>1746</v>
      </c>
      <c r="H2944" t="s">
        <v>1747</v>
      </c>
      <c r="I2944" t="b">
        <v>0</v>
      </c>
      <c r="J2944" t="s">
        <v>1748</v>
      </c>
      <c r="K2944" t="s">
        <v>1868</v>
      </c>
      <c r="L2944" t="s">
        <v>1750</v>
      </c>
      <c r="M2944">
        <v>3</v>
      </c>
      <c r="N2944" t="b">
        <v>0</v>
      </c>
      <c r="O2944">
        <v>32</v>
      </c>
      <c r="P2944" t="s">
        <v>1752</v>
      </c>
      <c r="Q2944" t="s">
        <v>1753</v>
      </c>
      <c r="R2944" t="s">
        <v>1759</v>
      </c>
    </row>
    <row r="2945" spans="1:18" x14ac:dyDescent="0.25">
      <c r="A2945" t="s">
        <v>5001</v>
      </c>
      <c r="B2945" t="s">
        <v>2342</v>
      </c>
      <c r="C2945" t="s">
        <v>6</v>
      </c>
      <c r="D2945" t="s">
        <v>6341</v>
      </c>
      <c r="E2945" s="2">
        <v>42766</v>
      </c>
      <c r="F2945">
        <v>2845</v>
      </c>
      <c r="G2945" t="s">
        <v>1746</v>
      </c>
      <c r="H2945" t="s">
        <v>1798</v>
      </c>
      <c r="I2945" t="b">
        <v>0</v>
      </c>
      <c r="J2945" t="s">
        <v>1761</v>
      </c>
      <c r="K2945" t="s">
        <v>1879</v>
      </c>
      <c r="L2945" t="s">
        <v>1766</v>
      </c>
      <c r="M2945">
        <v>3</v>
      </c>
      <c r="N2945" t="b">
        <v>1</v>
      </c>
      <c r="P2945" t="s">
        <v>1752</v>
      </c>
      <c r="Q2945" t="s">
        <v>1753</v>
      </c>
      <c r="R2945" t="s">
        <v>1828</v>
      </c>
    </row>
    <row r="2946" spans="1:18" x14ac:dyDescent="0.25">
      <c r="A2946" t="s">
        <v>6343</v>
      </c>
      <c r="B2946" t="s">
        <v>1978</v>
      </c>
      <c r="C2946" t="s">
        <v>6</v>
      </c>
      <c r="D2946" t="s">
        <v>6342</v>
      </c>
      <c r="E2946" s="2">
        <v>45266</v>
      </c>
      <c r="F2946">
        <v>345</v>
      </c>
      <c r="G2946" t="s">
        <v>1746</v>
      </c>
      <c r="H2946" t="s">
        <v>1747</v>
      </c>
      <c r="I2946" t="b">
        <v>1</v>
      </c>
      <c r="J2946" t="s">
        <v>1761</v>
      </c>
      <c r="K2946" t="s">
        <v>1985</v>
      </c>
      <c r="L2946" t="s">
        <v>1817</v>
      </c>
      <c r="M2946">
        <v>3</v>
      </c>
      <c r="N2946" t="b">
        <v>0</v>
      </c>
      <c r="O2946">
        <v>12</v>
      </c>
      <c r="P2946" t="s">
        <v>1819</v>
      </c>
      <c r="Q2946" t="s">
        <v>1753</v>
      </c>
    </row>
    <row r="2947" spans="1:18" x14ac:dyDescent="0.25">
      <c r="A2947" t="s">
        <v>6344</v>
      </c>
      <c r="B2947" t="s">
        <v>1860</v>
      </c>
      <c r="C2947" t="s">
        <v>4</v>
      </c>
      <c r="D2947" t="s">
        <v>1458</v>
      </c>
      <c r="E2947" s="2">
        <v>42681</v>
      </c>
      <c r="F2947">
        <v>2930</v>
      </c>
      <c r="G2947" t="s">
        <v>1746</v>
      </c>
      <c r="H2947" t="s">
        <v>1798</v>
      </c>
      <c r="I2947" t="b">
        <v>0</v>
      </c>
      <c r="J2947" t="s">
        <v>1748</v>
      </c>
      <c r="K2947" t="s">
        <v>1880</v>
      </c>
      <c r="L2947" t="s">
        <v>1750</v>
      </c>
      <c r="M2947">
        <v>3</v>
      </c>
      <c r="N2947" t="b">
        <v>1</v>
      </c>
      <c r="O2947">
        <v>343</v>
      </c>
      <c r="P2947" t="s">
        <v>1752</v>
      </c>
      <c r="Q2947" t="s">
        <v>1753</v>
      </c>
    </row>
    <row r="2948" spans="1:18" x14ac:dyDescent="0.25">
      <c r="A2948" t="s">
        <v>6346</v>
      </c>
      <c r="B2948" t="s">
        <v>1704</v>
      </c>
      <c r="C2948" t="s">
        <v>4</v>
      </c>
      <c r="D2948" t="s">
        <v>6345</v>
      </c>
      <c r="E2948" s="2">
        <v>45539</v>
      </c>
      <c r="F2948">
        <v>72</v>
      </c>
      <c r="G2948" t="s">
        <v>1746</v>
      </c>
      <c r="H2948" t="s">
        <v>1747</v>
      </c>
      <c r="I2948" t="b">
        <v>0</v>
      </c>
      <c r="J2948" t="s">
        <v>1748</v>
      </c>
      <c r="K2948" t="s">
        <v>1853</v>
      </c>
      <c r="L2948" t="s">
        <v>1817</v>
      </c>
      <c r="M2948">
        <v>3</v>
      </c>
      <c r="N2948" t="b">
        <v>0</v>
      </c>
      <c r="O2948">
        <v>32</v>
      </c>
      <c r="P2948" t="s">
        <v>1819</v>
      </c>
      <c r="Q2948" t="s">
        <v>1753</v>
      </c>
    </row>
    <row r="2949" spans="1:18" x14ac:dyDescent="0.25">
      <c r="A2949" t="s">
        <v>6348</v>
      </c>
      <c r="B2949" t="s">
        <v>2150</v>
      </c>
      <c r="C2949" t="s">
        <v>6</v>
      </c>
      <c r="D2949" t="s">
        <v>6347</v>
      </c>
      <c r="E2949" s="2">
        <v>44692</v>
      </c>
      <c r="F2949">
        <v>919</v>
      </c>
      <c r="G2949" t="s">
        <v>1746</v>
      </c>
      <c r="H2949" t="s">
        <v>1747</v>
      </c>
      <c r="I2949" t="b">
        <v>0</v>
      </c>
      <c r="J2949" t="s">
        <v>1748</v>
      </c>
      <c r="K2949" t="s">
        <v>1824</v>
      </c>
      <c r="L2949" t="s">
        <v>1817</v>
      </c>
      <c r="M2949">
        <v>3</v>
      </c>
      <c r="N2949" t="b">
        <v>1</v>
      </c>
      <c r="O2949">
        <v>401</v>
      </c>
      <c r="P2949" t="s">
        <v>1819</v>
      </c>
      <c r="Q2949" t="s">
        <v>1753</v>
      </c>
      <c r="R2949" t="s">
        <v>1759</v>
      </c>
    </row>
    <row r="2950" spans="1:18" x14ac:dyDescent="0.25">
      <c r="A2950" t="s">
        <v>6349</v>
      </c>
      <c r="B2950" t="s">
        <v>1781</v>
      </c>
      <c r="C2950" t="s">
        <v>186</v>
      </c>
      <c r="D2950" t="s">
        <v>1446</v>
      </c>
      <c r="E2950" s="2">
        <v>38987</v>
      </c>
      <c r="F2950">
        <v>6624</v>
      </c>
      <c r="G2950" t="s">
        <v>1746</v>
      </c>
      <c r="H2950" t="s">
        <v>1747</v>
      </c>
      <c r="I2950" t="b">
        <v>0</v>
      </c>
      <c r="J2950" t="s">
        <v>1748</v>
      </c>
      <c r="K2950" t="s">
        <v>1830</v>
      </c>
      <c r="L2950" t="s">
        <v>2102</v>
      </c>
      <c r="M2950">
        <v>3</v>
      </c>
      <c r="N2950" t="b">
        <v>0</v>
      </c>
      <c r="P2950" t="s">
        <v>2070</v>
      </c>
      <c r="Q2950" t="s">
        <v>1779</v>
      </c>
    </row>
    <row r="2951" spans="1:18" x14ac:dyDescent="0.25">
      <c r="A2951" t="s">
        <v>6351</v>
      </c>
      <c r="B2951" t="s">
        <v>1907</v>
      </c>
      <c r="C2951" t="s">
        <v>186</v>
      </c>
      <c r="D2951" t="s">
        <v>6350</v>
      </c>
      <c r="E2951" s="2">
        <v>44587</v>
      </c>
      <c r="F2951">
        <v>1024</v>
      </c>
      <c r="G2951" t="s">
        <v>1746</v>
      </c>
      <c r="H2951" t="s">
        <v>1747</v>
      </c>
      <c r="I2951" t="b">
        <v>0</v>
      </c>
      <c r="J2951" t="s">
        <v>1748</v>
      </c>
      <c r="K2951" t="s">
        <v>1799</v>
      </c>
      <c r="L2951" t="s">
        <v>1775</v>
      </c>
      <c r="M2951">
        <v>3</v>
      </c>
      <c r="N2951" t="b">
        <v>0</v>
      </c>
      <c r="P2951" t="s">
        <v>2283</v>
      </c>
      <c r="Q2951" t="s">
        <v>1705</v>
      </c>
    </row>
    <row r="2952" spans="1:18" x14ac:dyDescent="0.25">
      <c r="A2952" t="s">
        <v>430</v>
      </c>
      <c r="B2952" t="s">
        <v>1876</v>
      </c>
      <c r="C2952" t="s">
        <v>4</v>
      </c>
      <c r="D2952" t="s">
        <v>431</v>
      </c>
      <c r="E2952" s="2">
        <v>44811</v>
      </c>
      <c r="F2952">
        <v>800</v>
      </c>
      <c r="G2952" t="s">
        <v>1746</v>
      </c>
      <c r="H2952" t="s">
        <v>1747</v>
      </c>
      <c r="I2952" t="b">
        <v>0</v>
      </c>
      <c r="J2952" t="s">
        <v>1748</v>
      </c>
      <c r="K2952" t="s">
        <v>2042</v>
      </c>
      <c r="L2952" t="s">
        <v>1750</v>
      </c>
      <c r="M2952">
        <v>3</v>
      </c>
      <c r="N2952" t="b">
        <v>1</v>
      </c>
      <c r="O2952">
        <v>62</v>
      </c>
      <c r="P2952" t="s">
        <v>1752</v>
      </c>
      <c r="Q2952" t="s">
        <v>1753</v>
      </c>
      <c r="R2952" t="s">
        <v>1759</v>
      </c>
    </row>
    <row r="2953" spans="1:18" x14ac:dyDescent="0.25">
      <c r="A2953" t="s">
        <v>6353</v>
      </c>
      <c r="B2953" t="s">
        <v>2483</v>
      </c>
      <c r="C2953" t="s">
        <v>4</v>
      </c>
      <c r="D2953" t="s">
        <v>6352</v>
      </c>
      <c r="E2953" s="2">
        <v>45342</v>
      </c>
      <c r="F2953">
        <v>269</v>
      </c>
      <c r="G2953" t="s">
        <v>1746</v>
      </c>
      <c r="H2953" t="s">
        <v>1747</v>
      </c>
      <c r="I2953" t="b">
        <v>1</v>
      </c>
      <c r="J2953" t="s">
        <v>1748</v>
      </c>
      <c r="K2953" t="s">
        <v>1985</v>
      </c>
      <c r="L2953" t="s">
        <v>1817</v>
      </c>
      <c r="M2953">
        <v>3</v>
      </c>
      <c r="N2953" t="b">
        <v>0</v>
      </c>
      <c r="O2953">
        <v>86</v>
      </c>
      <c r="P2953" t="s">
        <v>1819</v>
      </c>
      <c r="Q2953" t="s">
        <v>1753</v>
      </c>
    </row>
    <row r="2954" spans="1:18" x14ac:dyDescent="0.25">
      <c r="A2954" t="s">
        <v>6354</v>
      </c>
      <c r="B2954" t="s">
        <v>2997</v>
      </c>
      <c r="C2954" t="s">
        <v>6</v>
      </c>
      <c r="D2954" t="s">
        <v>1146</v>
      </c>
      <c r="E2954" s="2">
        <v>45085</v>
      </c>
      <c r="F2954">
        <v>526</v>
      </c>
      <c r="G2954" t="s">
        <v>1746</v>
      </c>
      <c r="H2954" t="s">
        <v>1798</v>
      </c>
      <c r="I2954" t="b">
        <v>0</v>
      </c>
      <c r="J2954" t="s">
        <v>1748</v>
      </c>
      <c r="K2954" t="s">
        <v>1770</v>
      </c>
      <c r="L2954" t="s">
        <v>1817</v>
      </c>
      <c r="M2954">
        <v>3</v>
      </c>
      <c r="N2954" t="b">
        <v>1</v>
      </c>
      <c r="O2954">
        <v>180</v>
      </c>
      <c r="P2954" t="s">
        <v>1819</v>
      </c>
      <c r="Q2954" t="s">
        <v>1753</v>
      </c>
      <c r="R2954" t="s">
        <v>1759</v>
      </c>
    </row>
    <row r="2955" spans="1:18" x14ac:dyDescent="0.25">
      <c r="A2955" t="s">
        <v>6355</v>
      </c>
      <c r="B2955" t="s">
        <v>1876</v>
      </c>
      <c r="C2955" t="s">
        <v>4</v>
      </c>
      <c r="D2955" t="s">
        <v>295</v>
      </c>
      <c r="E2955" s="2">
        <v>44600</v>
      </c>
      <c r="F2955">
        <v>1011</v>
      </c>
      <c r="G2955" t="s">
        <v>1746</v>
      </c>
      <c r="H2955" t="s">
        <v>1747</v>
      </c>
      <c r="I2955" t="b">
        <v>0</v>
      </c>
      <c r="J2955" t="s">
        <v>1748</v>
      </c>
      <c r="K2955" t="s">
        <v>1868</v>
      </c>
      <c r="L2955" t="s">
        <v>1750</v>
      </c>
      <c r="M2955">
        <v>3</v>
      </c>
      <c r="N2955" t="b">
        <v>1</v>
      </c>
      <c r="O2955">
        <v>22</v>
      </c>
      <c r="P2955" t="s">
        <v>1752</v>
      </c>
      <c r="Q2955" t="s">
        <v>1753</v>
      </c>
      <c r="R2955" t="s">
        <v>1759</v>
      </c>
    </row>
    <row r="2956" spans="1:18" x14ac:dyDescent="0.25">
      <c r="A2956" t="s">
        <v>6357</v>
      </c>
      <c r="B2956" t="s">
        <v>1978</v>
      </c>
      <c r="C2956" t="s">
        <v>4</v>
      </c>
      <c r="D2956" t="s">
        <v>6356</v>
      </c>
      <c r="E2956" s="2">
        <v>45357</v>
      </c>
      <c r="F2956">
        <v>254</v>
      </c>
      <c r="G2956" t="s">
        <v>1746</v>
      </c>
      <c r="H2956" t="s">
        <v>1747</v>
      </c>
      <c r="I2956" t="b">
        <v>0</v>
      </c>
      <c r="J2956" t="s">
        <v>1748</v>
      </c>
      <c r="K2956" t="s">
        <v>1880</v>
      </c>
      <c r="L2956" t="s">
        <v>1750</v>
      </c>
      <c r="M2956">
        <v>3</v>
      </c>
      <c r="N2956" t="b">
        <v>1</v>
      </c>
      <c r="O2956">
        <v>232</v>
      </c>
      <c r="P2956" t="s">
        <v>1752</v>
      </c>
      <c r="Q2956" t="s">
        <v>1753</v>
      </c>
      <c r="R2956" t="s">
        <v>1759</v>
      </c>
    </row>
    <row r="2957" spans="1:18" x14ac:dyDescent="0.25">
      <c r="A2957" t="s">
        <v>6359</v>
      </c>
      <c r="B2957" t="s">
        <v>2269</v>
      </c>
      <c r="C2957" t="s">
        <v>6</v>
      </c>
      <c r="D2957" t="s">
        <v>6358</v>
      </c>
      <c r="E2957" s="2">
        <v>41240</v>
      </c>
      <c r="F2957">
        <v>4371</v>
      </c>
      <c r="G2957" t="s">
        <v>1746</v>
      </c>
      <c r="H2957" t="s">
        <v>1798</v>
      </c>
      <c r="I2957" t="b">
        <v>0</v>
      </c>
      <c r="J2957" t="s">
        <v>1748</v>
      </c>
      <c r="K2957" t="s">
        <v>1755</v>
      </c>
      <c r="L2957" t="s">
        <v>1766</v>
      </c>
      <c r="M2957">
        <v>3</v>
      </c>
      <c r="N2957" t="b">
        <v>0</v>
      </c>
      <c r="P2957" t="s">
        <v>1819</v>
      </c>
      <c r="Q2957" t="s">
        <v>1753</v>
      </c>
      <c r="R2957" t="s">
        <v>1759</v>
      </c>
    </row>
    <row r="2958" spans="1:18" x14ac:dyDescent="0.25">
      <c r="A2958" t="s">
        <v>6361</v>
      </c>
      <c r="B2958" t="s">
        <v>2082</v>
      </c>
      <c r="C2958" t="s">
        <v>6</v>
      </c>
      <c r="D2958" t="s">
        <v>6360</v>
      </c>
      <c r="E2958" s="2">
        <v>45056</v>
      </c>
      <c r="F2958">
        <v>555</v>
      </c>
      <c r="G2958" t="s">
        <v>1746</v>
      </c>
      <c r="H2958" t="s">
        <v>2231</v>
      </c>
      <c r="I2958" t="b">
        <v>0</v>
      </c>
      <c r="J2958" t="s">
        <v>1748</v>
      </c>
      <c r="K2958" t="s">
        <v>1826</v>
      </c>
      <c r="L2958" t="s">
        <v>1817</v>
      </c>
      <c r="M2958">
        <v>3</v>
      </c>
      <c r="N2958" t="b">
        <v>1</v>
      </c>
      <c r="O2958">
        <v>1574</v>
      </c>
      <c r="P2958" t="s">
        <v>1819</v>
      </c>
      <c r="Q2958" t="s">
        <v>1753</v>
      </c>
      <c r="R2958" t="s">
        <v>1759</v>
      </c>
    </row>
    <row r="2959" spans="1:18" x14ac:dyDescent="0.25">
      <c r="A2959" t="s">
        <v>6363</v>
      </c>
      <c r="B2959" t="s">
        <v>2177</v>
      </c>
      <c r="C2959" t="s">
        <v>4</v>
      </c>
      <c r="D2959" t="s">
        <v>6362</v>
      </c>
      <c r="E2959" s="2">
        <v>43441</v>
      </c>
      <c r="F2959">
        <v>2170</v>
      </c>
      <c r="G2959" t="s">
        <v>1746</v>
      </c>
      <c r="H2959" t="s">
        <v>1747</v>
      </c>
      <c r="I2959" t="b">
        <v>1</v>
      </c>
      <c r="J2959" t="s">
        <v>1748</v>
      </c>
      <c r="K2959" t="s">
        <v>1868</v>
      </c>
      <c r="L2959" t="s">
        <v>1750</v>
      </c>
      <c r="M2959">
        <v>3</v>
      </c>
      <c r="N2959" t="b">
        <v>0</v>
      </c>
      <c r="O2959">
        <v>298</v>
      </c>
      <c r="P2959" t="s">
        <v>1752</v>
      </c>
      <c r="Q2959" t="s">
        <v>1753</v>
      </c>
    </row>
    <row r="2960" spans="1:18" x14ac:dyDescent="0.25">
      <c r="A2960" t="s">
        <v>6364</v>
      </c>
      <c r="B2960" t="s">
        <v>1876</v>
      </c>
      <c r="C2960" t="s">
        <v>4</v>
      </c>
      <c r="D2960" t="s">
        <v>734</v>
      </c>
      <c r="E2960" s="2">
        <v>44637</v>
      </c>
      <c r="F2960">
        <v>974</v>
      </c>
      <c r="G2960" t="s">
        <v>1746</v>
      </c>
      <c r="H2960" t="s">
        <v>1747</v>
      </c>
      <c r="I2960" t="b">
        <v>0</v>
      </c>
      <c r="J2960" t="s">
        <v>1748</v>
      </c>
      <c r="K2960" t="s">
        <v>1776</v>
      </c>
      <c r="L2960" t="s">
        <v>1750</v>
      </c>
      <c r="M2960">
        <v>3</v>
      </c>
      <c r="N2960" t="b">
        <v>0</v>
      </c>
      <c r="O2960">
        <v>110</v>
      </c>
      <c r="P2960" t="s">
        <v>1819</v>
      </c>
      <c r="Q2960" t="s">
        <v>1753</v>
      </c>
    </row>
    <row r="2961" spans="1:18" x14ac:dyDescent="0.25">
      <c r="A2961" t="s">
        <v>6366</v>
      </c>
      <c r="B2961" t="s">
        <v>2133</v>
      </c>
      <c r="C2961" t="s">
        <v>186</v>
      </c>
      <c r="D2961" t="s">
        <v>6365</v>
      </c>
      <c r="E2961" s="2">
        <v>39365</v>
      </c>
      <c r="F2961">
        <v>6246</v>
      </c>
      <c r="G2961" t="s">
        <v>1746</v>
      </c>
      <c r="H2961" t="s">
        <v>1747</v>
      </c>
      <c r="I2961" t="b">
        <v>0</v>
      </c>
      <c r="J2961" t="s">
        <v>1748</v>
      </c>
      <c r="K2961" t="s">
        <v>1830</v>
      </c>
      <c r="L2961" t="s">
        <v>2102</v>
      </c>
      <c r="M2961">
        <v>3</v>
      </c>
      <c r="N2961" t="b">
        <v>0</v>
      </c>
      <c r="P2961" t="s">
        <v>2070</v>
      </c>
      <c r="Q2961" t="s">
        <v>1779</v>
      </c>
    </row>
    <row r="2962" spans="1:18" x14ac:dyDescent="0.25">
      <c r="A2962" t="s">
        <v>6368</v>
      </c>
      <c r="B2962" t="s">
        <v>1907</v>
      </c>
      <c r="C2962" t="s">
        <v>186</v>
      </c>
      <c r="D2962" t="s">
        <v>6367</v>
      </c>
      <c r="E2962" s="2">
        <v>45012</v>
      </c>
      <c r="F2962">
        <v>599</v>
      </c>
      <c r="G2962" t="s">
        <v>1746</v>
      </c>
      <c r="H2962" t="s">
        <v>1747</v>
      </c>
      <c r="I2962" t="b">
        <v>0</v>
      </c>
      <c r="J2962" t="s">
        <v>1748</v>
      </c>
      <c r="K2962" t="s">
        <v>1799</v>
      </c>
      <c r="L2962" t="s">
        <v>1775</v>
      </c>
      <c r="M2962">
        <v>3</v>
      </c>
      <c r="N2962" t="b">
        <v>0</v>
      </c>
      <c r="P2962" t="s">
        <v>2283</v>
      </c>
      <c r="Q2962" t="s">
        <v>1705</v>
      </c>
    </row>
    <row r="2963" spans="1:18" x14ac:dyDescent="0.25">
      <c r="A2963" t="s">
        <v>6370</v>
      </c>
      <c r="B2963" t="s">
        <v>2085</v>
      </c>
      <c r="C2963" t="s">
        <v>6</v>
      </c>
      <c r="D2963" t="s">
        <v>6369</v>
      </c>
      <c r="E2963" s="2">
        <v>42556</v>
      </c>
      <c r="F2963">
        <v>3055</v>
      </c>
      <c r="G2963" t="s">
        <v>1746</v>
      </c>
      <c r="H2963" t="s">
        <v>1747</v>
      </c>
      <c r="I2963" t="b">
        <v>0</v>
      </c>
      <c r="J2963" t="s">
        <v>1748</v>
      </c>
      <c r="K2963" t="s">
        <v>1853</v>
      </c>
      <c r="L2963" t="s">
        <v>1766</v>
      </c>
      <c r="M2963">
        <v>3</v>
      </c>
      <c r="N2963" t="b">
        <v>0</v>
      </c>
      <c r="P2963" t="s">
        <v>1752</v>
      </c>
      <c r="Q2963" t="s">
        <v>1753</v>
      </c>
    </row>
    <row r="2964" spans="1:18" x14ac:dyDescent="0.25">
      <c r="A2964" t="s">
        <v>6372</v>
      </c>
      <c r="B2964" t="s">
        <v>2011</v>
      </c>
      <c r="C2964" t="s">
        <v>4</v>
      </c>
      <c r="D2964" t="s">
        <v>6371</v>
      </c>
      <c r="E2964" s="2">
        <v>45309</v>
      </c>
      <c r="F2964">
        <v>302</v>
      </c>
      <c r="G2964" t="s">
        <v>1833</v>
      </c>
      <c r="H2964" t="s">
        <v>1798</v>
      </c>
      <c r="I2964" t="b">
        <v>0</v>
      </c>
      <c r="J2964" t="s">
        <v>1748</v>
      </c>
      <c r="K2964" t="s">
        <v>1917</v>
      </c>
      <c r="L2964" t="s">
        <v>1750</v>
      </c>
      <c r="M2964">
        <v>3</v>
      </c>
      <c r="N2964" t="b">
        <v>1</v>
      </c>
      <c r="O2964">
        <v>80</v>
      </c>
      <c r="P2964" t="s">
        <v>1752</v>
      </c>
      <c r="Q2964" t="s">
        <v>1753</v>
      </c>
    </row>
    <row r="2965" spans="1:18" x14ac:dyDescent="0.25">
      <c r="A2965" t="s">
        <v>6374</v>
      </c>
      <c r="B2965" t="s">
        <v>1704</v>
      </c>
      <c r="C2965" t="s">
        <v>4</v>
      </c>
      <c r="D2965" t="s">
        <v>6373</v>
      </c>
      <c r="E2965" s="2">
        <v>45461</v>
      </c>
      <c r="F2965">
        <v>150</v>
      </c>
      <c r="G2965" t="s">
        <v>1746</v>
      </c>
      <c r="H2965" t="s">
        <v>1798</v>
      </c>
      <c r="I2965" t="b">
        <v>0</v>
      </c>
      <c r="J2965" t="s">
        <v>1748</v>
      </c>
      <c r="K2965" t="s">
        <v>1774</v>
      </c>
      <c r="L2965" t="s">
        <v>1817</v>
      </c>
      <c r="M2965">
        <v>3</v>
      </c>
      <c r="N2965" t="b">
        <v>1</v>
      </c>
      <c r="O2965">
        <v>1472</v>
      </c>
      <c r="P2965" t="s">
        <v>1819</v>
      </c>
      <c r="Q2965" t="s">
        <v>1753</v>
      </c>
      <c r="R2965" t="s">
        <v>1759</v>
      </c>
    </row>
    <row r="2966" spans="1:18" x14ac:dyDescent="0.25">
      <c r="A2966" t="s">
        <v>490</v>
      </c>
      <c r="B2966" t="s">
        <v>1876</v>
      </c>
      <c r="C2966" t="s">
        <v>4</v>
      </c>
      <c r="D2966" t="s">
        <v>491</v>
      </c>
      <c r="E2966" s="2">
        <v>45028</v>
      </c>
      <c r="F2966">
        <v>583</v>
      </c>
      <c r="G2966" t="s">
        <v>1746</v>
      </c>
      <c r="H2966" t="s">
        <v>1747</v>
      </c>
      <c r="I2966" t="b">
        <v>0</v>
      </c>
      <c r="J2966" t="s">
        <v>1748</v>
      </c>
      <c r="K2966" t="s">
        <v>1770</v>
      </c>
      <c r="L2966" t="s">
        <v>1750</v>
      </c>
      <c r="M2966">
        <v>3</v>
      </c>
      <c r="N2966" t="b">
        <v>1</v>
      </c>
      <c r="O2966">
        <v>160</v>
      </c>
      <c r="P2966" t="s">
        <v>1752</v>
      </c>
      <c r="Q2966" t="s">
        <v>1753</v>
      </c>
      <c r="R2966" t="s">
        <v>1759</v>
      </c>
    </row>
    <row r="2967" spans="1:18" x14ac:dyDescent="0.25">
      <c r="A2967" t="s">
        <v>6376</v>
      </c>
      <c r="B2967" t="s">
        <v>4135</v>
      </c>
      <c r="C2967" t="s">
        <v>2338</v>
      </c>
      <c r="D2967" t="s">
        <v>6375</v>
      </c>
      <c r="E2967" s="2">
        <v>44943</v>
      </c>
      <c r="F2967">
        <v>668</v>
      </c>
      <c r="G2967" t="s">
        <v>1746</v>
      </c>
      <c r="H2967" t="s">
        <v>1747</v>
      </c>
      <c r="I2967" t="b">
        <v>0</v>
      </c>
      <c r="J2967" t="s">
        <v>1748</v>
      </c>
      <c r="K2967" t="s">
        <v>1935</v>
      </c>
      <c r="L2967" t="s">
        <v>1775</v>
      </c>
      <c r="M2967">
        <v>3</v>
      </c>
      <c r="N2967" t="b">
        <v>0</v>
      </c>
      <c r="P2967" t="s">
        <v>2283</v>
      </c>
      <c r="Q2967" t="s">
        <v>1705</v>
      </c>
    </row>
    <row r="2968" spans="1:18" x14ac:dyDescent="0.25">
      <c r="A2968" t="s">
        <v>6378</v>
      </c>
      <c r="B2968" t="s">
        <v>3294</v>
      </c>
      <c r="C2968" t="s">
        <v>4</v>
      </c>
      <c r="D2968" t="s">
        <v>6377</v>
      </c>
      <c r="E2968" s="2">
        <v>45245</v>
      </c>
      <c r="F2968">
        <v>366</v>
      </c>
      <c r="G2968" t="s">
        <v>1746</v>
      </c>
      <c r="H2968" t="s">
        <v>1747</v>
      </c>
      <c r="I2968" t="b">
        <v>1</v>
      </c>
      <c r="J2968" t="s">
        <v>1748</v>
      </c>
      <c r="K2968" t="s">
        <v>1996</v>
      </c>
      <c r="L2968" t="s">
        <v>1750</v>
      </c>
      <c r="M2968">
        <v>3</v>
      </c>
      <c r="N2968" t="b">
        <v>1</v>
      </c>
      <c r="O2968">
        <v>26</v>
      </c>
      <c r="P2968" t="s">
        <v>1752</v>
      </c>
      <c r="Q2968" t="s">
        <v>1753</v>
      </c>
    </row>
    <row r="2969" spans="1:18" x14ac:dyDescent="0.25">
      <c r="A2969" t="s">
        <v>6379</v>
      </c>
      <c r="B2969" t="s">
        <v>1781</v>
      </c>
      <c r="C2969" t="s">
        <v>186</v>
      </c>
      <c r="D2969" t="s">
        <v>1372</v>
      </c>
      <c r="E2969" s="2">
        <v>38987</v>
      </c>
      <c r="F2969">
        <v>6624</v>
      </c>
      <c r="G2969" t="s">
        <v>1746</v>
      </c>
      <c r="H2969" t="s">
        <v>1747</v>
      </c>
      <c r="I2969" t="b">
        <v>0</v>
      </c>
      <c r="J2969" t="s">
        <v>1748</v>
      </c>
      <c r="K2969" t="s">
        <v>1830</v>
      </c>
      <c r="L2969" t="s">
        <v>2102</v>
      </c>
      <c r="M2969">
        <v>3</v>
      </c>
      <c r="N2969" t="b">
        <v>0</v>
      </c>
      <c r="P2969" t="s">
        <v>2070</v>
      </c>
      <c r="Q2969" t="s">
        <v>1779</v>
      </c>
    </row>
    <row r="2970" spans="1:18" x14ac:dyDescent="0.25">
      <c r="A2970" t="s">
        <v>6381</v>
      </c>
      <c r="B2970" t="s">
        <v>2150</v>
      </c>
      <c r="C2970" t="s">
        <v>4</v>
      </c>
      <c r="D2970" t="s">
        <v>6380</v>
      </c>
      <c r="E2970" s="2">
        <v>44887</v>
      </c>
      <c r="F2970">
        <v>724</v>
      </c>
      <c r="G2970" t="s">
        <v>1746</v>
      </c>
      <c r="H2970" t="s">
        <v>1747</v>
      </c>
      <c r="I2970" t="b">
        <v>0</v>
      </c>
      <c r="J2970" t="s">
        <v>1748</v>
      </c>
      <c r="K2970" t="s">
        <v>1856</v>
      </c>
      <c r="L2970" t="s">
        <v>1766</v>
      </c>
      <c r="M2970">
        <v>3</v>
      </c>
      <c r="N2970" t="b">
        <v>0</v>
      </c>
      <c r="P2970" t="s">
        <v>1752</v>
      </c>
      <c r="Q2970" t="s">
        <v>1753</v>
      </c>
    </row>
    <row r="2971" spans="1:18" x14ac:dyDescent="0.25">
      <c r="A2971" t="s">
        <v>6382</v>
      </c>
      <c r="B2971" t="s">
        <v>1781</v>
      </c>
      <c r="C2971" t="s">
        <v>6</v>
      </c>
      <c r="D2971" t="s">
        <v>1693</v>
      </c>
      <c r="E2971" s="2">
        <v>44847</v>
      </c>
      <c r="F2971">
        <v>764</v>
      </c>
      <c r="G2971" t="s">
        <v>1746</v>
      </c>
      <c r="H2971" t="s">
        <v>1747</v>
      </c>
      <c r="I2971" t="b">
        <v>1</v>
      </c>
      <c r="J2971" t="s">
        <v>1748</v>
      </c>
      <c r="K2971" t="s">
        <v>1749</v>
      </c>
      <c r="L2971" t="s">
        <v>1756</v>
      </c>
      <c r="M2971">
        <v>3</v>
      </c>
      <c r="N2971" t="b">
        <v>0</v>
      </c>
      <c r="O2971">
        <v>48</v>
      </c>
      <c r="P2971" t="s">
        <v>1819</v>
      </c>
      <c r="Q2971" t="s">
        <v>1753</v>
      </c>
    </row>
    <row r="2972" spans="1:18" x14ac:dyDescent="0.25">
      <c r="A2972" t="s">
        <v>6384</v>
      </c>
      <c r="B2972" t="s">
        <v>1907</v>
      </c>
      <c r="C2972" t="s">
        <v>2709</v>
      </c>
      <c r="D2972" t="s">
        <v>6383</v>
      </c>
      <c r="E2972" s="2">
        <v>44677</v>
      </c>
      <c r="F2972">
        <v>934</v>
      </c>
      <c r="G2972" t="s">
        <v>1746</v>
      </c>
      <c r="H2972" t="s">
        <v>1747</v>
      </c>
      <c r="I2972" t="b">
        <v>0</v>
      </c>
      <c r="J2972" t="s">
        <v>1748</v>
      </c>
      <c r="K2972" t="s">
        <v>1884</v>
      </c>
      <c r="L2972" t="s">
        <v>1775</v>
      </c>
      <c r="M2972">
        <v>3</v>
      </c>
      <c r="N2972" t="b">
        <v>0</v>
      </c>
      <c r="P2972" t="s">
        <v>2283</v>
      </c>
      <c r="Q2972" t="s">
        <v>1705</v>
      </c>
    </row>
    <row r="2973" spans="1:18" x14ac:dyDescent="0.25">
      <c r="A2973" t="s">
        <v>6385</v>
      </c>
      <c r="B2973" t="s">
        <v>1876</v>
      </c>
      <c r="C2973" t="s">
        <v>4</v>
      </c>
      <c r="D2973" t="s">
        <v>816</v>
      </c>
      <c r="E2973" s="2">
        <v>44805</v>
      </c>
      <c r="F2973">
        <v>806</v>
      </c>
      <c r="G2973" t="s">
        <v>1746</v>
      </c>
      <c r="H2973" t="s">
        <v>1747</v>
      </c>
      <c r="I2973" t="b">
        <v>0</v>
      </c>
      <c r="J2973" t="s">
        <v>1748</v>
      </c>
      <c r="K2973" t="s">
        <v>1830</v>
      </c>
      <c r="L2973" t="s">
        <v>1750</v>
      </c>
      <c r="M2973">
        <v>3</v>
      </c>
      <c r="N2973" t="b">
        <v>1</v>
      </c>
      <c r="O2973">
        <v>33</v>
      </c>
      <c r="P2973" t="s">
        <v>1752</v>
      </c>
      <c r="Q2973" t="s">
        <v>1753</v>
      </c>
      <c r="R2973" t="s">
        <v>1759</v>
      </c>
    </row>
    <row r="2974" spans="1:18" x14ac:dyDescent="0.25">
      <c r="A2974" t="s">
        <v>6386</v>
      </c>
      <c r="B2974" t="s">
        <v>2353</v>
      </c>
      <c r="C2974" t="s">
        <v>4</v>
      </c>
      <c r="D2974" t="s">
        <v>1460</v>
      </c>
      <c r="E2974" s="2">
        <v>45138</v>
      </c>
      <c r="F2974">
        <v>473</v>
      </c>
      <c r="G2974" t="s">
        <v>1746</v>
      </c>
      <c r="H2974" t="s">
        <v>1798</v>
      </c>
      <c r="I2974" t="b">
        <v>0</v>
      </c>
      <c r="J2974" t="s">
        <v>1748</v>
      </c>
      <c r="K2974" t="s">
        <v>1880</v>
      </c>
      <c r="L2974" t="s">
        <v>1756</v>
      </c>
      <c r="M2974">
        <v>3</v>
      </c>
      <c r="N2974" t="b">
        <v>1</v>
      </c>
      <c r="O2974">
        <v>300</v>
      </c>
      <c r="P2974" t="s">
        <v>1752</v>
      </c>
      <c r="Q2974" t="s">
        <v>1753</v>
      </c>
    </row>
    <row r="2975" spans="1:18" x14ac:dyDescent="0.25">
      <c r="A2975" t="s">
        <v>6387</v>
      </c>
      <c r="B2975" t="s">
        <v>2667</v>
      </c>
      <c r="C2975" t="s">
        <v>6</v>
      </c>
      <c r="D2975" t="s">
        <v>374</v>
      </c>
      <c r="E2975" s="2">
        <v>42913</v>
      </c>
      <c r="F2975">
        <v>2698</v>
      </c>
      <c r="G2975" t="s">
        <v>1746</v>
      </c>
      <c r="H2975" t="s">
        <v>1798</v>
      </c>
      <c r="I2975" t="b">
        <v>0</v>
      </c>
      <c r="J2975" t="s">
        <v>1761</v>
      </c>
      <c r="K2975" t="s">
        <v>1755</v>
      </c>
      <c r="L2975" t="s">
        <v>1817</v>
      </c>
      <c r="M2975">
        <v>3</v>
      </c>
      <c r="N2975" t="b">
        <v>1</v>
      </c>
      <c r="O2975">
        <v>199</v>
      </c>
      <c r="P2975" t="s">
        <v>1819</v>
      </c>
      <c r="Q2975" t="s">
        <v>1753</v>
      </c>
      <c r="R2975" t="s">
        <v>1828</v>
      </c>
    </row>
    <row r="2976" spans="1:18" x14ac:dyDescent="0.25">
      <c r="A2976" t="s">
        <v>6389</v>
      </c>
      <c r="B2976" t="s">
        <v>6009</v>
      </c>
      <c r="C2976" t="s">
        <v>4</v>
      </c>
      <c r="D2976" t="s">
        <v>6388</v>
      </c>
      <c r="E2976" s="2">
        <v>42244</v>
      </c>
      <c r="F2976">
        <v>3367</v>
      </c>
      <c r="G2976" t="s">
        <v>1746</v>
      </c>
      <c r="H2976" t="s">
        <v>1747</v>
      </c>
      <c r="I2976" t="b">
        <v>0</v>
      </c>
      <c r="J2976" t="s">
        <v>1748</v>
      </c>
      <c r="K2976" t="s">
        <v>2042</v>
      </c>
      <c r="L2976" t="s">
        <v>1750</v>
      </c>
      <c r="M2976">
        <v>3</v>
      </c>
      <c r="N2976" t="b">
        <v>0</v>
      </c>
      <c r="O2976">
        <v>313</v>
      </c>
      <c r="P2976" t="s">
        <v>1752</v>
      </c>
      <c r="Q2976" t="s">
        <v>1753</v>
      </c>
      <c r="R2976" t="s">
        <v>1759</v>
      </c>
    </row>
    <row r="2977" spans="1:18" x14ac:dyDescent="0.25">
      <c r="A2977" t="s">
        <v>6391</v>
      </c>
      <c r="B2977" t="s">
        <v>2611</v>
      </c>
      <c r="C2977" t="s">
        <v>4</v>
      </c>
      <c r="D2977" t="s">
        <v>6390</v>
      </c>
      <c r="E2977" s="2">
        <v>45460</v>
      </c>
      <c r="F2977">
        <v>151</v>
      </c>
      <c r="G2977" t="s">
        <v>1746</v>
      </c>
      <c r="H2977" t="s">
        <v>1747</v>
      </c>
      <c r="I2977" t="b">
        <v>1</v>
      </c>
      <c r="J2977" t="s">
        <v>1748</v>
      </c>
      <c r="K2977" t="s">
        <v>1830</v>
      </c>
      <c r="L2977" t="s">
        <v>1750</v>
      </c>
      <c r="M2977">
        <v>3</v>
      </c>
      <c r="N2977" t="b">
        <v>0</v>
      </c>
      <c r="O2977">
        <v>48</v>
      </c>
      <c r="P2977" t="s">
        <v>1752</v>
      </c>
      <c r="Q2977" t="s">
        <v>1753</v>
      </c>
    </row>
    <row r="2978" spans="1:18" x14ac:dyDescent="0.25">
      <c r="A2978" t="s">
        <v>6392</v>
      </c>
      <c r="B2978" t="s">
        <v>1860</v>
      </c>
      <c r="C2978" t="s">
        <v>4</v>
      </c>
      <c r="D2978" t="s">
        <v>760</v>
      </c>
      <c r="E2978" s="2">
        <v>44980</v>
      </c>
      <c r="F2978">
        <v>631</v>
      </c>
      <c r="G2978" t="s">
        <v>1833</v>
      </c>
      <c r="H2978" t="s">
        <v>1798</v>
      </c>
      <c r="I2978" t="b">
        <v>0</v>
      </c>
      <c r="J2978" t="s">
        <v>1748</v>
      </c>
      <c r="K2978" t="s">
        <v>1879</v>
      </c>
      <c r="L2978" t="s">
        <v>1750</v>
      </c>
      <c r="M2978">
        <v>3</v>
      </c>
      <c r="N2978" t="b">
        <v>1</v>
      </c>
      <c r="O2978">
        <v>164</v>
      </c>
      <c r="P2978" t="s">
        <v>1819</v>
      </c>
      <c r="Q2978" t="s">
        <v>1753</v>
      </c>
      <c r="R2978" t="s">
        <v>1759</v>
      </c>
    </row>
    <row r="2979" spans="1:18" x14ac:dyDescent="0.25">
      <c r="A2979" t="s">
        <v>6393</v>
      </c>
      <c r="B2979" t="s">
        <v>2836</v>
      </c>
      <c r="C2979" t="s">
        <v>4</v>
      </c>
      <c r="D2979" t="s">
        <v>424</v>
      </c>
      <c r="E2979" s="2">
        <v>45028</v>
      </c>
      <c r="F2979">
        <v>583</v>
      </c>
      <c r="G2979" t="s">
        <v>1746</v>
      </c>
      <c r="H2979" t="s">
        <v>1798</v>
      </c>
      <c r="I2979" t="b">
        <v>0</v>
      </c>
      <c r="J2979" t="s">
        <v>1748</v>
      </c>
      <c r="K2979" t="s">
        <v>1853</v>
      </c>
      <c r="L2979" t="s">
        <v>1817</v>
      </c>
      <c r="M2979">
        <v>3</v>
      </c>
      <c r="N2979" t="b">
        <v>1</v>
      </c>
      <c r="O2979">
        <v>1033</v>
      </c>
      <c r="P2979" t="s">
        <v>1819</v>
      </c>
      <c r="Q2979" t="s">
        <v>1753</v>
      </c>
      <c r="R2979" t="s">
        <v>1759</v>
      </c>
    </row>
    <row r="2980" spans="1:18" x14ac:dyDescent="0.25">
      <c r="A2980" t="s">
        <v>6395</v>
      </c>
      <c r="B2980" t="s">
        <v>2082</v>
      </c>
      <c r="C2980" t="s">
        <v>4</v>
      </c>
      <c r="D2980" t="s">
        <v>6394</v>
      </c>
      <c r="E2980" s="2">
        <v>44950</v>
      </c>
      <c r="F2980">
        <v>661</v>
      </c>
      <c r="G2980" t="s">
        <v>1746</v>
      </c>
      <c r="H2980" t="s">
        <v>1747</v>
      </c>
      <c r="I2980" t="b">
        <v>0</v>
      </c>
      <c r="J2980" t="s">
        <v>1748</v>
      </c>
      <c r="K2980" t="s">
        <v>1776</v>
      </c>
      <c r="L2980" t="s">
        <v>1817</v>
      </c>
      <c r="M2980">
        <v>3</v>
      </c>
      <c r="N2980" t="b">
        <v>1</v>
      </c>
      <c r="O2980">
        <v>1033</v>
      </c>
      <c r="P2980" t="s">
        <v>1819</v>
      </c>
      <c r="Q2980" t="s">
        <v>1753</v>
      </c>
      <c r="R2980" t="s">
        <v>1759</v>
      </c>
    </row>
    <row r="2981" spans="1:18" x14ac:dyDescent="0.25">
      <c r="A2981" t="s">
        <v>6397</v>
      </c>
      <c r="B2981" t="s">
        <v>1704</v>
      </c>
      <c r="C2981" t="s">
        <v>4</v>
      </c>
      <c r="D2981" t="s">
        <v>6396</v>
      </c>
      <c r="E2981" s="2">
        <v>45386</v>
      </c>
      <c r="F2981">
        <v>225</v>
      </c>
      <c r="G2981" t="s">
        <v>1746</v>
      </c>
      <c r="H2981" t="s">
        <v>1798</v>
      </c>
      <c r="I2981" t="b">
        <v>0</v>
      </c>
      <c r="J2981" t="s">
        <v>1761</v>
      </c>
      <c r="K2981" t="s">
        <v>2021</v>
      </c>
      <c r="L2981" t="s">
        <v>1750</v>
      </c>
      <c r="M2981">
        <v>3</v>
      </c>
      <c r="N2981" t="b">
        <v>0</v>
      </c>
      <c r="O2981">
        <v>103</v>
      </c>
      <c r="P2981" t="s">
        <v>1819</v>
      </c>
      <c r="Q2981" t="s">
        <v>1753</v>
      </c>
    </row>
    <row r="2982" spans="1:18" x14ac:dyDescent="0.25">
      <c r="A2982" t="s">
        <v>6399</v>
      </c>
      <c r="B2982" t="s">
        <v>1907</v>
      </c>
      <c r="C2982" t="s">
        <v>6</v>
      </c>
      <c r="D2982" t="s">
        <v>6398</v>
      </c>
      <c r="E2982" s="2">
        <v>44727</v>
      </c>
      <c r="F2982">
        <v>884</v>
      </c>
      <c r="G2982" t="s">
        <v>1746</v>
      </c>
      <c r="H2982" t="s">
        <v>1798</v>
      </c>
      <c r="I2982" t="b">
        <v>0</v>
      </c>
      <c r="J2982" t="s">
        <v>1748</v>
      </c>
      <c r="K2982" t="s">
        <v>1755</v>
      </c>
      <c r="L2982" t="s">
        <v>1756</v>
      </c>
      <c r="M2982">
        <v>3</v>
      </c>
      <c r="N2982" t="b">
        <v>1</v>
      </c>
      <c r="O2982">
        <v>1024</v>
      </c>
      <c r="P2982" t="s">
        <v>1819</v>
      </c>
      <c r="Q2982" t="s">
        <v>1753</v>
      </c>
      <c r="R2982" t="s">
        <v>1759</v>
      </c>
    </row>
    <row r="2983" spans="1:18" x14ac:dyDescent="0.25">
      <c r="A2983" t="s">
        <v>6401</v>
      </c>
      <c r="B2983" t="s">
        <v>2483</v>
      </c>
      <c r="C2983" t="s">
        <v>4</v>
      </c>
      <c r="D2983" t="s">
        <v>6400</v>
      </c>
      <c r="E2983" s="2">
        <v>45309</v>
      </c>
      <c r="F2983">
        <v>302</v>
      </c>
      <c r="G2983" t="s">
        <v>1833</v>
      </c>
      <c r="H2983" t="s">
        <v>1747</v>
      </c>
      <c r="I2983" t="b">
        <v>0</v>
      </c>
      <c r="J2983" t="s">
        <v>1761</v>
      </c>
      <c r="K2983" t="s">
        <v>1917</v>
      </c>
      <c r="L2983" t="s">
        <v>1750</v>
      </c>
      <c r="M2983">
        <v>3</v>
      </c>
      <c r="N2983" t="b">
        <v>1</v>
      </c>
      <c r="O2983">
        <v>80</v>
      </c>
      <c r="P2983" t="s">
        <v>1752</v>
      </c>
      <c r="Q2983" t="s">
        <v>1753</v>
      </c>
    </row>
    <row r="2984" spans="1:18" x14ac:dyDescent="0.25">
      <c r="A2984" t="s">
        <v>6402</v>
      </c>
      <c r="B2984" t="s">
        <v>1876</v>
      </c>
      <c r="C2984" t="s">
        <v>4</v>
      </c>
      <c r="D2984" t="s">
        <v>250</v>
      </c>
      <c r="E2984" s="2">
        <v>45112</v>
      </c>
      <c r="F2984">
        <v>499</v>
      </c>
      <c r="G2984" t="s">
        <v>1746</v>
      </c>
      <c r="H2984" t="s">
        <v>1747</v>
      </c>
      <c r="I2984" t="b">
        <v>0</v>
      </c>
      <c r="J2984" t="s">
        <v>1748</v>
      </c>
      <c r="K2984" t="s">
        <v>1853</v>
      </c>
      <c r="L2984" t="s">
        <v>1750</v>
      </c>
      <c r="M2984">
        <v>3</v>
      </c>
      <c r="N2984" t="b">
        <v>1</v>
      </c>
      <c r="P2984" t="s">
        <v>1752</v>
      </c>
      <c r="Q2984" t="s">
        <v>1753</v>
      </c>
      <c r="R2984" t="s">
        <v>1759</v>
      </c>
    </row>
    <row r="2985" spans="1:18" x14ac:dyDescent="0.25">
      <c r="A2985" t="s">
        <v>6404</v>
      </c>
      <c r="B2985" t="s">
        <v>2662</v>
      </c>
      <c r="C2985" t="s">
        <v>4</v>
      </c>
      <c r="D2985" t="s">
        <v>6403</v>
      </c>
      <c r="E2985" s="2">
        <v>44145</v>
      </c>
      <c r="F2985">
        <v>1466</v>
      </c>
      <c r="G2985" t="s">
        <v>1746</v>
      </c>
      <c r="H2985" t="s">
        <v>1747</v>
      </c>
      <c r="I2985" t="b">
        <v>0</v>
      </c>
      <c r="J2985" t="s">
        <v>1748</v>
      </c>
      <c r="K2985" t="s">
        <v>1853</v>
      </c>
      <c r="L2985" t="s">
        <v>1756</v>
      </c>
      <c r="M2985">
        <v>3</v>
      </c>
      <c r="N2985" t="b">
        <v>1</v>
      </c>
      <c r="O2985">
        <v>100</v>
      </c>
      <c r="P2985" t="s">
        <v>1752</v>
      </c>
      <c r="Q2985" t="s">
        <v>1753</v>
      </c>
      <c r="R2985" t="s">
        <v>1828</v>
      </c>
    </row>
    <row r="2986" spans="1:18" x14ac:dyDescent="0.25">
      <c r="A2986" t="s">
        <v>6405</v>
      </c>
      <c r="B2986" t="s">
        <v>1876</v>
      </c>
      <c r="C2986" t="s">
        <v>4</v>
      </c>
      <c r="D2986" t="s">
        <v>1204</v>
      </c>
      <c r="E2986" s="2">
        <v>45103</v>
      </c>
      <c r="F2986">
        <v>508</v>
      </c>
      <c r="G2986" t="s">
        <v>1746</v>
      </c>
      <c r="H2986" t="s">
        <v>1747</v>
      </c>
      <c r="I2986" t="b">
        <v>0</v>
      </c>
      <c r="J2986" t="s">
        <v>1761</v>
      </c>
      <c r="K2986" t="s">
        <v>1771</v>
      </c>
      <c r="L2986" t="s">
        <v>1750</v>
      </c>
      <c r="M2986">
        <v>2</v>
      </c>
      <c r="N2986" t="b">
        <v>1</v>
      </c>
      <c r="O2986">
        <v>68</v>
      </c>
      <c r="P2986" t="s">
        <v>1752</v>
      </c>
      <c r="Q2986" t="s">
        <v>1753</v>
      </c>
    </row>
    <row r="2987" spans="1:18" x14ac:dyDescent="0.25">
      <c r="A2987" t="s">
        <v>6407</v>
      </c>
      <c r="B2987" t="s">
        <v>1704</v>
      </c>
      <c r="C2987" t="s">
        <v>2338</v>
      </c>
      <c r="D2987" t="s">
        <v>6406</v>
      </c>
      <c r="E2987" s="2">
        <v>45058</v>
      </c>
      <c r="F2987">
        <v>553</v>
      </c>
      <c r="G2987" t="s">
        <v>1746</v>
      </c>
      <c r="H2987" t="s">
        <v>1747</v>
      </c>
      <c r="I2987" t="b">
        <v>0</v>
      </c>
      <c r="J2987" t="s">
        <v>1748</v>
      </c>
      <c r="K2987" t="s">
        <v>1919</v>
      </c>
      <c r="L2987" t="s">
        <v>1775</v>
      </c>
      <c r="M2987">
        <v>2</v>
      </c>
      <c r="N2987" t="b">
        <v>0</v>
      </c>
      <c r="P2987" t="s">
        <v>2283</v>
      </c>
      <c r="Q2987" t="s">
        <v>1705</v>
      </c>
    </row>
    <row r="2988" spans="1:18" x14ac:dyDescent="0.25">
      <c r="A2988" t="s">
        <v>6409</v>
      </c>
      <c r="B2988" t="s">
        <v>6410</v>
      </c>
      <c r="C2988" t="s">
        <v>4</v>
      </c>
      <c r="D2988" t="s">
        <v>6408</v>
      </c>
      <c r="E2988" s="2">
        <v>43068</v>
      </c>
      <c r="F2988">
        <v>2543</v>
      </c>
      <c r="G2988" t="s">
        <v>1833</v>
      </c>
      <c r="H2988" t="s">
        <v>1798</v>
      </c>
      <c r="I2988" t="b">
        <v>0</v>
      </c>
      <c r="J2988" t="s">
        <v>1748</v>
      </c>
      <c r="K2988" t="s">
        <v>1848</v>
      </c>
      <c r="L2988" t="s">
        <v>1750</v>
      </c>
      <c r="M2988">
        <v>2</v>
      </c>
      <c r="N2988" t="b">
        <v>0</v>
      </c>
      <c r="O2988">
        <v>13</v>
      </c>
      <c r="P2988" t="s">
        <v>1819</v>
      </c>
      <c r="Q2988" t="s">
        <v>1753</v>
      </c>
      <c r="R2988" t="s">
        <v>1759</v>
      </c>
    </row>
    <row r="2989" spans="1:18" x14ac:dyDescent="0.25">
      <c r="A2989" t="s">
        <v>6412</v>
      </c>
      <c r="B2989" t="s">
        <v>2011</v>
      </c>
      <c r="C2989" t="s">
        <v>4</v>
      </c>
      <c r="D2989" t="s">
        <v>6411</v>
      </c>
      <c r="E2989" s="2">
        <v>45309</v>
      </c>
      <c r="F2989">
        <v>302</v>
      </c>
      <c r="G2989" t="s">
        <v>1833</v>
      </c>
      <c r="H2989" t="s">
        <v>1798</v>
      </c>
      <c r="I2989" t="b">
        <v>0</v>
      </c>
      <c r="J2989" t="s">
        <v>1748</v>
      </c>
      <c r="K2989" t="s">
        <v>1830</v>
      </c>
      <c r="L2989" t="s">
        <v>1750</v>
      </c>
      <c r="M2989">
        <v>2</v>
      </c>
      <c r="N2989" t="b">
        <v>1</v>
      </c>
      <c r="O2989">
        <v>101</v>
      </c>
      <c r="P2989" t="s">
        <v>1752</v>
      </c>
      <c r="Q2989" t="s">
        <v>1753</v>
      </c>
    </row>
    <row r="2990" spans="1:18" x14ac:dyDescent="0.25">
      <c r="A2990" t="s">
        <v>6413</v>
      </c>
      <c r="B2990" t="s">
        <v>1781</v>
      </c>
      <c r="C2990" t="s">
        <v>4</v>
      </c>
      <c r="D2990" t="s">
        <v>1426</v>
      </c>
      <c r="E2990" s="2">
        <v>44599</v>
      </c>
      <c r="F2990">
        <v>1012</v>
      </c>
      <c r="G2990" t="s">
        <v>1746</v>
      </c>
      <c r="H2990" t="s">
        <v>1747</v>
      </c>
      <c r="I2990" t="b">
        <v>0</v>
      </c>
      <c r="J2990" t="s">
        <v>1748</v>
      </c>
      <c r="K2990" t="s">
        <v>1856</v>
      </c>
      <c r="L2990" t="s">
        <v>1750</v>
      </c>
      <c r="M2990">
        <v>2</v>
      </c>
      <c r="N2990" t="b">
        <v>1</v>
      </c>
      <c r="O2990">
        <v>53</v>
      </c>
      <c r="P2990" t="s">
        <v>2266</v>
      </c>
      <c r="Q2990" t="s">
        <v>1753</v>
      </c>
      <c r="R2990" t="s">
        <v>1759</v>
      </c>
    </row>
    <row r="2991" spans="1:18" x14ac:dyDescent="0.25">
      <c r="A2991" t="s">
        <v>6415</v>
      </c>
      <c r="B2991" t="s">
        <v>2662</v>
      </c>
      <c r="C2991" t="s">
        <v>572</v>
      </c>
      <c r="D2991" t="s">
        <v>6414</v>
      </c>
      <c r="E2991" s="2">
        <v>44533</v>
      </c>
      <c r="F2991">
        <v>1078</v>
      </c>
      <c r="G2991" t="s">
        <v>1746</v>
      </c>
      <c r="H2991" t="s">
        <v>1798</v>
      </c>
      <c r="I2991" t="b">
        <v>0</v>
      </c>
      <c r="J2991" t="s">
        <v>1748</v>
      </c>
      <c r="K2991" t="s">
        <v>1879</v>
      </c>
      <c r="L2991" t="s">
        <v>1750</v>
      </c>
      <c r="M2991">
        <v>2</v>
      </c>
      <c r="N2991" t="b">
        <v>0</v>
      </c>
      <c r="O2991">
        <v>30</v>
      </c>
      <c r="P2991" t="s">
        <v>1752</v>
      </c>
      <c r="Q2991" t="s">
        <v>1753</v>
      </c>
      <c r="R2991" t="s">
        <v>1828</v>
      </c>
    </row>
    <row r="2992" spans="1:18" x14ac:dyDescent="0.25">
      <c r="A2992" t="s">
        <v>6417</v>
      </c>
      <c r="B2992" t="s">
        <v>1704</v>
      </c>
      <c r="C2992" t="s">
        <v>4</v>
      </c>
      <c r="D2992" t="s">
        <v>6416</v>
      </c>
      <c r="E2992" s="2">
        <v>45561</v>
      </c>
      <c r="F2992">
        <v>50</v>
      </c>
      <c r="G2992" t="s">
        <v>1746</v>
      </c>
      <c r="H2992" t="s">
        <v>1747</v>
      </c>
      <c r="I2992" t="b">
        <v>0</v>
      </c>
      <c r="J2992" t="s">
        <v>1748</v>
      </c>
      <c r="K2992" t="s">
        <v>1880</v>
      </c>
      <c r="L2992" t="s">
        <v>1817</v>
      </c>
      <c r="M2992">
        <v>2</v>
      </c>
      <c r="N2992" t="b">
        <v>0</v>
      </c>
      <c r="O2992">
        <v>34</v>
      </c>
      <c r="P2992" t="s">
        <v>1819</v>
      </c>
      <c r="Q2992" t="s">
        <v>1753</v>
      </c>
    </row>
    <row r="2993" spans="1:18" x14ac:dyDescent="0.25">
      <c r="A2993" t="s">
        <v>6418</v>
      </c>
      <c r="B2993" t="s">
        <v>1876</v>
      </c>
      <c r="C2993" t="s">
        <v>4</v>
      </c>
      <c r="D2993" t="s">
        <v>249</v>
      </c>
      <c r="E2993" s="2">
        <v>45112</v>
      </c>
      <c r="F2993">
        <v>499</v>
      </c>
      <c r="G2993" t="s">
        <v>1746</v>
      </c>
      <c r="H2993" t="s">
        <v>1747</v>
      </c>
      <c r="I2993" t="b">
        <v>0</v>
      </c>
      <c r="J2993" t="s">
        <v>1748</v>
      </c>
      <c r="K2993" t="s">
        <v>1853</v>
      </c>
      <c r="L2993" t="s">
        <v>1750</v>
      </c>
      <c r="M2993">
        <v>2</v>
      </c>
      <c r="N2993" t="b">
        <v>1</v>
      </c>
      <c r="P2993" t="s">
        <v>1752</v>
      </c>
      <c r="Q2993" t="s">
        <v>1753</v>
      </c>
      <c r="R2993" t="s">
        <v>1759</v>
      </c>
    </row>
    <row r="2994" spans="1:18" x14ac:dyDescent="0.25">
      <c r="A2994" t="s">
        <v>6420</v>
      </c>
      <c r="B2994" t="s">
        <v>1907</v>
      </c>
      <c r="C2994" t="s">
        <v>6</v>
      </c>
      <c r="D2994" t="s">
        <v>6419</v>
      </c>
      <c r="E2994" s="2">
        <v>44098</v>
      </c>
      <c r="F2994">
        <v>1513</v>
      </c>
      <c r="G2994" t="s">
        <v>1746</v>
      </c>
      <c r="H2994" t="s">
        <v>1798</v>
      </c>
      <c r="I2994" t="b">
        <v>0</v>
      </c>
      <c r="J2994" t="s">
        <v>1761</v>
      </c>
      <c r="K2994" t="s">
        <v>1853</v>
      </c>
      <c r="L2994" t="s">
        <v>1766</v>
      </c>
      <c r="M2994">
        <v>2</v>
      </c>
      <c r="N2994" t="b">
        <v>0</v>
      </c>
      <c r="P2994" t="s">
        <v>1752</v>
      </c>
      <c r="Q2994" t="s">
        <v>1753</v>
      </c>
      <c r="R2994" t="s">
        <v>1828</v>
      </c>
    </row>
    <row r="2995" spans="1:18" x14ac:dyDescent="0.25">
      <c r="A2995" t="s">
        <v>6422</v>
      </c>
      <c r="B2995" t="s">
        <v>1907</v>
      </c>
      <c r="C2995" t="s">
        <v>4</v>
      </c>
      <c r="D2995" t="s">
        <v>6421</v>
      </c>
      <c r="E2995" s="2">
        <v>45538</v>
      </c>
      <c r="F2995">
        <v>73</v>
      </c>
      <c r="G2995" t="s">
        <v>1746</v>
      </c>
      <c r="H2995" t="s">
        <v>1747</v>
      </c>
      <c r="I2995" t="b">
        <v>0</v>
      </c>
      <c r="J2995" t="s">
        <v>1748</v>
      </c>
      <c r="K2995" t="s">
        <v>1824</v>
      </c>
      <c r="L2995" t="s">
        <v>1750</v>
      </c>
      <c r="M2995">
        <v>2</v>
      </c>
      <c r="N2995" t="b">
        <v>0</v>
      </c>
      <c r="O2995">
        <v>802</v>
      </c>
      <c r="P2995" t="s">
        <v>1752</v>
      </c>
      <c r="Q2995" t="s">
        <v>1753</v>
      </c>
      <c r="R2995" t="s">
        <v>1759</v>
      </c>
    </row>
    <row r="2996" spans="1:18" x14ac:dyDescent="0.25">
      <c r="A2996" t="s">
        <v>6424</v>
      </c>
      <c r="B2996" t="s">
        <v>1907</v>
      </c>
      <c r="C2996" t="s">
        <v>186</v>
      </c>
      <c r="D2996" t="s">
        <v>6423</v>
      </c>
      <c r="E2996" s="2">
        <v>45012</v>
      </c>
      <c r="F2996">
        <v>599</v>
      </c>
      <c r="G2996" t="s">
        <v>1746</v>
      </c>
      <c r="H2996" t="s">
        <v>1747</v>
      </c>
      <c r="I2996" t="b">
        <v>0</v>
      </c>
      <c r="J2996" t="s">
        <v>1748</v>
      </c>
      <c r="K2996" t="s">
        <v>1799</v>
      </c>
      <c r="L2996" t="s">
        <v>1775</v>
      </c>
      <c r="M2996">
        <v>2</v>
      </c>
      <c r="N2996" t="b">
        <v>0</v>
      </c>
      <c r="P2996" t="s">
        <v>2283</v>
      </c>
      <c r="Q2996" t="s">
        <v>1705</v>
      </c>
    </row>
    <row r="2997" spans="1:18" x14ac:dyDescent="0.25">
      <c r="A2997" t="s">
        <v>6425</v>
      </c>
      <c r="B2997" t="s">
        <v>1876</v>
      </c>
      <c r="C2997" t="s">
        <v>4</v>
      </c>
      <c r="D2997" t="s">
        <v>1438</v>
      </c>
      <c r="E2997" s="2">
        <v>44673</v>
      </c>
      <c r="F2997">
        <v>938</v>
      </c>
      <c r="G2997" t="s">
        <v>1746</v>
      </c>
      <c r="H2997" t="s">
        <v>1747</v>
      </c>
      <c r="I2997" t="b">
        <v>0</v>
      </c>
      <c r="J2997" t="s">
        <v>1748</v>
      </c>
      <c r="K2997" t="s">
        <v>1856</v>
      </c>
      <c r="L2997" t="s">
        <v>1750</v>
      </c>
      <c r="M2997">
        <v>2</v>
      </c>
      <c r="N2997" t="b">
        <v>1</v>
      </c>
      <c r="O2997">
        <v>34</v>
      </c>
      <c r="P2997" t="s">
        <v>1752</v>
      </c>
      <c r="Q2997" t="s">
        <v>1753</v>
      </c>
      <c r="R2997" t="s">
        <v>1759</v>
      </c>
    </row>
    <row r="2998" spans="1:18" x14ac:dyDescent="0.25">
      <c r="A2998" t="s">
        <v>6427</v>
      </c>
      <c r="B2998" t="s">
        <v>2836</v>
      </c>
      <c r="C2998" t="s">
        <v>4</v>
      </c>
      <c r="D2998" t="s">
        <v>6426</v>
      </c>
      <c r="E2998" s="2">
        <v>45372</v>
      </c>
      <c r="F2998">
        <v>239</v>
      </c>
      <c r="G2998" t="s">
        <v>1746</v>
      </c>
      <c r="H2998" t="s">
        <v>1798</v>
      </c>
      <c r="I2998" t="b">
        <v>0</v>
      </c>
      <c r="J2998" t="s">
        <v>1748</v>
      </c>
      <c r="K2998" t="s">
        <v>1765</v>
      </c>
      <c r="L2998" t="s">
        <v>1766</v>
      </c>
      <c r="M2998">
        <v>2</v>
      </c>
      <c r="N2998" t="b">
        <v>0</v>
      </c>
      <c r="P2998" t="s">
        <v>1752</v>
      </c>
      <c r="Q2998" t="s">
        <v>1753</v>
      </c>
    </row>
    <row r="2999" spans="1:18" x14ac:dyDescent="0.25">
      <c r="A2999" t="s">
        <v>6428</v>
      </c>
      <c r="B2999" t="s">
        <v>1876</v>
      </c>
      <c r="C2999" t="s">
        <v>4</v>
      </c>
      <c r="D2999" t="s">
        <v>280</v>
      </c>
      <c r="E2999" s="2">
        <v>44516</v>
      </c>
      <c r="F2999">
        <v>1095</v>
      </c>
      <c r="G2999" t="s">
        <v>1746</v>
      </c>
      <c r="H2999" t="s">
        <v>1747</v>
      </c>
      <c r="I2999" t="b">
        <v>0</v>
      </c>
      <c r="J2999" t="s">
        <v>1748</v>
      </c>
      <c r="K2999" t="s">
        <v>2042</v>
      </c>
      <c r="L2999" t="s">
        <v>1750</v>
      </c>
      <c r="M2999">
        <v>2</v>
      </c>
      <c r="N2999" t="b">
        <v>0</v>
      </c>
      <c r="O2999">
        <v>53</v>
      </c>
      <c r="P2999" t="s">
        <v>1752</v>
      </c>
      <c r="Q2999" t="s">
        <v>1753</v>
      </c>
      <c r="R2999" t="s">
        <v>1759</v>
      </c>
    </row>
    <row r="3000" spans="1:18" x14ac:dyDescent="0.25">
      <c r="A3000" t="s">
        <v>6430</v>
      </c>
      <c r="B3000" t="s">
        <v>2096</v>
      </c>
      <c r="C3000" t="s">
        <v>4</v>
      </c>
      <c r="D3000" t="s">
        <v>6429</v>
      </c>
      <c r="E3000" s="2">
        <v>45474</v>
      </c>
      <c r="F3000">
        <v>137</v>
      </c>
      <c r="G3000" t="s">
        <v>1746</v>
      </c>
      <c r="H3000" t="s">
        <v>1798</v>
      </c>
      <c r="I3000" t="b">
        <v>0</v>
      </c>
      <c r="J3000" t="s">
        <v>1748</v>
      </c>
      <c r="K3000" t="s">
        <v>1755</v>
      </c>
      <c r="L3000" t="s">
        <v>1750</v>
      </c>
      <c r="M3000">
        <v>2</v>
      </c>
      <c r="N3000" t="b">
        <v>1</v>
      </c>
      <c r="O3000">
        <v>236</v>
      </c>
      <c r="P3000" t="s">
        <v>1752</v>
      </c>
      <c r="Q3000" t="s">
        <v>1753</v>
      </c>
    </row>
    <row r="3001" spans="1:18" x14ac:dyDescent="0.25">
      <c r="A3001" t="s">
        <v>6431</v>
      </c>
      <c r="B3001" t="s">
        <v>2353</v>
      </c>
      <c r="C3001" t="s">
        <v>4</v>
      </c>
      <c r="D3001" t="s">
        <v>417</v>
      </c>
      <c r="E3001" s="2">
        <v>45103</v>
      </c>
      <c r="F3001">
        <v>508</v>
      </c>
      <c r="G3001" t="s">
        <v>1746</v>
      </c>
      <c r="H3001" t="s">
        <v>1798</v>
      </c>
      <c r="I3001" t="b">
        <v>1</v>
      </c>
      <c r="J3001" t="s">
        <v>1748</v>
      </c>
      <c r="K3001" t="s">
        <v>1755</v>
      </c>
      <c r="L3001" t="s">
        <v>1817</v>
      </c>
      <c r="M3001">
        <v>2</v>
      </c>
      <c r="N3001" t="b">
        <v>0</v>
      </c>
      <c r="O3001">
        <v>2420</v>
      </c>
      <c r="P3001" t="s">
        <v>1752</v>
      </c>
      <c r="Q3001" t="s">
        <v>1753</v>
      </c>
      <c r="R3001" t="s">
        <v>1759</v>
      </c>
    </row>
    <row r="3002" spans="1:18" x14ac:dyDescent="0.25">
      <c r="A3002" t="s">
        <v>6433</v>
      </c>
      <c r="B3002" t="s">
        <v>2173</v>
      </c>
      <c r="C3002" t="s">
        <v>4</v>
      </c>
      <c r="D3002" t="s">
        <v>6432</v>
      </c>
      <c r="E3002" s="2">
        <v>42402</v>
      </c>
      <c r="F3002">
        <v>3209</v>
      </c>
      <c r="G3002" t="s">
        <v>1746</v>
      </c>
      <c r="H3002" t="s">
        <v>2231</v>
      </c>
      <c r="I3002" t="b">
        <v>0</v>
      </c>
      <c r="J3002" t="s">
        <v>1748</v>
      </c>
      <c r="K3002" t="s">
        <v>1880</v>
      </c>
      <c r="L3002" t="s">
        <v>1750</v>
      </c>
      <c r="M3002">
        <v>2</v>
      </c>
      <c r="N3002" t="b">
        <v>1</v>
      </c>
      <c r="O3002">
        <v>139</v>
      </c>
      <c r="P3002" t="s">
        <v>1752</v>
      </c>
      <c r="Q3002" t="s">
        <v>1753</v>
      </c>
      <c r="R3002" t="s">
        <v>1828</v>
      </c>
    </row>
    <row r="3003" spans="1:18" x14ac:dyDescent="0.25">
      <c r="A3003" t="s">
        <v>6435</v>
      </c>
      <c r="B3003" t="s">
        <v>1907</v>
      </c>
      <c r="C3003" t="s">
        <v>6</v>
      </c>
      <c r="D3003" t="s">
        <v>6434</v>
      </c>
      <c r="E3003" s="2">
        <v>44483</v>
      </c>
      <c r="F3003">
        <v>1128</v>
      </c>
      <c r="G3003" t="s">
        <v>1746</v>
      </c>
      <c r="H3003" t="s">
        <v>1798</v>
      </c>
      <c r="I3003" t="b">
        <v>1</v>
      </c>
      <c r="J3003" t="s">
        <v>1761</v>
      </c>
      <c r="K3003" t="s">
        <v>2021</v>
      </c>
      <c r="L3003" t="s">
        <v>1756</v>
      </c>
      <c r="M3003">
        <v>2</v>
      </c>
      <c r="N3003" t="b">
        <v>0</v>
      </c>
      <c r="O3003">
        <v>526</v>
      </c>
      <c r="P3003" t="s">
        <v>1819</v>
      </c>
      <c r="Q3003" t="s">
        <v>1753</v>
      </c>
      <c r="R3003" t="s">
        <v>1772</v>
      </c>
    </row>
    <row r="3004" spans="1:18" x14ac:dyDescent="0.25">
      <c r="A3004" t="s">
        <v>6437</v>
      </c>
      <c r="B3004" t="s">
        <v>2133</v>
      </c>
      <c r="C3004" t="s">
        <v>186</v>
      </c>
      <c r="D3004" t="s">
        <v>6436</v>
      </c>
      <c r="E3004" s="2">
        <v>39365</v>
      </c>
      <c r="F3004">
        <v>6246</v>
      </c>
      <c r="G3004" t="s">
        <v>1746</v>
      </c>
      <c r="H3004" t="s">
        <v>1747</v>
      </c>
      <c r="I3004" t="b">
        <v>0</v>
      </c>
      <c r="J3004" t="s">
        <v>1748</v>
      </c>
      <c r="K3004" t="s">
        <v>1830</v>
      </c>
      <c r="L3004" t="s">
        <v>2102</v>
      </c>
      <c r="M3004">
        <v>2</v>
      </c>
      <c r="N3004" t="b">
        <v>0</v>
      </c>
      <c r="P3004" t="s">
        <v>2070</v>
      </c>
      <c r="Q3004" t="s">
        <v>1779</v>
      </c>
    </row>
    <row r="3005" spans="1:18" x14ac:dyDescent="0.25">
      <c r="A3005" t="s">
        <v>6439</v>
      </c>
      <c r="B3005" t="s">
        <v>1907</v>
      </c>
      <c r="C3005" t="s">
        <v>4</v>
      </c>
      <c r="D3005" t="s">
        <v>6438</v>
      </c>
      <c r="E3005" s="2">
        <v>44824</v>
      </c>
      <c r="F3005">
        <v>787</v>
      </c>
      <c r="G3005" t="s">
        <v>1746</v>
      </c>
      <c r="H3005" t="s">
        <v>1798</v>
      </c>
      <c r="I3005" t="b">
        <v>1</v>
      </c>
      <c r="J3005" t="s">
        <v>1761</v>
      </c>
      <c r="K3005" t="s">
        <v>1770</v>
      </c>
      <c r="L3005" t="s">
        <v>1750</v>
      </c>
      <c r="M3005">
        <v>2</v>
      </c>
      <c r="N3005" t="b">
        <v>1</v>
      </c>
      <c r="O3005">
        <v>191</v>
      </c>
      <c r="P3005" t="s">
        <v>1752</v>
      </c>
      <c r="Q3005" t="s">
        <v>1753</v>
      </c>
      <c r="R3005" t="s">
        <v>1759</v>
      </c>
    </row>
    <row r="3006" spans="1:18" x14ac:dyDescent="0.25">
      <c r="A3006" t="s">
        <v>6441</v>
      </c>
      <c r="B3006" t="s">
        <v>2483</v>
      </c>
      <c r="C3006" t="s">
        <v>4</v>
      </c>
      <c r="D3006" t="s">
        <v>6440</v>
      </c>
      <c r="E3006" s="2">
        <v>45342</v>
      </c>
      <c r="F3006">
        <v>269</v>
      </c>
      <c r="G3006" t="s">
        <v>1746</v>
      </c>
      <c r="H3006" t="s">
        <v>1747</v>
      </c>
      <c r="I3006" t="b">
        <v>1</v>
      </c>
      <c r="J3006" t="s">
        <v>1748</v>
      </c>
      <c r="K3006" t="s">
        <v>1985</v>
      </c>
      <c r="L3006" t="s">
        <v>1817</v>
      </c>
      <c r="M3006">
        <v>2</v>
      </c>
      <c r="N3006" t="b">
        <v>0</v>
      </c>
      <c r="O3006">
        <v>96</v>
      </c>
      <c r="P3006" t="s">
        <v>1819</v>
      </c>
      <c r="Q3006" t="s">
        <v>1753</v>
      </c>
    </row>
    <row r="3007" spans="1:18" x14ac:dyDescent="0.25">
      <c r="A3007" t="s">
        <v>6443</v>
      </c>
      <c r="B3007" t="s">
        <v>2284</v>
      </c>
      <c r="C3007" t="s">
        <v>2338</v>
      </c>
      <c r="D3007" t="s">
        <v>6442</v>
      </c>
      <c r="E3007" s="2">
        <v>44866</v>
      </c>
      <c r="F3007">
        <v>745</v>
      </c>
      <c r="G3007" t="s">
        <v>1746</v>
      </c>
      <c r="H3007" t="s">
        <v>1747</v>
      </c>
      <c r="I3007" t="b">
        <v>0</v>
      </c>
      <c r="J3007" t="s">
        <v>1748</v>
      </c>
      <c r="K3007" t="s">
        <v>1845</v>
      </c>
      <c r="L3007" t="s">
        <v>1775</v>
      </c>
      <c r="M3007">
        <v>2</v>
      </c>
      <c r="N3007" t="b">
        <v>0</v>
      </c>
      <c r="P3007" t="s">
        <v>2283</v>
      </c>
      <c r="Q3007" t="s">
        <v>1705</v>
      </c>
    </row>
    <row r="3008" spans="1:18" x14ac:dyDescent="0.25">
      <c r="A3008" t="s">
        <v>6445</v>
      </c>
      <c r="B3008" t="s">
        <v>2177</v>
      </c>
      <c r="C3008" t="s">
        <v>4</v>
      </c>
      <c r="D3008" t="s">
        <v>6444</v>
      </c>
      <c r="E3008" s="2">
        <v>42310</v>
      </c>
      <c r="F3008">
        <v>3301</v>
      </c>
      <c r="G3008" t="s">
        <v>1746</v>
      </c>
      <c r="H3008" t="s">
        <v>1805</v>
      </c>
      <c r="I3008" t="b">
        <v>0</v>
      </c>
      <c r="J3008" t="s">
        <v>1761</v>
      </c>
      <c r="K3008" t="s">
        <v>1880</v>
      </c>
      <c r="L3008" t="s">
        <v>1750</v>
      </c>
      <c r="M3008">
        <v>2</v>
      </c>
      <c r="N3008" t="b">
        <v>1</v>
      </c>
      <c r="O3008">
        <v>139</v>
      </c>
      <c r="P3008" t="s">
        <v>1752</v>
      </c>
      <c r="Q3008" t="s">
        <v>1753</v>
      </c>
      <c r="R3008" t="s">
        <v>1828</v>
      </c>
    </row>
    <row r="3009" spans="1:18" x14ac:dyDescent="0.25">
      <c r="A3009" t="s">
        <v>6447</v>
      </c>
      <c r="B3009" t="s">
        <v>1907</v>
      </c>
      <c r="C3009" t="s">
        <v>6</v>
      </c>
      <c r="D3009" t="s">
        <v>6446</v>
      </c>
      <c r="E3009" s="2">
        <v>44796</v>
      </c>
      <c r="F3009">
        <v>815</v>
      </c>
      <c r="G3009" t="s">
        <v>1746</v>
      </c>
      <c r="H3009" t="s">
        <v>1798</v>
      </c>
      <c r="I3009" t="b">
        <v>1</v>
      </c>
      <c r="J3009" t="s">
        <v>1748</v>
      </c>
      <c r="K3009" t="s">
        <v>1755</v>
      </c>
      <c r="L3009" t="s">
        <v>1750</v>
      </c>
      <c r="M3009">
        <v>2</v>
      </c>
      <c r="N3009" t="b">
        <v>1</v>
      </c>
      <c r="O3009">
        <v>183</v>
      </c>
      <c r="P3009" t="s">
        <v>1752</v>
      </c>
      <c r="Q3009" t="s">
        <v>1753</v>
      </c>
    </row>
    <row r="3010" spans="1:18" x14ac:dyDescent="0.25">
      <c r="A3010" t="s">
        <v>6449</v>
      </c>
      <c r="B3010" t="s">
        <v>1704</v>
      </c>
      <c r="C3010" t="s">
        <v>4</v>
      </c>
      <c r="D3010" t="s">
        <v>6448</v>
      </c>
      <c r="E3010" s="2">
        <v>45461</v>
      </c>
      <c r="F3010">
        <v>150</v>
      </c>
      <c r="G3010" t="s">
        <v>1746</v>
      </c>
      <c r="H3010" t="s">
        <v>1747</v>
      </c>
      <c r="I3010" t="b">
        <v>0</v>
      </c>
      <c r="J3010" t="s">
        <v>1748</v>
      </c>
      <c r="K3010" t="s">
        <v>1755</v>
      </c>
      <c r="L3010" t="s">
        <v>1750</v>
      </c>
      <c r="M3010">
        <v>2</v>
      </c>
      <c r="N3010" t="b">
        <v>1</v>
      </c>
      <c r="O3010">
        <v>894</v>
      </c>
      <c r="P3010" t="s">
        <v>1752</v>
      </c>
      <c r="Q3010" t="s">
        <v>1753</v>
      </c>
      <c r="R3010" t="s">
        <v>1759</v>
      </c>
    </row>
    <row r="3011" spans="1:18" x14ac:dyDescent="0.25">
      <c r="A3011" t="s">
        <v>6451</v>
      </c>
      <c r="B3011" t="s">
        <v>2173</v>
      </c>
      <c r="C3011" t="s">
        <v>4</v>
      </c>
      <c r="D3011" t="s">
        <v>6450</v>
      </c>
      <c r="E3011" s="2">
        <v>45342</v>
      </c>
      <c r="F3011">
        <v>269</v>
      </c>
      <c r="G3011" t="s">
        <v>1746</v>
      </c>
      <c r="H3011" t="s">
        <v>2231</v>
      </c>
      <c r="I3011" t="b">
        <v>1</v>
      </c>
      <c r="J3011" t="s">
        <v>1748</v>
      </c>
      <c r="K3011" t="s">
        <v>1755</v>
      </c>
      <c r="L3011" t="s">
        <v>1756</v>
      </c>
      <c r="M3011">
        <v>2</v>
      </c>
      <c r="N3011" t="b">
        <v>0</v>
      </c>
      <c r="O3011">
        <v>2420</v>
      </c>
      <c r="P3011" t="s">
        <v>1752</v>
      </c>
      <c r="Q3011" t="s">
        <v>1753</v>
      </c>
      <c r="R3011" t="s">
        <v>1759</v>
      </c>
    </row>
    <row r="3012" spans="1:18" x14ac:dyDescent="0.25">
      <c r="A3012" t="s">
        <v>6453</v>
      </c>
      <c r="B3012" t="s">
        <v>2032</v>
      </c>
      <c r="C3012" t="s">
        <v>4</v>
      </c>
      <c r="D3012" t="s">
        <v>6452</v>
      </c>
      <c r="E3012" s="2">
        <v>45072</v>
      </c>
      <c r="F3012">
        <v>539</v>
      </c>
      <c r="G3012" t="s">
        <v>1746</v>
      </c>
      <c r="H3012" t="s">
        <v>1747</v>
      </c>
      <c r="I3012" t="b">
        <v>0</v>
      </c>
      <c r="J3012" t="s">
        <v>1748</v>
      </c>
      <c r="K3012" t="s">
        <v>1856</v>
      </c>
      <c r="L3012" t="s">
        <v>1750</v>
      </c>
      <c r="M3012">
        <v>2</v>
      </c>
      <c r="N3012" t="b">
        <v>1</v>
      </c>
      <c r="O3012">
        <v>33</v>
      </c>
      <c r="P3012" t="s">
        <v>1752</v>
      </c>
      <c r="Q3012" t="s">
        <v>1753</v>
      </c>
      <c r="R3012" t="s">
        <v>1759</v>
      </c>
    </row>
    <row r="3013" spans="1:18" x14ac:dyDescent="0.25">
      <c r="A3013" t="s">
        <v>6455</v>
      </c>
      <c r="B3013" t="s">
        <v>2011</v>
      </c>
      <c r="C3013" t="s">
        <v>4</v>
      </c>
      <c r="D3013" t="s">
        <v>6454</v>
      </c>
      <c r="E3013" s="2">
        <v>45309</v>
      </c>
      <c r="F3013">
        <v>302</v>
      </c>
      <c r="G3013" t="s">
        <v>1833</v>
      </c>
      <c r="H3013" t="s">
        <v>1798</v>
      </c>
      <c r="I3013" t="b">
        <v>0</v>
      </c>
      <c r="J3013" t="s">
        <v>1748</v>
      </c>
      <c r="K3013" t="s">
        <v>1830</v>
      </c>
      <c r="L3013" t="s">
        <v>1750</v>
      </c>
      <c r="M3013">
        <v>2</v>
      </c>
      <c r="N3013" t="b">
        <v>1</v>
      </c>
      <c r="O3013">
        <v>163</v>
      </c>
      <c r="P3013" t="s">
        <v>1752</v>
      </c>
      <c r="Q3013" t="s">
        <v>1753</v>
      </c>
    </row>
    <row r="3014" spans="1:18" x14ac:dyDescent="0.25">
      <c r="A3014" t="s">
        <v>6457</v>
      </c>
      <c r="B3014" t="s">
        <v>1907</v>
      </c>
      <c r="C3014" t="s">
        <v>6</v>
      </c>
      <c r="D3014" t="s">
        <v>6456</v>
      </c>
      <c r="E3014" s="2">
        <v>44253</v>
      </c>
      <c r="F3014">
        <v>1358</v>
      </c>
      <c r="G3014" t="s">
        <v>1746</v>
      </c>
      <c r="H3014" t="s">
        <v>1798</v>
      </c>
      <c r="I3014" t="b">
        <v>0</v>
      </c>
      <c r="J3014" t="s">
        <v>1761</v>
      </c>
      <c r="K3014" t="s">
        <v>1770</v>
      </c>
      <c r="L3014" t="s">
        <v>1750</v>
      </c>
      <c r="M3014">
        <v>2</v>
      </c>
      <c r="N3014" t="b">
        <v>1</v>
      </c>
      <c r="O3014">
        <v>118</v>
      </c>
      <c r="P3014" t="s">
        <v>1752</v>
      </c>
      <c r="Q3014" t="s">
        <v>1753</v>
      </c>
      <c r="R3014" t="s">
        <v>1828</v>
      </c>
    </row>
    <row r="3015" spans="1:18" x14ac:dyDescent="0.25">
      <c r="A3015" t="s">
        <v>6459</v>
      </c>
      <c r="B3015" t="s">
        <v>2085</v>
      </c>
      <c r="C3015" t="s">
        <v>4</v>
      </c>
      <c r="D3015" t="s">
        <v>6458</v>
      </c>
      <c r="E3015" s="2">
        <v>43209</v>
      </c>
      <c r="F3015">
        <v>2402</v>
      </c>
      <c r="G3015" t="s">
        <v>1746</v>
      </c>
      <c r="H3015" t="s">
        <v>1747</v>
      </c>
      <c r="I3015" t="b">
        <v>1</v>
      </c>
      <c r="J3015" t="s">
        <v>1748</v>
      </c>
      <c r="K3015" t="s">
        <v>1793</v>
      </c>
      <c r="L3015" t="s">
        <v>1817</v>
      </c>
      <c r="M3015">
        <v>2</v>
      </c>
      <c r="N3015" t="b">
        <v>0</v>
      </c>
      <c r="O3015">
        <v>92</v>
      </c>
      <c r="P3015" t="s">
        <v>1819</v>
      </c>
      <c r="Q3015" t="s">
        <v>1753</v>
      </c>
    </row>
    <row r="3016" spans="1:18" x14ac:dyDescent="0.25">
      <c r="A3016" t="s">
        <v>6461</v>
      </c>
      <c r="B3016" t="s">
        <v>2150</v>
      </c>
      <c r="C3016" t="s">
        <v>4</v>
      </c>
      <c r="D3016" t="s">
        <v>6460</v>
      </c>
      <c r="E3016" s="2">
        <v>43733</v>
      </c>
      <c r="F3016">
        <v>1878</v>
      </c>
      <c r="G3016" t="s">
        <v>1833</v>
      </c>
      <c r="H3016" t="s">
        <v>1805</v>
      </c>
      <c r="I3016" t="b">
        <v>0</v>
      </c>
      <c r="J3016" t="s">
        <v>1748</v>
      </c>
      <c r="K3016" t="s">
        <v>2021</v>
      </c>
      <c r="L3016" t="s">
        <v>1756</v>
      </c>
      <c r="M3016">
        <v>2</v>
      </c>
      <c r="N3016" t="b">
        <v>0</v>
      </c>
      <c r="O3016">
        <v>416</v>
      </c>
      <c r="P3016" t="s">
        <v>1827</v>
      </c>
      <c r="Q3016" t="s">
        <v>1753</v>
      </c>
    </row>
    <row r="3017" spans="1:18" x14ac:dyDescent="0.25">
      <c r="A3017" t="s">
        <v>6463</v>
      </c>
      <c r="B3017" t="s">
        <v>2483</v>
      </c>
      <c r="C3017" t="s">
        <v>4</v>
      </c>
      <c r="D3017" t="s">
        <v>6462</v>
      </c>
      <c r="E3017" s="2">
        <v>44342</v>
      </c>
      <c r="F3017">
        <v>1269</v>
      </c>
      <c r="G3017" t="s">
        <v>1746</v>
      </c>
      <c r="H3017" t="s">
        <v>1747</v>
      </c>
      <c r="I3017" t="b">
        <v>0</v>
      </c>
      <c r="J3017" t="s">
        <v>1748</v>
      </c>
      <c r="K3017" t="s">
        <v>2210</v>
      </c>
      <c r="L3017" t="s">
        <v>1750</v>
      </c>
      <c r="M3017">
        <v>2</v>
      </c>
      <c r="N3017" t="b">
        <v>0</v>
      </c>
      <c r="O3017">
        <v>45</v>
      </c>
      <c r="P3017" t="s">
        <v>1752</v>
      </c>
      <c r="Q3017" t="s">
        <v>1753</v>
      </c>
    </row>
    <row r="3018" spans="1:18" x14ac:dyDescent="0.25">
      <c r="A3018" t="s">
        <v>6465</v>
      </c>
      <c r="B3018" t="s">
        <v>2150</v>
      </c>
      <c r="C3018" t="s">
        <v>6</v>
      </c>
      <c r="D3018" t="s">
        <v>6464</v>
      </c>
      <c r="E3018" s="2">
        <v>44504</v>
      </c>
      <c r="F3018">
        <v>1107</v>
      </c>
      <c r="G3018" t="s">
        <v>1746</v>
      </c>
      <c r="H3018" t="s">
        <v>1747</v>
      </c>
      <c r="I3018" t="b">
        <v>0</v>
      </c>
      <c r="J3018" t="s">
        <v>1761</v>
      </c>
      <c r="K3018" t="s">
        <v>1824</v>
      </c>
      <c r="L3018" t="s">
        <v>1766</v>
      </c>
      <c r="M3018">
        <v>2</v>
      </c>
      <c r="N3018" t="b">
        <v>0</v>
      </c>
      <c r="P3018" t="s">
        <v>1752</v>
      </c>
      <c r="Q3018" t="s">
        <v>1753</v>
      </c>
    </row>
    <row r="3019" spans="1:18" x14ac:dyDescent="0.25">
      <c r="A3019" t="s">
        <v>6467</v>
      </c>
      <c r="B3019" t="s">
        <v>2284</v>
      </c>
      <c r="C3019" t="s">
        <v>2338</v>
      </c>
      <c r="D3019" t="s">
        <v>6466</v>
      </c>
      <c r="E3019" s="2">
        <v>43783</v>
      </c>
      <c r="F3019">
        <v>1828</v>
      </c>
      <c r="G3019" t="s">
        <v>1746</v>
      </c>
      <c r="H3019" t="s">
        <v>1747</v>
      </c>
      <c r="I3019" t="b">
        <v>0</v>
      </c>
      <c r="J3019" t="s">
        <v>1748</v>
      </c>
      <c r="K3019" t="s">
        <v>1935</v>
      </c>
      <c r="L3019" t="s">
        <v>1775</v>
      </c>
      <c r="M3019">
        <v>2</v>
      </c>
      <c r="N3019" t="b">
        <v>0</v>
      </c>
      <c r="P3019" t="s">
        <v>2283</v>
      </c>
      <c r="Q3019" t="s">
        <v>1705</v>
      </c>
    </row>
    <row r="3020" spans="1:18" x14ac:dyDescent="0.25">
      <c r="A3020" t="s">
        <v>6469</v>
      </c>
      <c r="B3020" t="s">
        <v>2150</v>
      </c>
      <c r="C3020" t="s">
        <v>6</v>
      </c>
      <c r="D3020" t="s">
        <v>6468</v>
      </c>
      <c r="E3020" s="2">
        <v>44692</v>
      </c>
      <c r="F3020">
        <v>919</v>
      </c>
      <c r="G3020" t="s">
        <v>1746</v>
      </c>
      <c r="H3020" t="s">
        <v>1805</v>
      </c>
      <c r="I3020" t="b">
        <v>0</v>
      </c>
      <c r="J3020" t="s">
        <v>1761</v>
      </c>
      <c r="K3020" t="s">
        <v>1824</v>
      </c>
      <c r="L3020" t="s">
        <v>1817</v>
      </c>
      <c r="M3020">
        <v>2</v>
      </c>
      <c r="N3020" t="b">
        <v>1</v>
      </c>
      <c r="O3020">
        <v>401</v>
      </c>
      <c r="P3020" t="s">
        <v>1819</v>
      </c>
      <c r="Q3020" t="s">
        <v>1753</v>
      </c>
      <c r="R3020" t="s">
        <v>1759</v>
      </c>
    </row>
    <row r="3021" spans="1:18" x14ac:dyDescent="0.25">
      <c r="A3021" t="s">
        <v>6471</v>
      </c>
      <c r="B3021" t="s">
        <v>2483</v>
      </c>
      <c r="C3021" t="s">
        <v>6</v>
      </c>
      <c r="D3021" t="s">
        <v>6470</v>
      </c>
      <c r="E3021" s="2">
        <v>45545</v>
      </c>
      <c r="F3021">
        <v>66</v>
      </c>
      <c r="G3021" t="s">
        <v>1833</v>
      </c>
      <c r="H3021" t="s">
        <v>1798</v>
      </c>
      <c r="I3021" t="b">
        <v>0</v>
      </c>
      <c r="J3021" t="s">
        <v>1761</v>
      </c>
      <c r="K3021" t="s">
        <v>1880</v>
      </c>
      <c r="L3021" t="s">
        <v>1750</v>
      </c>
      <c r="M3021">
        <v>2</v>
      </c>
      <c r="N3021" t="b">
        <v>1</v>
      </c>
      <c r="P3021" t="s">
        <v>1819</v>
      </c>
      <c r="Q3021" t="s">
        <v>1753</v>
      </c>
      <c r="R3021" t="s">
        <v>1759</v>
      </c>
    </row>
    <row r="3022" spans="1:18" x14ac:dyDescent="0.25">
      <c r="A3022" t="s">
        <v>6473</v>
      </c>
      <c r="B3022" t="s">
        <v>1983</v>
      </c>
      <c r="C3022" t="s">
        <v>4</v>
      </c>
      <c r="D3022" t="s">
        <v>6472</v>
      </c>
      <c r="E3022" s="2">
        <v>45205</v>
      </c>
      <c r="F3022">
        <v>406</v>
      </c>
      <c r="G3022" t="s">
        <v>1746</v>
      </c>
      <c r="H3022" t="s">
        <v>1747</v>
      </c>
      <c r="I3022" t="b">
        <v>0</v>
      </c>
      <c r="J3022" t="s">
        <v>1748</v>
      </c>
      <c r="K3022" t="s">
        <v>1824</v>
      </c>
      <c r="L3022" t="s">
        <v>1750</v>
      </c>
      <c r="M3022">
        <v>2</v>
      </c>
      <c r="N3022" t="b">
        <v>1</v>
      </c>
      <c r="O3022">
        <v>942</v>
      </c>
      <c r="P3022" t="s">
        <v>1752</v>
      </c>
      <c r="Q3022" t="s">
        <v>1753</v>
      </c>
      <c r="R3022" t="s">
        <v>1759</v>
      </c>
    </row>
    <row r="3023" spans="1:18" x14ac:dyDescent="0.25">
      <c r="A3023" t="s">
        <v>6475</v>
      </c>
      <c r="B3023" t="s">
        <v>5939</v>
      </c>
      <c r="C3023" t="s">
        <v>6258</v>
      </c>
      <c r="D3023" t="s">
        <v>6474</v>
      </c>
      <c r="E3023" s="2">
        <v>43090</v>
      </c>
      <c r="F3023">
        <v>2521</v>
      </c>
      <c r="G3023" t="s">
        <v>1746</v>
      </c>
      <c r="H3023" t="s">
        <v>1798</v>
      </c>
      <c r="I3023" t="b">
        <v>0</v>
      </c>
      <c r="J3023" t="s">
        <v>1748</v>
      </c>
      <c r="K3023" t="s">
        <v>2152</v>
      </c>
      <c r="L3023" t="s">
        <v>1750</v>
      </c>
      <c r="M3023">
        <v>2</v>
      </c>
      <c r="N3023" t="b">
        <v>0</v>
      </c>
      <c r="O3023">
        <v>19</v>
      </c>
      <c r="P3023" t="s">
        <v>1752</v>
      </c>
      <c r="Q3023" t="s">
        <v>1753</v>
      </c>
    </row>
    <row r="3024" spans="1:18" x14ac:dyDescent="0.25">
      <c r="A3024" t="s">
        <v>6476</v>
      </c>
      <c r="B3024" t="s">
        <v>1860</v>
      </c>
      <c r="C3024" t="s">
        <v>4</v>
      </c>
      <c r="D3024" t="s">
        <v>958</v>
      </c>
      <c r="E3024" s="2">
        <v>45040</v>
      </c>
      <c r="F3024">
        <v>571</v>
      </c>
      <c r="G3024" t="s">
        <v>1833</v>
      </c>
      <c r="H3024" t="s">
        <v>1798</v>
      </c>
      <c r="I3024" t="b">
        <v>0</v>
      </c>
      <c r="J3024" t="s">
        <v>1748</v>
      </c>
      <c r="K3024" t="s">
        <v>1848</v>
      </c>
      <c r="L3024" t="s">
        <v>1750</v>
      </c>
      <c r="M3024">
        <v>2</v>
      </c>
      <c r="N3024" t="b">
        <v>1</v>
      </c>
      <c r="O3024">
        <v>441</v>
      </c>
      <c r="P3024" t="s">
        <v>1752</v>
      </c>
      <c r="Q3024" t="s">
        <v>1753</v>
      </c>
      <c r="R3024" t="s">
        <v>1759</v>
      </c>
    </row>
    <row r="3025" spans="1:18" x14ac:dyDescent="0.25">
      <c r="A3025" t="s">
        <v>6478</v>
      </c>
      <c r="B3025" t="s">
        <v>1704</v>
      </c>
      <c r="C3025" t="s">
        <v>6</v>
      </c>
      <c r="D3025" t="s">
        <v>6477</v>
      </c>
      <c r="E3025" s="2">
        <v>45232</v>
      </c>
      <c r="F3025">
        <v>379</v>
      </c>
      <c r="G3025" t="s">
        <v>1746</v>
      </c>
      <c r="H3025" t="s">
        <v>1798</v>
      </c>
      <c r="I3025" t="b">
        <v>1</v>
      </c>
      <c r="J3025" t="s">
        <v>1761</v>
      </c>
      <c r="K3025" t="s">
        <v>1774</v>
      </c>
      <c r="L3025" t="s">
        <v>1750</v>
      </c>
      <c r="M3025">
        <v>2</v>
      </c>
      <c r="N3025" t="b">
        <v>1</v>
      </c>
      <c r="O3025">
        <v>381</v>
      </c>
      <c r="P3025" t="s">
        <v>1752</v>
      </c>
      <c r="Q3025" t="s">
        <v>1753</v>
      </c>
      <c r="R3025" t="s">
        <v>1828</v>
      </c>
    </row>
    <row r="3026" spans="1:18" x14ac:dyDescent="0.25">
      <c r="A3026" t="s">
        <v>6480</v>
      </c>
      <c r="B3026" t="s">
        <v>2144</v>
      </c>
      <c r="C3026" t="s">
        <v>572</v>
      </c>
      <c r="D3026" t="s">
        <v>6479</v>
      </c>
      <c r="E3026" s="2">
        <v>44529</v>
      </c>
      <c r="F3026">
        <v>1082</v>
      </c>
      <c r="G3026" t="s">
        <v>1746</v>
      </c>
      <c r="H3026" t="s">
        <v>1747</v>
      </c>
      <c r="I3026" t="b">
        <v>0</v>
      </c>
      <c r="J3026" t="s">
        <v>1748</v>
      </c>
      <c r="K3026" t="s">
        <v>1993</v>
      </c>
      <c r="L3026" t="s">
        <v>1775</v>
      </c>
      <c r="M3026">
        <v>2</v>
      </c>
      <c r="N3026" t="b">
        <v>0</v>
      </c>
      <c r="P3026" t="s">
        <v>2283</v>
      </c>
      <c r="Q3026" t="s">
        <v>1705</v>
      </c>
    </row>
    <row r="3027" spans="1:18" x14ac:dyDescent="0.25">
      <c r="A3027" t="s">
        <v>6482</v>
      </c>
      <c r="B3027" t="s">
        <v>1907</v>
      </c>
      <c r="C3027" t="s">
        <v>6</v>
      </c>
      <c r="D3027" t="s">
        <v>6481</v>
      </c>
      <c r="E3027" s="2">
        <v>44630</v>
      </c>
      <c r="F3027">
        <v>981</v>
      </c>
      <c r="G3027" t="s">
        <v>1746</v>
      </c>
      <c r="H3027" t="s">
        <v>1747</v>
      </c>
      <c r="I3027" t="b">
        <v>0</v>
      </c>
      <c r="J3027" t="s">
        <v>1748</v>
      </c>
      <c r="K3027" t="s">
        <v>1776</v>
      </c>
      <c r="L3027" t="s">
        <v>1750</v>
      </c>
      <c r="M3027">
        <v>2</v>
      </c>
      <c r="N3027" t="b">
        <v>1</v>
      </c>
      <c r="O3027">
        <v>331</v>
      </c>
      <c r="P3027" t="s">
        <v>1752</v>
      </c>
      <c r="Q3027" t="s">
        <v>1753</v>
      </c>
      <c r="R3027" t="s">
        <v>2028</v>
      </c>
    </row>
    <row r="3028" spans="1:18" x14ac:dyDescent="0.25">
      <c r="A3028" t="s">
        <v>6484</v>
      </c>
      <c r="B3028" t="s">
        <v>1704</v>
      </c>
      <c r="C3028" t="s">
        <v>1249</v>
      </c>
      <c r="D3028" t="s">
        <v>6483</v>
      </c>
      <c r="E3028" s="2">
        <v>42656</v>
      </c>
      <c r="F3028">
        <v>2955</v>
      </c>
      <c r="G3028" t="s">
        <v>1746</v>
      </c>
      <c r="H3028" t="s">
        <v>1747</v>
      </c>
      <c r="I3028" t="b">
        <v>0</v>
      </c>
      <c r="J3028" t="s">
        <v>1748</v>
      </c>
      <c r="K3028" t="s">
        <v>1813</v>
      </c>
      <c r="L3028" t="s">
        <v>2102</v>
      </c>
      <c r="M3028">
        <v>2</v>
      </c>
      <c r="N3028" t="b">
        <v>0</v>
      </c>
      <c r="P3028" t="s">
        <v>2070</v>
      </c>
      <c r="Q3028" t="s">
        <v>1779</v>
      </c>
    </row>
    <row r="3029" spans="1:18" x14ac:dyDescent="0.25">
      <c r="A3029" t="s">
        <v>6485</v>
      </c>
      <c r="B3029" t="s">
        <v>1781</v>
      </c>
      <c r="C3029" t="s">
        <v>4</v>
      </c>
      <c r="D3029" t="s">
        <v>1344</v>
      </c>
      <c r="E3029" s="2">
        <v>44623</v>
      </c>
      <c r="F3029">
        <v>988</v>
      </c>
      <c r="G3029" t="s">
        <v>1746</v>
      </c>
      <c r="H3029" t="s">
        <v>1747</v>
      </c>
      <c r="I3029" t="b">
        <v>0</v>
      </c>
      <c r="J3029" t="s">
        <v>1748</v>
      </c>
      <c r="K3029" t="s">
        <v>1856</v>
      </c>
      <c r="L3029" t="s">
        <v>2102</v>
      </c>
      <c r="M3029">
        <v>2</v>
      </c>
      <c r="N3029" t="b">
        <v>0</v>
      </c>
      <c r="P3029" t="s">
        <v>2070</v>
      </c>
      <c r="Q3029" t="s">
        <v>1779</v>
      </c>
    </row>
    <row r="3030" spans="1:18" x14ac:dyDescent="0.25">
      <c r="A3030" t="s">
        <v>6487</v>
      </c>
      <c r="B3030" t="s">
        <v>1907</v>
      </c>
      <c r="C3030" t="s">
        <v>4</v>
      </c>
      <c r="D3030" t="s">
        <v>6486</v>
      </c>
      <c r="E3030" s="2">
        <v>40002</v>
      </c>
      <c r="F3030">
        <v>5609</v>
      </c>
      <c r="G3030" t="s">
        <v>1746</v>
      </c>
      <c r="H3030" t="s">
        <v>1798</v>
      </c>
      <c r="I3030" t="b">
        <v>0</v>
      </c>
      <c r="J3030" t="s">
        <v>1748</v>
      </c>
      <c r="K3030" t="s">
        <v>1755</v>
      </c>
      <c r="L3030" t="s">
        <v>1766</v>
      </c>
      <c r="M3030">
        <v>2</v>
      </c>
      <c r="N3030" t="b">
        <v>0</v>
      </c>
      <c r="P3030" t="s">
        <v>1752</v>
      </c>
      <c r="Q3030" t="s">
        <v>1753</v>
      </c>
      <c r="R3030" t="s">
        <v>1828</v>
      </c>
    </row>
    <row r="3031" spans="1:18" x14ac:dyDescent="0.25">
      <c r="A3031" t="s">
        <v>6489</v>
      </c>
      <c r="B3031" t="s">
        <v>2173</v>
      </c>
      <c r="C3031" t="s">
        <v>6</v>
      </c>
      <c r="D3031" t="s">
        <v>6488</v>
      </c>
      <c r="E3031" s="2">
        <v>44687</v>
      </c>
      <c r="F3031">
        <v>924</v>
      </c>
      <c r="G3031" t="s">
        <v>1746</v>
      </c>
      <c r="H3031" t="s">
        <v>2231</v>
      </c>
      <c r="I3031" t="b">
        <v>0</v>
      </c>
      <c r="J3031" t="s">
        <v>1761</v>
      </c>
      <c r="K3031" t="s">
        <v>1824</v>
      </c>
      <c r="L3031" t="s">
        <v>1817</v>
      </c>
      <c r="M3031">
        <v>2</v>
      </c>
      <c r="N3031" t="b">
        <v>1</v>
      </c>
      <c r="O3031">
        <v>401</v>
      </c>
      <c r="P3031" t="s">
        <v>1819</v>
      </c>
      <c r="Q3031" t="s">
        <v>1753</v>
      </c>
      <c r="R3031" t="s">
        <v>1759</v>
      </c>
    </row>
    <row r="3032" spans="1:18" x14ac:dyDescent="0.25">
      <c r="A3032" t="s">
        <v>6491</v>
      </c>
      <c r="B3032" t="s">
        <v>2662</v>
      </c>
      <c r="C3032" t="s">
        <v>4</v>
      </c>
      <c r="D3032" t="s">
        <v>6490</v>
      </c>
      <c r="E3032" s="2">
        <v>45454</v>
      </c>
      <c r="F3032">
        <v>157</v>
      </c>
      <c r="G3032" t="s">
        <v>1746</v>
      </c>
      <c r="H3032" t="s">
        <v>1747</v>
      </c>
      <c r="I3032" t="b">
        <v>0</v>
      </c>
      <c r="J3032" t="s">
        <v>1761</v>
      </c>
      <c r="K3032" t="s">
        <v>1824</v>
      </c>
      <c r="L3032" t="s">
        <v>1750</v>
      </c>
      <c r="M3032">
        <v>2</v>
      </c>
      <c r="N3032" t="b">
        <v>1</v>
      </c>
      <c r="O3032">
        <v>126</v>
      </c>
      <c r="P3032" t="s">
        <v>1752</v>
      </c>
      <c r="Q3032" t="s">
        <v>1753</v>
      </c>
    </row>
    <row r="3033" spans="1:18" x14ac:dyDescent="0.25">
      <c r="A3033" t="s">
        <v>6493</v>
      </c>
      <c r="B3033" t="s">
        <v>2085</v>
      </c>
      <c r="C3033" t="s">
        <v>4</v>
      </c>
      <c r="D3033" t="s">
        <v>6492</v>
      </c>
      <c r="E3033" s="2">
        <v>43152</v>
      </c>
      <c r="F3033">
        <v>2459</v>
      </c>
      <c r="G3033" t="s">
        <v>1746</v>
      </c>
      <c r="H3033" t="s">
        <v>1747</v>
      </c>
      <c r="I3033" t="b">
        <v>1</v>
      </c>
      <c r="J3033" t="s">
        <v>1761</v>
      </c>
      <c r="K3033" t="s">
        <v>1880</v>
      </c>
      <c r="L3033" t="s">
        <v>1756</v>
      </c>
      <c r="M3033">
        <v>2</v>
      </c>
      <c r="N3033" t="b">
        <v>0</v>
      </c>
      <c r="O3033">
        <v>202</v>
      </c>
      <c r="P3033" t="s">
        <v>1752</v>
      </c>
      <c r="Q3033" t="s">
        <v>1753</v>
      </c>
    </row>
    <row r="3034" spans="1:18" x14ac:dyDescent="0.25">
      <c r="A3034" t="s">
        <v>6494</v>
      </c>
      <c r="B3034" t="s">
        <v>1876</v>
      </c>
      <c r="C3034" t="s">
        <v>4</v>
      </c>
      <c r="D3034" t="s">
        <v>1589</v>
      </c>
      <c r="E3034" s="2">
        <v>44908</v>
      </c>
      <c r="F3034">
        <v>703</v>
      </c>
      <c r="G3034" t="s">
        <v>1746</v>
      </c>
      <c r="H3034" t="s">
        <v>1747</v>
      </c>
      <c r="I3034" t="b">
        <v>0</v>
      </c>
      <c r="J3034" t="s">
        <v>1748</v>
      </c>
      <c r="K3034" t="s">
        <v>1880</v>
      </c>
      <c r="L3034" t="s">
        <v>1750</v>
      </c>
      <c r="M3034">
        <v>2</v>
      </c>
      <c r="N3034" t="b">
        <v>1</v>
      </c>
      <c r="O3034">
        <v>99</v>
      </c>
      <c r="P3034" t="s">
        <v>1752</v>
      </c>
      <c r="Q3034" t="s">
        <v>1753</v>
      </c>
      <c r="R3034" t="s">
        <v>1759</v>
      </c>
    </row>
    <row r="3035" spans="1:18" x14ac:dyDescent="0.25">
      <c r="A3035" t="s">
        <v>6496</v>
      </c>
      <c r="B3035" t="s">
        <v>2150</v>
      </c>
      <c r="C3035" t="s">
        <v>4</v>
      </c>
      <c r="D3035" t="s">
        <v>6495</v>
      </c>
      <c r="E3035" s="2">
        <v>44880</v>
      </c>
      <c r="F3035">
        <v>731</v>
      </c>
      <c r="G3035" t="s">
        <v>1746</v>
      </c>
      <c r="H3035" t="s">
        <v>1805</v>
      </c>
      <c r="I3035" t="b">
        <v>0</v>
      </c>
      <c r="J3035" t="s">
        <v>1748</v>
      </c>
      <c r="K3035" t="s">
        <v>1826</v>
      </c>
      <c r="L3035" t="s">
        <v>1817</v>
      </c>
      <c r="M3035">
        <v>2</v>
      </c>
      <c r="N3035" t="b">
        <v>1</v>
      </c>
      <c r="O3035">
        <v>1053</v>
      </c>
      <c r="P3035" t="s">
        <v>1819</v>
      </c>
      <c r="Q3035" t="s">
        <v>1753</v>
      </c>
      <c r="R3035" t="s">
        <v>1759</v>
      </c>
    </row>
    <row r="3036" spans="1:18" x14ac:dyDescent="0.25">
      <c r="A3036" t="s">
        <v>6498</v>
      </c>
      <c r="B3036" t="s">
        <v>1803</v>
      </c>
      <c r="C3036" t="s">
        <v>4</v>
      </c>
      <c r="D3036" t="s">
        <v>6497</v>
      </c>
      <c r="E3036" s="2">
        <v>40001</v>
      </c>
      <c r="F3036">
        <v>5610</v>
      </c>
      <c r="G3036" t="s">
        <v>1746</v>
      </c>
      <c r="H3036" t="s">
        <v>1798</v>
      </c>
      <c r="I3036" t="b">
        <v>0</v>
      </c>
      <c r="J3036" t="s">
        <v>1748</v>
      </c>
      <c r="K3036" t="s">
        <v>1755</v>
      </c>
      <c r="L3036" t="s">
        <v>1766</v>
      </c>
      <c r="M3036">
        <v>2</v>
      </c>
      <c r="N3036" t="b">
        <v>0</v>
      </c>
      <c r="P3036" t="s">
        <v>1752</v>
      </c>
      <c r="Q3036" t="s">
        <v>1753</v>
      </c>
      <c r="R3036" t="s">
        <v>1828</v>
      </c>
    </row>
    <row r="3037" spans="1:18" x14ac:dyDescent="0.25">
      <c r="A3037" t="s">
        <v>6500</v>
      </c>
      <c r="B3037" t="s">
        <v>2150</v>
      </c>
      <c r="C3037" t="s">
        <v>4</v>
      </c>
      <c r="D3037" t="s">
        <v>6499</v>
      </c>
      <c r="E3037" s="2">
        <v>43958</v>
      </c>
      <c r="F3037">
        <v>1653</v>
      </c>
      <c r="G3037" t="s">
        <v>1746</v>
      </c>
      <c r="H3037" t="s">
        <v>1805</v>
      </c>
      <c r="I3037" t="b">
        <v>0</v>
      </c>
      <c r="J3037" t="s">
        <v>1761</v>
      </c>
      <c r="K3037" t="s">
        <v>1793</v>
      </c>
      <c r="L3037" t="s">
        <v>1750</v>
      </c>
      <c r="M3037">
        <v>2</v>
      </c>
      <c r="N3037" t="b">
        <v>1</v>
      </c>
      <c r="O3037">
        <v>403</v>
      </c>
      <c r="P3037" t="s">
        <v>1752</v>
      </c>
      <c r="Q3037" t="s">
        <v>1753</v>
      </c>
      <c r="R3037" t="s">
        <v>1759</v>
      </c>
    </row>
    <row r="3038" spans="1:18" x14ac:dyDescent="0.25">
      <c r="A3038" t="s">
        <v>6502</v>
      </c>
      <c r="B3038" t="s">
        <v>2082</v>
      </c>
      <c r="C3038" t="s">
        <v>6</v>
      </c>
      <c r="D3038" t="s">
        <v>6501</v>
      </c>
      <c r="E3038" s="2">
        <v>45511</v>
      </c>
      <c r="F3038">
        <v>100</v>
      </c>
      <c r="G3038" t="s">
        <v>1746</v>
      </c>
      <c r="H3038" t="s">
        <v>2231</v>
      </c>
      <c r="I3038" t="b">
        <v>0</v>
      </c>
      <c r="J3038" t="s">
        <v>1748</v>
      </c>
      <c r="K3038" t="s">
        <v>1776</v>
      </c>
      <c r="L3038" t="s">
        <v>1750</v>
      </c>
      <c r="M3038">
        <v>2</v>
      </c>
      <c r="N3038" t="b">
        <v>1</v>
      </c>
      <c r="O3038">
        <v>542</v>
      </c>
      <c r="P3038" t="s">
        <v>1819</v>
      </c>
      <c r="Q3038" t="s">
        <v>1753</v>
      </c>
      <c r="R3038" t="s">
        <v>1772</v>
      </c>
    </row>
    <row r="3039" spans="1:18" x14ac:dyDescent="0.25">
      <c r="A3039" t="s">
        <v>6504</v>
      </c>
      <c r="B3039" t="s">
        <v>2032</v>
      </c>
      <c r="C3039" t="s">
        <v>4</v>
      </c>
      <c r="D3039" t="s">
        <v>6503</v>
      </c>
      <c r="E3039" s="2">
        <v>45070</v>
      </c>
      <c r="F3039">
        <v>541</v>
      </c>
      <c r="G3039" t="s">
        <v>1746</v>
      </c>
      <c r="H3039" t="s">
        <v>1747</v>
      </c>
      <c r="I3039" t="b">
        <v>0</v>
      </c>
      <c r="J3039" t="s">
        <v>1748</v>
      </c>
      <c r="K3039" t="s">
        <v>1808</v>
      </c>
      <c r="L3039" t="s">
        <v>2102</v>
      </c>
      <c r="M3039">
        <v>2</v>
      </c>
      <c r="N3039" t="b">
        <v>0</v>
      </c>
      <c r="P3039" t="s">
        <v>2070</v>
      </c>
      <c r="Q3039" t="s">
        <v>1753</v>
      </c>
    </row>
    <row r="3040" spans="1:18" x14ac:dyDescent="0.25">
      <c r="A3040" t="s">
        <v>6506</v>
      </c>
      <c r="B3040" t="s">
        <v>2011</v>
      </c>
      <c r="C3040" t="s">
        <v>4</v>
      </c>
      <c r="D3040" t="s">
        <v>6505</v>
      </c>
      <c r="E3040" s="2">
        <v>45461</v>
      </c>
      <c r="F3040">
        <v>150</v>
      </c>
      <c r="G3040" t="s">
        <v>1746</v>
      </c>
      <c r="H3040" t="s">
        <v>1798</v>
      </c>
      <c r="I3040" t="b">
        <v>1</v>
      </c>
      <c r="J3040" t="s">
        <v>1761</v>
      </c>
      <c r="K3040" t="s">
        <v>1822</v>
      </c>
      <c r="L3040" t="s">
        <v>1817</v>
      </c>
      <c r="M3040">
        <v>2</v>
      </c>
      <c r="N3040" t="b">
        <v>1</v>
      </c>
      <c r="O3040">
        <v>67</v>
      </c>
      <c r="P3040" t="s">
        <v>1819</v>
      </c>
      <c r="Q3040" t="s">
        <v>1753</v>
      </c>
      <c r="R3040" t="s">
        <v>1759</v>
      </c>
    </row>
    <row r="3041" spans="1:18" x14ac:dyDescent="0.25">
      <c r="A3041" t="s">
        <v>6508</v>
      </c>
      <c r="B3041" t="s">
        <v>2611</v>
      </c>
      <c r="C3041" t="s">
        <v>4</v>
      </c>
      <c r="D3041" t="s">
        <v>6507</v>
      </c>
      <c r="E3041" s="2">
        <v>45545</v>
      </c>
      <c r="F3041">
        <v>66</v>
      </c>
      <c r="G3041" t="s">
        <v>1746</v>
      </c>
      <c r="H3041" t="s">
        <v>1747</v>
      </c>
      <c r="I3041" t="b">
        <v>0</v>
      </c>
      <c r="J3041" t="s">
        <v>1748</v>
      </c>
      <c r="K3041" t="s">
        <v>1868</v>
      </c>
      <c r="L3041" t="s">
        <v>1750</v>
      </c>
      <c r="M3041">
        <v>2</v>
      </c>
      <c r="N3041" t="b">
        <v>0</v>
      </c>
      <c r="O3041">
        <v>32</v>
      </c>
      <c r="P3041" t="s">
        <v>1752</v>
      </c>
      <c r="Q3041" t="s">
        <v>1753</v>
      </c>
      <c r="R3041" t="s">
        <v>1759</v>
      </c>
    </row>
    <row r="3042" spans="1:18" x14ac:dyDescent="0.25">
      <c r="A3042" t="s">
        <v>6510</v>
      </c>
      <c r="B3042" t="s">
        <v>2173</v>
      </c>
      <c r="C3042" t="s">
        <v>4</v>
      </c>
      <c r="D3042" t="s">
        <v>6509</v>
      </c>
      <c r="E3042" s="2">
        <v>40639</v>
      </c>
      <c r="F3042">
        <v>4972</v>
      </c>
      <c r="G3042" t="s">
        <v>1746</v>
      </c>
      <c r="H3042" t="s">
        <v>1805</v>
      </c>
      <c r="I3042" t="b">
        <v>0</v>
      </c>
      <c r="J3042" t="s">
        <v>1748</v>
      </c>
      <c r="K3042" t="s">
        <v>1809</v>
      </c>
      <c r="L3042" t="s">
        <v>2102</v>
      </c>
      <c r="M3042">
        <v>2</v>
      </c>
      <c r="N3042" t="b">
        <v>0</v>
      </c>
      <c r="P3042" t="s">
        <v>2070</v>
      </c>
      <c r="Q3042" t="s">
        <v>1753</v>
      </c>
    </row>
    <row r="3043" spans="1:18" x14ac:dyDescent="0.25">
      <c r="A3043" t="s">
        <v>6511</v>
      </c>
      <c r="B3043" t="s">
        <v>2997</v>
      </c>
      <c r="C3043" t="s">
        <v>6</v>
      </c>
      <c r="D3043" t="s">
        <v>1153</v>
      </c>
      <c r="E3043" s="2">
        <v>45093</v>
      </c>
      <c r="F3043">
        <v>518</v>
      </c>
      <c r="G3043" t="s">
        <v>1746</v>
      </c>
      <c r="H3043" t="s">
        <v>1798</v>
      </c>
      <c r="I3043" t="b">
        <v>0</v>
      </c>
      <c r="J3043" t="s">
        <v>1748</v>
      </c>
      <c r="K3043" t="s">
        <v>1755</v>
      </c>
      <c r="L3043" t="s">
        <v>1750</v>
      </c>
      <c r="M3043">
        <v>2</v>
      </c>
      <c r="N3043" t="b">
        <v>0</v>
      </c>
      <c r="O3043">
        <v>46</v>
      </c>
      <c r="P3043" t="s">
        <v>1819</v>
      </c>
      <c r="Q3043" t="s">
        <v>1753</v>
      </c>
    </row>
    <row r="3044" spans="1:18" x14ac:dyDescent="0.25">
      <c r="A3044" t="s">
        <v>6512</v>
      </c>
      <c r="B3044" t="s">
        <v>1876</v>
      </c>
      <c r="C3044" t="s">
        <v>4</v>
      </c>
      <c r="D3044" t="s">
        <v>1408</v>
      </c>
      <c r="E3044" s="2">
        <v>44826</v>
      </c>
      <c r="F3044">
        <v>785</v>
      </c>
      <c r="G3044" t="s">
        <v>1746</v>
      </c>
      <c r="H3044" t="s">
        <v>1747</v>
      </c>
      <c r="I3044" t="b">
        <v>0</v>
      </c>
      <c r="J3044" t="s">
        <v>1748</v>
      </c>
      <c r="K3044" t="s">
        <v>1856</v>
      </c>
      <c r="L3044" t="s">
        <v>1750</v>
      </c>
      <c r="M3044">
        <v>2</v>
      </c>
      <c r="N3044" t="b">
        <v>1</v>
      </c>
      <c r="O3044">
        <v>100</v>
      </c>
      <c r="P3044" t="s">
        <v>1752</v>
      </c>
      <c r="Q3044" t="s">
        <v>1753</v>
      </c>
      <c r="R3044" t="s">
        <v>1759</v>
      </c>
    </row>
    <row r="3045" spans="1:18" x14ac:dyDescent="0.25">
      <c r="A3045" t="s">
        <v>6514</v>
      </c>
      <c r="B3045" t="s">
        <v>1704</v>
      </c>
      <c r="C3045" t="s">
        <v>2709</v>
      </c>
      <c r="D3045" t="s">
        <v>6513</v>
      </c>
      <c r="E3045" s="2">
        <v>45461</v>
      </c>
      <c r="F3045">
        <v>150</v>
      </c>
      <c r="G3045" t="s">
        <v>1746</v>
      </c>
      <c r="H3045" t="s">
        <v>1747</v>
      </c>
      <c r="I3045" t="b">
        <v>0</v>
      </c>
      <c r="J3045" t="s">
        <v>1748</v>
      </c>
      <c r="K3045" t="s">
        <v>1932</v>
      </c>
      <c r="L3045" t="s">
        <v>1775</v>
      </c>
      <c r="M3045">
        <v>2</v>
      </c>
      <c r="N3045" t="b">
        <v>0</v>
      </c>
      <c r="P3045" t="s">
        <v>2283</v>
      </c>
      <c r="Q3045" t="s">
        <v>1705</v>
      </c>
    </row>
    <row r="3046" spans="1:18" x14ac:dyDescent="0.25">
      <c r="A3046" t="s">
        <v>6516</v>
      </c>
      <c r="B3046" t="s">
        <v>1704</v>
      </c>
      <c r="C3046" t="s">
        <v>1249</v>
      </c>
      <c r="D3046" t="s">
        <v>6515</v>
      </c>
      <c r="E3046" s="2">
        <v>42627</v>
      </c>
      <c r="F3046">
        <v>2984</v>
      </c>
      <c r="G3046" t="s">
        <v>1746</v>
      </c>
      <c r="H3046" t="s">
        <v>1747</v>
      </c>
      <c r="I3046" t="b">
        <v>0</v>
      </c>
      <c r="J3046" t="s">
        <v>1748</v>
      </c>
      <c r="K3046" t="s">
        <v>1813</v>
      </c>
      <c r="L3046" t="s">
        <v>2102</v>
      </c>
      <c r="M3046">
        <v>2</v>
      </c>
      <c r="N3046" t="b">
        <v>0</v>
      </c>
      <c r="P3046" t="s">
        <v>2070</v>
      </c>
      <c r="Q3046" t="s">
        <v>1779</v>
      </c>
    </row>
    <row r="3047" spans="1:18" x14ac:dyDescent="0.25">
      <c r="A3047" t="s">
        <v>6518</v>
      </c>
      <c r="B3047" t="s">
        <v>2082</v>
      </c>
      <c r="C3047" t="s">
        <v>4</v>
      </c>
      <c r="D3047" t="s">
        <v>6517</v>
      </c>
      <c r="E3047" s="2">
        <v>45454</v>
      </c>
      <c r="F3047">
        <v>157</v>
      </c>
      <c r="G3047" t="s">
        <v>1746</v>
      </c>
      <c r="H3047" t="s">
        <v>1798</v>
      </c>
      <c r="I3047" t="b">
        <v>0</v>
      </c>
      <c r="J3047" t="s">
        <v>1748</v>
      </c>
      <c r="K3047" t="s">
        <v>1774</v>
      </c>
      <c r="L3047" t="s">
        <v>1750</v>
      </c>
      <c r="M3047">
        <v>2</v>
      </c>
      <c r="N3047" t="b">
        <v>1</v>
      </c>
      <c r="O3047">
        <v>146</v>
      </c>
      <c r="P3047" t="s">
        <v>1752</v>
      </c>
      <c r="Q3047" t="s">
        <v>1753</v>
      </c>
      <c r="R3047" t="s">
        <v>1828</v>
      </c>
    </row>
    <row r="3048" spans="1:18" x14ac:dyDescent="0.25">
      <c r="A3048" t="s">
        <v>6520</v>
      </c>
      <c r="B3048" t="s">
        <v>2173</v>
      </c>
      <c r="C3048" t="s">
        <v>6</v>
      </c>
      <c r="D3048" t="s">
        <v>6519</v>
      </c>
      <c r="E3048" s="2">
        <v>42062</v>
      </c>
      <c r="F3048">
        <v>3549</v>
      </c>
      <c r="G3048" t="s">
        <v>1746</v>
      </c>
      <c r="H3048" t="s">
        <v>1805</v>
      </c>
      <c r="I3048" t="b">
        <v>1</v>
      </c>
      <c r="J3048" t="s">
        <v>1761</v>
      </c>
      <c r="K3048" t="s">
        <v>1925</v>
      </c>
      <c r="L3048" t="s">
        <v>1750</v>
      </c>
      <c r="M3048">
        <v>2</v>
      </c>
      <c r="N3048" t="b">
        <v>0</v>
      </c>
      <c r="O3048">
        <v>86</v>
      </c>
      <c r="P3048" t="s">
        <v>1752</v>
      </c>
      <c r="Q3048" t="s">
        <v>1753</v>
      </c>
    </row>
    <row r="3049" spans="1:18" x14ac:dyDescent="0.25">
      <c r="A3049" t="s">
        <v>6521</v>
      </c>
      <c r="B3049" t="s">
        <v>2667</v>
      </c>
      <c r="C3049" t="s">
        <v>6</v>
      </c>
      <c r="D3049" t="s">
        <v>375</v>
      </c>
      <c r="E3049" s="2">
        <v>42914</v>
      </c>
      <c r="F3049">
        <v>2697</v>
      </c>
      <c r="G3049" t="s">
        <v>1746</v>
      </c>
      <c r="H3049" t="s">
        <v>1798</v>
      </c>
      <c r="I3049" t="b">
        <v>0</v>
      </c>
      <c r="J3049" t="s">
        <v>1748</v>
      </c>
      <c r="K3049" t="s">
        <v>1776</v>
      </c>
      <c r="L3049" t="s">
        <v>1750</v>
      </c>
      <c r="M3049">
        <v>2</v>
      </c>
      <c r="N3049" t="b">
        <v>1</v>
      </c>
      <c r="O3049">
        <v>134</v>
      </c>
      <c r="P3049" t="s">
        <v>1752</v>
      </c>
      <c r="Q3049" t="s">
        <v>1753</v>
      </c>
      <c r="R3049" t="s">
        <v>1828</v>
      </c>
    </row>
    <row r="3050" spans="1:18" x14ac:dyDescent="0.25">
      <c r="A3050" t="s">
        <v>6523</v>
      </c>
      <c r="B3050" t="s">
        <v>2173</v>
      </c>
      <c r="C3050" t="s">
        <v>4</v>
      </c>
      <c r="D3050" t="s">
        <v>6522</v>
      </c>
      <c r="E3050" s="2">
        <v>45210</v>
      </c>
      <c r="F3050">
        <v>401</v>
      </c>
      <c r="G3050" t="s">
        <v>1833</v>
      </c>
      <c r="H3050" t="s">
        <v>1747</v>
      </c>
      <c r="I3050" t="b">
        <v>0</v>
      </c>
      <c r="J3050" t="s">
        <v>1748</v>
      </c>
      <c r="K3050" t="s">
        <v>1853</v>
      </c>
      <c r="L3050" t="s">
        <v>1750</v>
      </c>
      <c r="M3050">
        <v>2</v>
      </c>
      <c r="N3050" t="b">
        <v>1</v>
      </c>
      <c r="O3050">
        <v>369</v>
      </c>
      <c r="P3050" t="s">
        <v>1819</v>
      </c>
      <c r="Q3050" t="s">
        <v>1753</v>
      </c>
      <c r="R3050" t="s">
        <v>1759</v>
      </c>
    </row>
    <row r="3051" spans="1:18" x14ac:dyDescent="0.25">
      <c r="A3051" t="s">
        <v>6525</v>
      </c>
      <c r="B3051" t="s">
        <v>2177</v>
      </c>
      <c r="C3051" t="s">
        <v>6</v>
      </c>
      <c r="D3051" t="s">
        <v>6524</v>
      </c>
      <c r="E3051" s="2">
        <v>43984</v>
      </c>
      <c r="F3051">
        <v>1627</v>
      </c>
      <c r="G3051" t="s">
        <v>1746</v>
      </c>
      <c r="H3051" t="s">
        <v>1747</v>
      </c>
      <c r="I3051" t="b">
        <v>0</v>
      </c>
      <c r="J3051" t="s">
        <v>1761</v>
      </c>
      <c r="K3051" t="s">
        <v>1863</v>
      </c>
      <c r="L3051" t="s">
        <v>1817</v>
      </c>
      <c r="M3051">
        <v>2</v>
      </c>
      <c r="N3051" t="b">
        <v>0</v>
      </c>
      <c r="O3051">
        <v>1041</v>
      </c>
      <c r="P3051" t="s">
        <v>1819</v>
      </c>
      <c r="Q3051" t="s">
        <v>1753</v>
      </c>
      <c r="R3051" t="s">
        <v>1759</v>
      </c>
    </row>
    <row r="3052" spans="1:18" x14ac:dyDescent="0.25">
      <c r="A3052" t="s">
        <v>6526</v>
      </c>
      <c r="B3052" t="s">
        <v>1876</v>
      </c>
      <c r="C3052" t="s">
        <v>4</v>
      </c>
      <c r="D3052" t="s">
        <v>270</v>
      </c>
      <c r="E3052" s="2">
        <v>44516</v>
      </c>
      <c r="F3052">
        <v>1095</v>
      </c>
      <c r="G3052" t="s">
        <v>1746</v>
      </c>
      <c r="H3052" t="s">
        <v>1747</v>
      </c>
      <c r="I3052" t="b">
        <v>1</v>
      </c>
      <c r="J3052" t="s">
        <v>1748</v>
      </c>
      <c r="K3052" t="s">
        <v>1868</v>
      </c>
      <c r="L3052" t="s">
        <v>1750</v>
      </c>
      <c r="M3052">
        <v>2</v>
      </c>
      <c r="N3052" t="b">
        <v>0</v>
      </c>
      <c r="O3052">
        <v>32</v>
      </c>
      <c r="P3052" t="s">
        <v>1752</v>
      </c>
      <c r="Q3052" t="s">
        <v>1753</v>
      </c>
      <c r="R3052" t="s">
        <v>1759</v>
      </c>
    </row>
    <row r="3053" spans="1:18" x14ac:dyDescent="0.25">
      <c r="A3053" t="s">
        <v>6528</v>
      </c>
      <c r="B3053" t="s">
        <v>2997</v>
      </c>
      <c r="C3053" t="s">
        <v>4</v>
      </c>
      <c r="D3053" t="s">
        <v>6527</v>
      </c>
      <c r="E3053" s="2">
        <v>45398</v>
      </c>
      <c r="F3053">
        <v>213</v>
      </c>
      <c r="G3053" t="s">
        <v>1746</v>
      </c>
      <c r="H3053" t="s">
        <v>1798</v>
      </c>
      <c r="I3053" t="b">
        <v>0</v>
      </c>
      <c r="J3053" t="s">
        <v>1748</v>
      </c>
      <c r="K3053" t="s">
        <v>1822</v>
      </c>
      <c r="L3053" t="s">
        <v>1817</v>
      </c>
      <c r="M3053">
        <v>2</v>
      </c>
      <c r="N3053" t="b">
        <v>0</v>
      </c>
      <c r="O3053">
        <v>5077</v>
      </c>
      <c r="P3053" t="s">
        <v>1819</v>
      </c>
      <c r="Q3053" t="s">
        <v>1753</v>
      </c>
      <c r="R3053" t="s">
        <v>1759</v>
      </c>
    </row>
    <row r="3054" spans="1:18" x14ac:dyDescent="0.25">
      <c r="A3054" t="s">
        <v>6530</v>
      </c>
      <c r="B3054" t="s">
        <v>1907</v>
      </c>
      <c r="C3054" t="s">
        <v>6</v>
      </c>
      <c r="D3054" t="s">
        <v>6529</v>
      </c>
      <c r="E3054" s="2">
        <v>44893</v>
      </c>
      <c r="F3054">
        <v>718</v>
      </c>
      <c r="G3054" t="s">
        <v>1746</v>
      </c>
      <c r="H3054" t="s">
        <v>1747</v>
      </c>
      <c r="I3054" t="b">
        <v>0</v>
      </c>
      <c r="J3054" t="s">
        <v>1748</v>
      </c>
      <c r="K3054" t="s">
        <v>1755</v>
      </c>
      <c r="L3054" t="s">
        <v>1817</v>
      </c>
      <c r="M3054">
        <v>2</v>
      </c>
      <c r="N3054" t="b">
        <v>0</v>
      </c>
      <c r="O3054">
        <v>153</v>
      </c>
      <c r="P3054" t="s">
        <v>1819</v>
      </c>
      <c r="Q3054" t="s">
        <v>1753</v>
      </c>
    </row>
    <row r="3055" spans="1:18" x14ac:dyDescent="0.25">
      <c r="A3055" t="s">
        <v>6532</v>
      </c>
      <c r="B3055" t="s">
        <v>2150</v>
      </c>
      <c r="C3055" t="s">
        <v>6</v>
      </c>
      <c r="D3055" t="s">
        <v>6531</v>
      </c>
      <c r="E3055" s="2">
        <v>44713</v>
      </c>
      <c r="F3055">
        <v>898</v>
      </c>
      <c r="G3055" t="s">
        <v>1746</v>
      </c>
      <c r="H3055" t="s">
        <v>1805</v>
      </c>
      <c r="I3055" t="b">
        <v>0</v>
      </c>
      <c r="J3055" t="s">
        <v>1761</v>
      </c>
      <c r="K3055" t="s">
        <v>1774</v>
      </c>
      <c r="L3055" t="s">
        <v>1750</v>
      </c>
      <c r="M3055">
        <v>2</v>
      </c>
      <c r="N3055" t="b">
        <v>1</v>
      </c>
      <c r="O3055">
        <v>38</v>
      </c>
      <c r="P3055" t="s">
        <v>1752</v>
      </c>
      <c r="Q3055" t="s">
        <v>1753</v>
      </c>
    </row>
    <row r="3056" spans="1:18" x14ac:dyDescent="0.25">
      <c r="A3056" t="s">
        <v>6534</v>
      </c>
      <c r="B3056" t="s">
        <v>2082</v>
      </c>
      <c r="C3056" t="s">
        <v>4</v>
      </c>
      <c r="D3056" t="s">
        <v>6533</v>
      </c>
      <c r="E3056" s="2">
        <v>45370</v>
      </c>
      <c r="F3056">
        <v>241</v>
      </c>
      <c r="G3056" t="s">
        <v>1746</v>
      </c>
      <c r="H3056" t="s">
        <v>2505</v>
      </c>
      <c r="I3056" t="b">
        <v>0</v>
      </c>
      <c r="J3056" t="s">
        <v>1748</v>
      </c>
      <c r="K3056" t="s">
        <v>1787</v>
      </c>
      <c r="L3056" t="s">
        <v>1750</v>
      </c>
      <c r="M3056">
        <v>2</v>
      </c>
      <c r="N3056" t="b">
        <v>1</v>
      </c>
      <c r="O3056">
        <v>71</v>
      </c>
      <c r="P3056" t="s">
        <v>1752</v>
      </c>
      <c r="Q3056" t="s">
        <v>1753</v>
      </c>
    </row>
    <row r="3057" spans="1:18" x14ac:dyDescent="0.25">
      <c r="A3057" t="s">
        <v>6536</v>
      </c>
      <c r="B3057" t="s">
        <v>2133</v>
      </c>
      <c r="C3057" t="s">
        <v>186</v>
      </c>
      <c r="D3057" t="s">
        <v>6535</v>
      </c>
      <c r="E3057" s="2">
        <v>38987</v>
      </c>
      <c r="F3057">
        <v>6624</v>
      </c>
      <c r="G3057" t="s">
        <v>1746</v>
      </c>
      <c r="H3057" t="s">
        <v>1747</v>
      </c>
      <c r="I3057" t="b">
        <v>0</v>
      </c>
      <c r="J3057" t="s">
        <v>1748</v>
      </c>
      <c r="K3057" t="s">
        <v>1830</v>
      </c>
      <c r="L3057" t="s">
        <v>2102</v>
      </c>
      <c r="M3057">
        <v>2</v>
      </c>
      <c r="N3057" t="b">
        <v>0</v>
      </c>
      <c r="P3057" t="s">
        <v>2070</v>
      </c>
      <c r="Q3057" t="s">
        <v>1779</v>
      </c>
    </row>
    <row r="3058" spans="1:18" x14ac:dyDescent="0.25">
      <c r="A3058" t="s">
        <v>6538</v>
      </c>
      <c r="B3058" t="s">
        <v>1907</v>
      </c>
      <c r="C3058" t="s">
        <v>4</v>
      </c>
      <c r="D3058" t="s">
        <v>6537</v>
      </c>
      <c r="E3058" s="2">
        <v>44252</v>
      </c>
      <c r="F3058">
        <v>1359</v>
      </c>
      <c r="G3058" t="s">
        <v>1746</v>
      </c>
      <c r="H3058" t="s">
        <v>1798</v>
      </c>
      <c r="I3058" t="b">
        <v>0</v>
      </c>
      <c r="J3058" t="s">
        <v>1748</v>
      </c>
      <c r="K3058" t="s">
        <v>2021</v>
      </c>
      <c r="L3058" t="s">
        <v>2102</v>
      </c>
      <c r="M3058">
        <v>2</v>
      </c>
      <c r="N3058" t="b">
        <v>0</v>
      </c>
      <c r="P3058" t="s">
        <v>2070</v>
      </c>
      <c r="Q3058" t="s">
        <v>1779</v>
      </c>
    </row>
    <row r="3059" spans="1:18" x14ac:dyDescent="0.25">
      <c r="A3059" t="s">
        <v>6540</v>
      </c>
      <c r="B3059" t="s">
        <v>2144</v>
      </c>
      <c r="C3059" t="s">
        <v>2709</v>
      </c>
      <c r="D3059" t="s">
        <v>6539</v>
      </c>
      <c r="E3059" s="2">
        <v>44538</v>
      </c>
      <c r="F3059">
        <v>1073</v>
      </c>
      <c r="G3059" t="s">
        <v>1746</v>
      </c>
      <c r="H3059" t="s">
        <v>1747</v>
      </c>
      <c r="I3059" t="b">
        <v>0</v>
      </c>
      <c r="J3059" t="s">
        <v>1748</v>
      </c>
      <c r="K3059" t="s">
        <v>1884</v>
      </c>
      <c r="L3059" t="s">
        <v>1775</v>
      </c>
      <c r="M3059">
        <v>2</v>
      </c>
      <c r="N3059" t="b">
        <v>0</v>
      </c>
      <c r="P3059" t="s">
        <v>2283</v>
      </c>
      <c r="Q3059" t="s">
        <v>1705</v>
      </c>
    </row>
    <row r="3060" spans="1:18" x14ac:dyDescent="0.25">
      <c r="A3060" t="s">
        <v>6541</v>
      </c>
      <c r="B3060" t="s">
        <v>2071</v>
      </c>
      <c r="C3060" t="s">
        <v>4</v>
      </c>
      <c r="D3060" t="s">
        <v>228</v>
      </c>
      <c r="E3060" s="2">
        <v>44369</v>
      </c>
      <c r="F3060">
        <v>1242</v>
      </c>
      <c r="G3060" t="s">
        <v>1746</v>
      </c>
      <c r="H3060" t="s">
        <v>1798</v>
      </c>
      <c r="I3060" t="b">
        <v>0</v>
      </c>
      <c r="J3060" t="s">
        <v>1748</v>
      </c>
      <c r="K3060" t="s">
        <v>1757</v>
      </c>
      <c r="L3060" t="s">
        <v>1750</v>
      </c>
      <c r="M3060">
        <v>2</v>
      </c>
      <c r="N3060" t="b">
        <v>0</v>
      </c>
      <c r="O3060">
        <v>100</v>
      </c>
      <c r="P3060" t="s">
        <v>1752</v>
      </c>
      <c r="Q3060" t="s">
        <v>1753</v>
      </c>
      <c r="R3060" t="s">
        <v>1828</v>
      </c>
    </row>
    <row r="3061" spans="1:18" x14ac:dyDescent="0.25">
      <c r="A3061" t="s">
        <v>6543</v>
      </c>
      <c r="B3061" t="s">
        <v>2150</v>
      </c>
      <c r="C3061" t="s">
        <v>4</v>
      </c>
      <c r="D3061" t="s">
        <v>6542</v>
      </c>
      <c r="E3061" s="2">
        <v>45384</v>
      </c>
      <c r="F3061">
        <v>227</v>
      </c>
      <c r="G3061" t="s">
        <v>1746</v>
      </c>
      <c r="H3061" t="s">
        <v>1805</v>
      </c>
      <c r="I3061" t="b">
        <v>0</v>
      </c>
      <c r="J3061" t="s">
        <v>1761</v>
      </c>
      <c r="K3061" t="s">
        <v>1934</v>
      </c>
      <c r="L3061" t="s">
        <v>1817</v>
      </c>
      <c r="M3061">
        <v>2</v>
      </c>
      <c r="N3061" t="b">
        <v>0</v>
      </c>
      <c r="O3061">
        <v>1528</v>
      </c>
      <c r="P3061" t="s">
        <v>1819</v>
      </c>
      <c r="Q3061" t="s">
        <v>1753</v>
      </c>
      <c r="R3061" t="s">
        <v>1759</v>
      </c>
    </row>
    <row r="3062" spans="1:18" x14ac:dyDescent="0.25">
      <c r="A3062" t="s">
        <v>6545</v>
      </c>
      <c r="B3062" t="s">
        <v>2150</v>
      </c>
      <c r="C3062" t="s">
        <v>4</v>
      </c>
      <c r="D3062" t="s">
        <v>6544</v>
      </c>
      <c r="E3062" s="2">
        <v>45224</v>
      </c>
      <c r="F3062">
        <v>387</v>
      </c>
      <c r="G3062" t="s">
        <v>1746</v>
      </c>
      <c r="H3062" t="s">
        <v>1805</v>
      </c>
      <c r="I3062" t="b">
        <v>1</v>
      </c>
      <c r="J3062" t="s">
        <v>1761</v>
      </c>
      <c r="K3062" t="s">
        <v>1776</v>
      </c>
      <c r="L3062" t="s">
        <v>1817</v>
      </c>
      <c r="M3062">
        <v>2</v>
      </c>
      <c r="N3062" t="b">
        <v>0</v>
      </c>
      <c r="O3062">
        <v>2686</v>
      </c>
      <c r="P3062" t="s">
        <v>1819</v>
      </c>
      <c r="Q3062" t="s">
        <v>1753</v>
      </c>
      <c r="R3062" t="s">
        <v>1759</v>
      </c>
    </row>
    <row r="3063" spans="1:18" x14ac:dyDescent="0.25">
      <c r="A3063" t="s">
        <v>6546</v>
      </c>
      <c r="B3063" t="s">
        <v>1781</v>
      </c>
      <c r="C3063" t="s">
        <v>4</v>
      </c>
      <c r="D3063" t="s">
        <v>312</v>
      </c>
      <c r="E3063" s="2">
        <v>44694</v>
      </c>
      <c r="F3063">
        <v>917</v>
      </c>
      <c r="G3063" t="s">
        <v>1746</v>
      </c>
      <c r="H3063" t="s">
        <v>1747</v>
      </c>
      <c r="I3063" t="b">
        <v>1</v>
      </c>
      <c r="J3063" t="s">
        <v>1748</v>
      </c>
      <c r="K3063" t="s">
        <v>1751</v>
      </c>
      <c r="L3063" t="s">
        <v>1750</v>
      </c>
      <c r="M3063">
        <v>2</v>
      </c>
      <c r="N3063" t="b">
        <v>0</v>
      </c>
      <c r="O3063">
        <v>23</v>
      </c>
      <c r="P3063" t="s">
        <v>1752</v>
      </c>
      <c r="Q3063" t="s">
        <v>1753</v>
      </c>
      <c r="R3063" t="s">
        <v>1759</v>
      </c>
    </row>
    <row r="3064" spans="1:18" x14ac:dyDescent="0.25">
      <c r="A3064" t="s">
        <v>6548</v>
      </c>
      <c r="B3064" t="s">
        <v>1907</v>
      </c>
      <c r="C3064" t="s">
        <v>186</v>
      </c>
      <c r="D3064" t="s">
        <v>6547</v>
      </c>
      <c r="E3064" s="2">
        <v>44733</v>
      </c>
      <c r="F3064">
        <v>878</v>
      </c>
      <c r="G3064" t="s">
        <v>1746</v>
      </c>
      <c r="H3064" t="s">
        <v>1747</v>
      </c>
      <c r="I3064" t="b">
        <v>0</v>
      </c>
      <c r="J3064" t="s">
        <v>1748</v>
      </c>
      <c r="K3064" t="s">
        <v>1799</v>
      </c>
      <c r="L3064" t="s">
        <v>1775</v>
      </c>
      <c r="M3064">
        <v>2</v>
      </c>
      <c r="N3064" t="b">
        <v>0</v>
      </c>
      <c r="P3064" t="s">
        <v>2283</v>
      </c>
      <c r="Q3064" t="s">
        <v>1705</v>
      </c>
    </row>
    <row r="3065" spans="1:18" x14ac:dyDescent="0.25">
      <c r="A3065" t="s">
        <v>6550</v>
      </c>
      <c r="B3065" t="s">
        <v>2150</v>
      </c>
      <c r="C3065" t="s">
        <v>6</v>
      </c>
      <c r="D3065" t="s">
        <v>6549</v>
      </c>
      <c r="E3065" s="2">
        <v>45058</v>
      </c>
      <c r="F3065">
        <v>553</v>
      </c>
      <c r="G3065" t="s">
        <v>1746</v>
      </c>
      <c r="H3065" t="s">
        <v>1747</v>
      </c>
      <c r="I3065" t="b">
        <v>1</v>
      </c>
      <c r="J3065" t="s">
        <v>1748</v>
      </c>
      <c r="K3065" t="s">
        <v>1755</v>
      </c>
      <c r="L3065" t="s">
        <v>1756</v>
      </c>
      <c r="M3065">
        <v>2</v>
      </c>
      <c r="N3065" t="b">
        <v>0</v>
      </c>
      <c r="O3065">
        <v>25</v>
      </c>
      <c r="P3065" t="s">
        <v>1819</v>
      </c>
      <c r="Q3065" t="s">
        <v>1753</v>
      </c>
      <c r="R3065" t="s">
        <v>1828</v>
      </c>
    </row>
    <row r="3066" spans="1:18" x14ac:dyDescent="0.25">
      <c r="A3066" t="s">
        <v>6552</v>
      </c>
      <c r="B3066" t="s">
        <v>1704</v>
      </c>
      <c r="C3066" t="s">
        <v>1249</v>
      </c>
      <c r="D3066" t="s">
        <v>6551</v>
      </c>
      <c r="E3066" s="2">
        <v>42864</v>
      </c>
      <c r="F3066">
        <v>2747</v>
      </c>
      <c r="G3066" t="s">
        <v>1746</v>
      </c>
      <c r="H3066" t="s">
        <v>1747</v>
      </c>
      <c r="I3066" t="b">
        <v>0</v>
      </c>
      <c r="J3066" t="s">
        <v>1748</v>
      </c>
      <c r="K3066" t="s">
        <v>1777</v>
      </c>
      <c r="L3066" t="s">
        <v>2102</v>
      </c>
      <c r="M3066">
        <v>2</v>
      </c>
      <c r="N3066" t="b">
        <v>0</v>
      </c>
      <c r="P3066" t="s">
        <v>2070</v>
      </c>
      <c r="Q3066" t="s">
        <v>1779</v>
      </c>
    </row>
    <row r="3067" spans="1:18" x14ac:dyDescent="0.25">
      <c r="A3067" t="s">
        <v>6554</v>
      </c>
      <c r="B3067" t="s">
        <v>2150</v>
      </c>
      <c r="C3067" t="s">
        <v>4</v>
      </c>
      <c r="D3067" t="s">
        <v>6553</v>
      </c>
      <c r="E3067" s="2">
        <v>45138</v>
      </c>
      <c r="F3067">
        <v>473</v>
      </c>
      <c r="G3067" t="s">
        <v>1746</v>
      </c>
      <c r="H3067" t="s">
        <v>1805</v>
      </c>
      <c r="I3067" t="b">
        <v>0</v>
      </c>
      <c r="J3067" t="s">
        <v>1761</v>
      </c>
      <c r="K3067" t="s">
        <v>1880</v>
      </c>
      <c r="L3067" t="s">
        <v>1756</v>
      </c>
      <c r="M3067">
        <v>2</v>
      </c>
      <c r="N3067" t="b">
        <v>1</v>
      </c>
      <c r="O3067">
        <v>300</v>
      </c>
      <c r="P3067" t="s">
        <v>1752</v>
      </c>
      <c r="Q3067" t="s">
        <v>1753</v>
      </c>
    </row>
    <row r="3068" spans="1:18" x14ac:dyDescent="0.25">
      <c r="A3068" t="s">
        <v>6555</v>
      </c>
      <c r="B3068" t="s">
        <v>2997</v>
      </c>
      <c r="C3068" t="s">
        <v>4</v>
      </c>
      <c r="D3068" t="s">
        <v>778</v>
      </c>
      <c r="E3068" s="2">
        <v>44398</v>
      </c>
      <c r="F3068">
        <v>1213</v>
      </c>
      <c r="G3068" t="s">
        <v>1746</v>
      </c>
      <c r="H3068" t="s">
        <v>1798</v>
      </c>
      <c r="I3068" t="b">
        <v>0</v>
      </c>
      <c r="J3068" t="s">
        <v>1748</v>
      </c>
      <c r="K3068" t="s">
        <v>2210</v>
      </c>
      <c r="L3068" t="s">
        <v>1750</v>
      </c>
      <c r="M3068">
        <v>1</v>
      </c>
      <c r="N3068" t="b">
        <v>0</v>
      </c>
      <c r="O3068">
        <v>45</v>
      </c>
      <c r="P3068" t="s">
        <v>1752</v>
      </c>
      <c r="Q3068" t="s">
        <v>1753</v>
      </c>
    </row>
    <row r="3069" spans="1:18" x14ac:dyDescent="0.25">
      <c r="A3069" t="s">
        <v>6556</v>
      </c>
      <c r="B3069" t="s">
        <v>1876</v>
      </c>
      <c r="C3069" t="s">
        <v>4</v>
      </c>
      <c r="D3069" t="s">
        <v>265</v>
      </c>
      <c r="E3069" s="2">
        <v>44607</v>
      </c>
      <c r="F3069">
        <v>1004</v>
      </c>
      <c r="G3069" t="s">
        <v>1746</v>
      </c>
      <c r="H3069" t="s">
        <v>1747</v>
      </c>
      <c r="I3069" t="b">
        <v>0</v>
      </c>
      <c r="J3069" t="s">
        <v>1748</v>
      </c>
      <c r="K3069" t="s">
        <v>1868</v>
      </c>
      <c r="L3069" t="s">
        <v>1750</v>
      </c>
      <c r="M3069">
        <v>1</v>
      </c>
      <c r="N3069" t="b">
        <v>0</v>
      </c>
      <c r="O3069">
        <v>28</v>
      </c>
      <c r="P3069" t="s">
        <v>1752</v>
      </c>
      <c r="Q3069" t="s">
        <v>1753</v>
      </c>
      <c r="R3069" t="s">
        <v>1759</v>
      </c>
    </row>
    <row r="3070" spans="1:18" x14ac:dyDescent="0.25">
      <c r="A3070" t="s">
        <v>6557</v>
      </c>
      <c r="B3070" t="s">
        <v>1781</v>
      </c>
      <c r="C3070" t="s">
        <v>4</v>
      </c>
      <c r="D3070" t="s">
        <v>1439</v>
      </c>
      <c r="E3070" s="2">
        <v>45082</v>
      </c>
      <c r="F3070">
        <v>529</v>
      </c>
      <c r="G3070" t="s">
        <v>1746</v>
      </c>
      <c r="H3070" t="s">
        <v>1747</v>
      </c>
      <c r="I3070" t="b">
        <v>0</v>
      </c>
      <c r="J3070" t="s">
        <v>1748</v>
      </c>
      <c r="K3070" t="s">
        <v>1856</v>
      </c>
      <c r="L3070" t="s">
        <v>1750</v>
      </c>
      <c r="M3070">
        <v>1</v>
      </c>
      <c r="N3070" t="b">
        <v>1</v>
      </c>
      <c r="O3070">
        <v>69</v>
      </c>
      <c r="P3070" t="s">
        <v>1752</v>
      </c>
      <c r="Q3070" t="s">
        <v>1753</v>
      </c>
      <c r="R3070" t="s">
        <v>1759</v>
      </c>
    </row>
    <row r="3071" spans="1:18" x14ac:dyDescent="0.25">
      <c r="A3071" t="s">
        <v>6558</v>
      </c>
      <c r="B3071" t="s">
        <v>1876</v>
      </c>
      <c r="C3071" t="s">
        <v>4</v>
      </c>
      <c r="D3071" t="s">
        <v>276</v>
      </c>
      <c r="E3071" s="2">
        <v>44516</v>
      </c>
      <c r="F3071">
        <v>1095</v>
      </c>
      <c r="G3071" t="s">
        <v>1746</v>
      </c>
      <c r="H3071" t="s">
        <v>1747</v>
      </c>
      <c r="I3071" t="b">
        <v>1</v>
      </c>
      <c r="J3071" t="s">
        <v>1748</v>
      </c>
      <c r="K3071" t="s">
        <v>1868</v>
      </c>
      <c r="L3071" t="s">
        <v>1750</v>
      </c>
      <c r="M3071">
        <v>1</v>
      </c>
      <c r="N3071" t="b">
        <v>0</v>
      </c>
      <c r="O3071">
        <v>38</v>
      </c>
      <c r="P3071" t="s">
        <v>1752</v>
      </c>
      <c r="Q3071" t="s">
        <v>1753</v>
      </c>
      <c r="R3071" t="s">
        <v>1759</v>
      </c>
    </row>
    <row r="3072" spans="1:18" x14ac:dyDescent="0.25">
      <c r="A3072" t="s">
        <v>6560</v>
      </c>
      <c r="B3072" t="s">
        <v>2284</v>
      </c>
      <c r="C3072" t="s">
        <v>2338</v>
      </c>
      <c r="D3072" t="s">
        <v>6559</v>
      </c>
      <c r="E3072" s="2">
        <v>44580</v>
      </c>
      <c r="F3072">
        <v>1031</v>
      </c>
      <c r="G3072" t="s">
        <v>1746</v>
      </c>
      <c r="H3072" t="s">
        <v>1747</v>
      </c>
      <c r="I3072" t="b">
        <v>0</v>
      </c>
      <c r="J3072" t="s">
        <v>1748</v>
      </c>
      <c r="K3072" t="s">
        <v>1935</v>
      </c>
      <c r="L3072" t="s">
        <v>1775</v>
      </c>
      <c r="M3072">
        <v>1</v>
      </c>
      <c r="N3072" t="b">
        <v>0</v>
      </c>
      <c r="P3072" t="s">
        <v>2283</v>
      </c>
      <c r="Q3072" t="s">
        <v>1705</v>
      </c>
    </row>
    <row r="3073" spans="1:18" x14ac:dyDescent="0.25">
      <c r="A3073" t="s">
        <v>6562</v>
      </c>
      <c r="B3073" t="s">
        <v>1978</v>
      </c>
      <c r="C3073" t="s">
        <v>4</v>
      </c>
      <c r="D3073" t="s">
        <v>6561</v>
      </c>
      <c r="E3073" s="2">
        <v>45369</v>
      </c>
      <c r="F3073">
        <v>242</v>
      </c>
      <c r="G3073" t="s">
        <v>1746</v>
      </c>
      <c r="H3073" t="s">
        <v>1747</v>
      </c>
      <c r="I3073" t="b">
        <v>0</v>
      </c>
      <c r="J3073" t="s">
        <v>1748</v>
      </c>
      <c r="K3073" t="s">
        <v>1749</v>
      </c>
      <c r="L3073" t="s">
        <v>1750</v>
      </c>
      <c r="M3073">
        <v>1</v>
      </c>
      <c r="N3073" t="b">
        <v>1</v>
      </c>
      <c r="O3073">
        <v>328</v>
      </c>
      <c r="P3073" t="s">
        <v>1752</v>
      </c>
      <c r="Q3073" t="s">
        <v>1753</v>
      </c>
    </row>
    <row r="3074" spans="1:18" x14ac:dyDescent="0.25">
      <c r="A3074" t="s">
        <v>6564</v>
      </c>
      <c r="B3074" t="s">
        <v>4245</v>
      </c>
      <c r="C3074" t="s">
        <v>4</v>
      </c>
      <c r="D3074" t="s">
        <v>6563</v>
      </c>
      <c r="E3074" s="2">
        <v>44761</v>
      </c>
      <c r="F3074">
        <v>850</v>
      </c>
      <c r="G3074" t="s">
        <v>1746</v>
      </c>
      <c r="H3074" t="s">
        <v>1747</v>
      </c>
      <c r="I3074" t="b">
        <v>1</v>
      </c>
      <c r="J3074" t="s">
        <v>1748</v>
      </c>
      <c r="K3074" t="s">
        <v>1774</v>
      </c>
      <c r="L3074" t="s">
        <v>1750</v>
      </c>
      <c r="M3074">
        <v>1</v>
      </c>
      <c r="N3074" t="b">
        <v>0</v>
      </c>
      <c r="O3074">
        <v>198</v>
      </c>
      <c r="P3074" t="s">
        <v>1752</v>
      </c>
      <c r="Q3074" t="s">
        <v>1753</v>
      </c>
    </row>
    <row r="3075" spans="1:18" x14ac:dyDescent="0.25">
      <c r="A3075" t="s">
        <v>6566</v>
      </c>
      <c r="B3075" t="s">
        <v>2150</v>
      </c>
      <c r="C3075" t="s">
        <v>4</v>
      </c>
      <c r="D3075" t="s">
        <v>6565</v>
      </c>
      <c r="E3075" s="2">
        <v>45005</v>
      </c>
      <c r="F3075">
        <v>606</v>
      </c>
      <c r="G3075" t="s">
        <v>1746</v>
      </c>
      <c r="H3075" t="s">
        <v>1805</v>
      </c>
      <c r="I3075" t="b">
        <v>0</v>
      </c>
      <c r="J3075" t="s">
        <v>1761</v>
      </c>
      <c r="K3075" t="s">
        <v>1857</v>
      </c>
      <c r="L3075" t="s">
        <v>1756</v>
      </c>
      <c r="M3075">
        <v>1</v>
      </c>
      <c r="N3075" t="b">
        <v>1</v>
      </c>
      <c r="O3075">
        <v>585</v>
      </c>
      <c r="P3075" t="s">
        <v>1752</v>
      </c>
      <c r="Q3075" t="s">
        <v>1753</v>
      </c>
      <c r="R3075" t="s">
        <v>1759</v>
      </c>
    </row>
    <row r="3076" spans="1:18" x14ac:dyDescent="0.25">
      <c r="A3076" t="s">
        <v>6568</v>
      </c>
      <c r="B3076" t="s">
        <v>2040</v>
      </c>
      <c r="C3076" t="s">
        <v>6</v>
      </c>
      <c r="D3076" t="s">
        <v>6567</v>
      </c>
      <c r="E3076" s="2">
        <v>44944</v>
      </c>
      <c r="F3076">
        <v>667</v>
      </c>
      <c r="G3076" t="s">
        <v>1746</v>
      </c>
      <c r="H3076" t="s">
        <v>1747</v>
      </c>
      <c r="I3076" t="b">
        <v>0</v>
      </c>
      <c r="J3076" t="s">
        <v>1748</v>
      </c>
      <c r="K3076" t="s">
        <v>1853</v>
      </c>
      <c r="L3076" t="s">
        <v>1750</v>
      </c>
      <c r="M3076">
        <v>1</v>
      </c>
      <c r="N3076" t="b">
        <v>1</v>
      </c>
      <c r="O3076">
        <v>50</v>
      </c>
      <c r="P3076" t="s">
        <v>1752</v>
      </c>
      <c r="Q3076" t="s">
        <v>1753</v>
      </c>
      <c r="R3076" t="s">
        <v>1759</v>
      </c>
    </row>
    <row r="3077" spans="1:18" x14ac:dyDescent="0.25">
      <c r="A3077" t="s">
        <v>6570</v>
      </c>
      <c r="B3077" t="s">
        <v>1907</v>
      </c>
      <c r="C3077" t="s">
        <v>186</v>
      </c>
      <c r="D3077" t="s">
        <v>6569</v>
      </c>
      <c r="E3077" s="2">
        <v>40983</v>
      </c>
      <c r="F3077">
        <v>4628</v>
      </c>
      <c r="G3077" t="s">
        <v>1746</v>
      </c>
      <c r="H3077" t="s">
        <v>1798</v>
      </c>
      <c r="I3077" t="b">
        <v>0</v>
      </c>
      <c r="J3077" t="s">
        <v>1748</v>
      </c>
      <c r="K3077" t="s">
        <v>1830</v>
      </c>
      <c r="L3077" t="s">
        <v>2102</v>
      </c>
      <c r="M3077">
        <v>1</v>
      </c>
      <c r="N3077" t="b">
        <v>0</v>
      </c>
      <c r="P3077" t="s">
        <v>2070</v>
      </c>
      <c r="Q3077" t="s">
        <v>1779</v>
      </c>
    </row>
    <row r="3078" spans="1:18" x14ac:dyDescent="0.25">
      <c r="A3078" t="s">
        <v>6572</v>
      </c>
      <c r="B3078" t="s">
        <v>2144</v>
      </c>
      <c r="C3078" t="s">
        <v>186</v>
      </c>
      <c r="D3078" t="s">
        <v>6571</v>
      </c>
      <c r="E3078" s="2">
        <v>44628</v>
      </c>
      <c r="F3078">
        <v>983</v>
      </c>
      <c r="G3078" t="s">
        <v>1746</v>
      </c>
      <c r="H3078" t="s">
        <v>1747</v>
      </c>
      <c r="I3078" t="b">
        <v>0</v>
      </c>
      <c r="J3078" t="s">
        <v>1748</v>
      </c>
      <c r="K3078" t="s">
        <v>1799</v>
      </c>
      <c r="L3078" t="s">
        <v>1775</v>
      </c>
      <c r="M3078">
        <v>1</v>
      </c>
      <c r="N3078" t="b">
        <v>0</v>
      </c>
      <c r="P3078" t="s">
        <v>2283</v>
      </c>
      <c r="Q3078" t="s">
        <v>1705</v>
      </c>
    </row>
    <row r="3079" spans="1:18" x14ac:dyDescent="0.25">
      <c r="A3079" t="s">
        <v>5408</v>
      </c>
      <c r="B3079" t="s">
        <v>2150</v>
      </c>
      <c r="C3079" t="s">
        <v>4</v>
      </c>
      <c r="D3079" t="s">
        <v>6573</v>
      </c>
      <c r="E3079" s="2">
        <v>43068</v>
      </c>
      <c r="F3079">
        <v>2543</v>
      </c>
      <c r="G3079" t="s">
        <v>1746</v>
      </c>
      <c r="H3079" t="s">
        <v>1805</v>
      </c>
      <c r="I3079" t="b">
        <v>0</v>
      </c>
      <c r="J3079" t="s">
        <v>1748</v>
      </c>
      <c r="K3079" t="s">
        <v>1880</v>
      </c>
      <c r="L3079" t="s">
        <v>1750</v>
      </c>
      <c r="M3079">
        <v>1</v>
      </c>
      <c r="N3079" t="b">
        <v>0</v>
      </c>
      <c r="O3079">
        <v>86</v>
      </c>
      <c r="P3079" t="s">
        <v>1752</v>
      </c>
      <c r="Q3079" t="s">
        <v>1753</v>
      </c>
      <c r="R3079" t="s">
        <v>1828</v>
      </c>
    </row>
    <row r="3080" spans="1:18" x14ac:dyDescent="0.25">
      <c r="A3080" t="s">
        <v>6575</v>
      </c>
      <c r="B3080" t="s">
        <v>1704</v>
      </c>
      <c r="C3080" t="s">
        <v>1249</v>
      </c>
      <c r="D3080" t="s">
        <v>6574</v>
      </c>
      <c r="E3080" s="2">
        <v>42684</v>
      </c>
      <c r="F3080">
        <v>2927</v>
      </c>
      <c r="G3080" t="s">
        <v>1746</v>
      </c>
      <c r="H3080" t="s">
        <v>1747</v>
      </c>
      <c r="I3080" t="b">
        <v>0</v>
      </c>
      <c r="J3080" t="s">
        <v>1748</v>
      </c>
      <c r="K3080" t="s">
        <v>1813</v>
      </c>
      <c r="L3080" t="s">
        <v>2102</v>
      </c>
      <c r="M3080">
        <v>1</v>
      </c>
      <c r="N3080" t="b">
        <v>0</v>
      </c>
      <c r="P3080" t="s">
        <v>2070</v>
      </c>
      <c r="Q3080" t="s">
        <v>1779</v>
      </c>
    </row>
    <row r="3081" spans="1:18" x14ac:dyDescent="0.25">
      <c r="A3081" t="s">
        <v>6576</v>
      </c>
      <c r="B3081" t="s">
        <v>2353</v>
      </c>
      <c r="C3081" t="s">
        <v>4</v>
      </c>
      <c r="D3081" t="s">
        <v>210</v>
      </c>
      <c r="E3081" s="2">
        <v>44943</v>
      </c>
      <c r="F3081">
        <v>668</v>
      </c>
      <c r="G3081" t="s">
        <v>1833</v>
      </c>
      <c r="H3081" t="s">
        <v>1798</v>
      </c>
      <c r="I3081" t="b">
        <v>0</v>
      </c>
      <c r="J3081" t="s">
        <v>1761</v>
      </c>
      <c r="K3081" t="s">
        <v>2021</v>
      </c>
      <c r="L3081" t="s">
        <v>1750</v>
      </c>
      <c r="M3081">
        <v>1</v>
      </c>
      <c r="N3081" t="b">
        <v>1</v>
      </c>
      <c r="O3081">
        <v>295</v>
      </c>
      <c r="P3081" t="s">
        <v>1819</v>
      </c>
      <c r="Q3081" t="s">
        <v>1753</v>
      </c>
      <c r="R3081" t="s">
        <v>1759</v>
      </c>
    </row>
    <row r="3082" spans="1:18" x14ac:dyDescent="0.25">
      <c r="A3082" t="s">
        <v>6578</v>
      </c>
      <c r="B3082" t="s">
        <v>2335</v>
      </c>
      <c r="C3082" t="s">
        <v>6</v>
      </c>
      <c r="D3082" t="s">
        <v>6577</v>
      </c>
      <c r="E3082" s="2">
        <v>43480</v>
      </c>
      <c r="F3082">
        <v>2131</v>
      </c>
      <c r="G3082" t="s">
        <v>1746</v>
      </c>
      <c r="H3082" t="s">
        <v>1747</v>
      </c>
      <c r="I3082" t="b">
        <v>0</v>
      </c>
      <c r="J3082" t="s">
        <v>1748</v>
      </c>
      <c r="K3082" t="s">
        <v>1755</v>
      </c>
      <c r="L3082" t="s">
        <v>1817</v>
      </c>
      <c r="M3082">
        <v>1</v>
      </c>
      <c r="N3082" t="b">
        <v>1</v>
      </c>
      <c r="O3082">
        <v>86</v>
      </c>
      <c r="P3082" t="s">
        <v>1819</v>
      </c>
      <c r="Q3082" t="s">
        <v>1753</v>
      </c>
      <c r="R3082" t="s">
        <v>1759</v>
      </c>
    </row>
    <row r="3083" spans="1:18" x14ac:dyDescent="0.25">
      <c r="A3083" t="s">
        <v>6580</v>
      </c>
      <c r="B3083" t="s">
        <v>2662</v>
      </c>
      <c r="C3083" t="s">
        <v>4</v>
      </c>
      <c r="D3083" t="s">
        <v>6579</v>
      </c>
      <c r="E3083" s="2">
        <v>45559</v>
      </c>
      <c r="F3083">
        <v>52</v>
      </c>
      <c r="G3083" t="s">
        <v>1746</v>
      </c>
      <c r="H3083" t="s">
        <v>1747</v>
      </c>
      <c r="I3083" t="b">
        <v>0</v>
      </c>
      <c r="J3083" t="s">
        <v>1761</v>
      </c>
      <c r="K3083" t="s">
        <v>1749</v>
      </c>
      <c r="L3083" t="s">
        <v>1756</v>
      </c>
      <c r="M3083">
        <v>1</v>
      </c>
      <c r="N3083" t="b">
        <v>0</v>
      </c>
      <c r="O3083">
        <v>17</v>
      </c>
      <c r="P3083" t="s">
        <v>1827</v>
      </c>
      <c r="Q3083" t="s">
        <v>1753</v>
      </c>
    </row>
    <row r="3084" spans="1:18" x14ac:dyDescent="0.25">
      <c r="A3084" t="s">
        <v>6581</v>
      </c>
      <c r="B3084" t="s">
        <v>1876</v>
      </c>
      <c r="C3084" t="s">
        <v>4</v>
      </c>
      <c r="D3084" t="s">
        <v>1051</v>
      </c>
      <c r="E3084" s="2">
        <v>44624</v>
      </c>
      <c r="F3084">
        <v>987</v>
      </c>
      <c r="G3084" t="s">
        <v>1746</v>
      </c>
      <c r="H3084" t="s">
        <v>1747</v>
      </c>
      <c r="I3084" t="b">
        <v>0</v>
      </c>
      <c r="J3084" t="s">
        <v>1748</v>
      </c>
      <c r="K3084" t="s">
        <v>1774</v>
      </c>
      <c r="L3084" t="s">
        <v>1750</v>
      </c>
      <c r="M3084">
        <v>1</v>
      </c>
      <c r="N3084" t="b">
        <v>1</v>
      </c>
      <c r="O3084">
        <v>248</v>
      </c>
      <c r="P3084" t="s">
        <v>1752</v>
      </c>
      <c r="Q3084" t="s">
        <v>1753</v>
      </c>
    </row>
    <row r="3085" spans="1:18" x14ac:dyDescent="0.25">
      <c r="A3085" t="s">
        <v>6583</v>
      </c>
      <c r="B3085" t="s">
        <v>2611</v>
      </c>
      <c r="C3085" t="s">
        <v>4</v>
      </c>
      <c r="D3085" t="s">
        <v>6582</v>
      </c>
      <c r="E3085" s="2">
        <v>45237</v>
      </c>
      <c r="F3085">
        <v>374</v>
      </c>
      <c r="G3085" t="s">
        <v>1746</v>
      </c>
      <c r="H3085" t="s">
        <v>1747</v>
      </c>
      <c r="I3085" t="b">
        <v>0</v>
      </c>
      <c r="J3085" t="s">
        <v>1748</v>
      </c>
      <c r="K3085" t="s">
        <v>1868</v>
      </c>
      <c r="L3085" t="s">
        <v>1766</v>
      </c>
      <c r="M3085">
        <v>1</v>
      </c>
      <c r="N3085" t="b">
        <v>0</v>
      </c>
      <c r="P3085" t="s">
        <v>1752</v>
      </c>
      <c r="Q3085" t="s">
        <v>1753</v>
      </c>
    </row>
    <row r="3086" spans="1:18" x14ac:dyDescent="0.25">
      <c r="A3086" t="s">
        <v>6585</v>
      </c>
      <c r="B3086" t="s">
        <v>2611</v>
      </c>
      <c r="C3086" t="s">
        <v>4</v>
      </c>
      <c r="D3086" t="s">
        <v>6584</v>
      </c>
      <c r="E3086" s="2">
        <v>45545</v>
      </c>
      <c r="F3086">
        <v>66</v>
      </c>
      <c r="G3086" t="s">
        <v>1746</v>
      </c>
      <c r="H3086" t="s">
        <v>1747</v>
      </c>
      <c r="I3086" t="b">
        <v>0</v>
      </c>
      <c r="J3086" t="s">
        <v>1748</v>
      </c>
      <c r="K3086" t="s">
        <v>2021</v>
      </c>
      <c r="L3086" t="s">
        <v>1750</v>
      </c>
      <c r="M3086">
        <v>1</v>
      </c>
      <c r="N3086" t="b">
        <v>0</v>
      </c>
      <c r="O3086">
        <v>82</v>
      </c>
      <c r="P3086" t="s">
        <v>1752</v>
      </c>
      <c r="Q3086" t="s">
        <v>1753</v>
      </c>
      <c r="R3086" t="s">
        <v>1759</v>
      </c>
    </row>
    <row r="3087" spans="1:18" x14ac:dyDescent="0.25">
      <c r="A3087" t="s">
        <v>6587</v>
      </c>
      <c r="B3087" t="s">
        <v>2611</v>
      </c>
      <c r="C3087" t="s">
        <v>4</v>
      </c>
      <c r="D3087" t="s">
        <v>6586</v>
      </c>
      <c r="E3087" s="2">
        <v>45433</v>
      </c>
      <c r="F3087">
        <v>178</v>
      </c>
      <c r="G3087" t="s">
        <v>1746</v>
      </c>
      <c r="H3087" t="s">
        <v>1747</v>
      </c>
      <c r="I3087" t="b">
        <v>1</v>
      </c>
      <c r="J3087" t="s">
        <v>1761</v>
      </c>
      <c r="K3087" t="s">
        <v>1822</v>
      </c>
      <c r="L3087" t="s">
        <v>1817</v>
      </c>
      <c r="M3087">
        <v>1</v>
      </c>
      <c r="N3087" t="b">
        <v>1</v>
      </c>
      <c r="O3087">
        <v>349</v>
      </c>
      <c r="P3087" t="s">
        <v>1819</v>
      </c>
      <c r="Q3087" t="s">
        <v>1753</v>
      </c>
      <c r="R3087" t="s">
        <v>1759</v>
      </c>
    </row>
    <row r="3088" spans="1:18" x14ac:dyDescent="0.25">
      <c r="A3088" t="s">
        <v>6589</v>
      </c>
      <c r="B3088" t="s">
        <v>2277</v>
      </c>
      <c r="C3088" t="s">
        <v>4</v>
      </c>
      <c r="D3088" t="s">
        <v>6588</v>
      </c>
      <c r="E3088" s="2">
        <v>45454</v>
      </c>
      <c r="F3088">
        <v>157</v>
      </c>
      <c r="G3088" t="s">
        <v>1746</v>
      </c>
      <c r="H3088" t="s">
        <v>1747</v>
      </c>
      <c r="I3088" t="b">
        <v>0</v>
      </c>
      <c r="J3088" t="s">
        <v>1761</v>
      </c>
      <c r="K3088" t="s">
        <v>1755</v>
      </c>
      <c r="L3088" t="s">
        <v>1750</v>
      </c>
      <c r="M3088">
        <v>1</v>
      </c>
      <c r="N3088" t="b">
        <v>1</v>
      </c>
      <c r="O3088">
        <v>754</v>
      </c>
      <c r="P3088" t="s">
        <v>1752</v>
      </c>
      <c r="Q3088" t="s">
        <v>1753</v>
      </c>
      <c r="R3088" t="s">
        <v>1759</v>
      </c>
    </row>
    <row r="3089" spans="1:18" x14ac:dyDescent="0.25">
      <c r="A3089" t="s">
        <v>6591</v>
      </c>
      <c r="B3089" t="s">
        <v>3874</v>
      </c>
      <c r="C3089" t="s">
        <v>4</v>
      </c>
      <c r="D3089" t="s">
        <v>6590</v>
      </c>
      <c r="E3089" s="2">
        <v>45373</v>
      </c>
      <c r="F3089">
        <v>238</v>
      </c>
      <c r="G3089" t="s">
        <v>1833</v>
      </c>
      <c r="H3089" t="s">
        <v>1747</v>
      </c>
      <c r="I3089" t="b">
        <v>0</v>
      </c>
      <c r="J3089" t="s">
        <v>1748</v>
      </c>
      <c r="K3089" t="s">
        <v>1880</v>
      </c>
      <c r="L3089" t="s">
        <v>1750</v>
      </c>
      <c r="M3089">
        <v>1</v>
      </c>
      <c r="N3089" t="b">
        <v>1</v>
      </c>
      <c r="O3089">
        <v>252</v>
      </c>
      <c r="P3089" t="s">
        <v>1752</v>
      </c>
      <c r="Q3089" t="s">
        <v>1753</v>
      </c>
      <c r="R3089" t="s">
        <v>1759</v>
      </c>
    </row>
    <row r="3090" spans="1:18" x14ac:dyDescent="0.25">
      <c r="A3090" t="s">
        <v>6593</v>
      </c>
      <c r="B3090" t="s">
        <v>2611</v>
      </c>
      <c r="C3090" t="s">
        <v>4</v>
      </c>
      <c r="D3090" t="s">
        <v>6592</v>
      </c>
      <c r="E3090" s="2">
        <v>45237</v>
      </c>
      <c r="F3090">
        <v>374</v>
      </c>
      <c r="G3090" t="s">
        <v>1746</v>
      </c>
      <c r="H3090" t="s">
        <v>1747</v>
      </c>
      <c r="I3090" t="b">
        <v>0</v>
      </c>
      <c r="J3090" t="s">
        <v>1748</v>
      </c>
      <c r="K3090" t="s">
        <v>1868</v>
      </c>
      <c r="L3090" t="s">
        <v>1766</v>
      </c>
      <c r="M3090">
        <v>1</v>
      </c>
      <c r="N3090" t="b">
        <v>0</v>
      </c>
      <c r="P3090" t="s">
        <v>1752</v>
      </c>
      <c r="Q3090" t="s">
        <v>1753</v>
      </c>
    </row>
    <row r="3091" spans="1:18" x14ac:dyDescent="0.25">
      <c r="A3091" t="s">
        <v>6594</v>
      </c>
      <c r="B3091" t="s">
        <v>1781</v>
      </c>
      <c r="C3091" t="s">
        <v>4</v>
      </c>
      <c r="D3091" t="s">
        <v>1388</v>
      </c>
      <c r="E3091" s="2">
        <v>43521</v>
      </c>
      <c r="F3091">
        <v>2090</v>
      </c>
      <c r="G3091" t="s">
        <v>1746</v>
      </c>
      <c r="H3091" t="s">
        <v>1747</v>
      </c>
      <c r="I3091" t="b">
        <v>0</v>
      </c>
      <c r="J3091" t="s">
        <v>1748</v>
      </c>
      <c r="K3091" t="s">
        <v>2021</v>
      </c>
      <c r="L3091" t="s">
        <v>2102</v>
      </c>
      <c r="M3091">
        <v>1</v>
      </c>
      <c r="N3091" t="b">
        <v>0</v>
      </c>
      <c r="P3091" t="s">
        <v>2070</v>
      </c>
      <c r="Q3091" t="s">
        <v>1779</v>
      </c>
    </row>
    <row r="3092" spans="1:18" x14ac:dyDescent="0.25">
      <c r="A3092" t="s">
        <v>6596</v>
      </c>
      <c r="B3092" t="s">
        <v>2611</v>
      </c>
      <c r="C3092" t="s">
        <v>4</v>
      </c>
      <c r="D3092" t="s">
        <v>6595</v>
      </c>
      <c r="E3092" s="2">
        <v>45433</v>
      </c>
      <c r="F3092">
        <v>178</v>
      </c>
      <c r="G3092" t="s">
        <v>1746</v>
      </c>
      <c r="H3092" t="s">
        <v>1747</v>
      </c>
      <c r="I3092" t="b">
        <v>1</v>
      </c>
      <c r="J3092" t="s">
        <v>1761</v>
      </c>
      <c r="K3092" t="s">
        <v>1822</v>
      </c>
      <c r="L3092" t="s">
        <v>1817</v>
      </c>
      <c r="M3092">
        <v>1</v>
      </c>
      <c r="N3092" t="b">
        <v>1</v>
      </c>
      <c r="O3092">
        <v>339</v>
      </c>
      <c r="P3092" t="s">
        <v>1819</v>
      </c>
      <c r="Q3092" t="s">
        <v>1753</v>
      </c>
      <c r="R3092" t="s">
        <v>1759</v>
      </c>
    </row>
    <row r="3093" spans="1:18" x14ac:dyDescent="0.25">
      <c r="A3093" t="s">
        <v>6598</v>
      </c>
      <c r="B3093" t="s">
        <v>1907</v>
      </c>
      <c r="C3093" t="s">
        <v>6</v>
      </c>
      <c r="D3093" t="s">
        <v>6597</v>
      </c>
      <c r="E3093" s="2">
        <v>44433</v>
      </c>
      <c r="F3093">
        <v>1178</v>
      </c>
      <c r="G3093" t="s">
        <v>1746</v>
      </c>
      <c r="H3093" t="s">
        <v>1798</v>
      </c>
      <c r="I3093" t="b">
        <v>0</v>
      </c>
      <c r="J3093" t="s">
        <v>1761</v>
      </c>
      <c r="K3093" t="s">
        <v>1770</v>
      </c>
      <c r="L3093" t="s">
        <v>1750</v>
      </c>
      <c r="M3093">
        <v>1</v>
      </c>
      <c r="N3093" t="b">
        <v>1</v>
      </c>
      <c r="O3093">
        <v>113</v>
      </c>
      <c r="P3093" t="s">
        <v>1752</v>
      </c>
      <c r="Q3093" t="s">
        <v>1753</v>
      </c>
    </row>
    <row r="3094" spans="1:18" x14ac:dyDescent="0.25">
      <c r="A3094" t="s">
        <v>6600</v>
      </c>
      <c r="B3094" t="s">
        <v>2040</v>
      </c>
      <c r="C3094" t="s">
        <v>6</v>
      </c>
      <c r="D3094" t="s">
        <v>6599</v>
      </c>
      <c r="E3094" s="2">
        <v>45302</v>
      </c>
      <c r="F3094">
        <v>309</v>
      </c>
      <c r="G3094" t="s">
        <v>1833</v>
      </c>
      <c r="H3094" t="s">
        <v>1798</v>
      </c>
      <c r="I3094" t="b">
        <v>0</v>
      </c>
      <c r="J3094" t="s">
        <v>1761</v>
      </c>
      <c r="K3094" t="s">
        <v>1770</v>
      </c>
      <c r="L3094" t="s">
        <v>1750</v>
      </c>
      <c r="M3094">
        <v>1</v>
      </c>
      <c r="N3094" t="b">
        <v>1</v>
      </c>
      <c r="O3094">
        <v>93</v>
      </c>
      <c r="P3094" t="s">
        <v>1819</v>
      </c>
      <c r="Q3094" t="s">
        <v>1753</v>
      </c>
      <c r="R3094" t="s">
        <v>1828</v>
      </c>
    </row>
    <row r="3095" spans="1:18" x14ac:dyDescent="0.25">
      <c r="A3095" t="s">
        <v>6602</v>
      </c>
      <c r="B3095" t="s">
        <v>2177</v>
      </c>
      <c r="C3095" t="s">
        <v>4</v>
      </c>
      <c r="D3095" t="s">
        <v>6601</v>
      </c>
      <c r="E3095" s="2">
        <v>43160</v>
      </c>
      <c r="F3095">
        <v>2451</v>
      </c>
      <c r="G3095" t="s">
        <v>1746</v>
      </c>
      <c r="H3095" t="s">
        <v>1805</v>
      </c>
      <c r="I3095" t="b">
        <v>0</v>
      </c>
      <c r="J3095" t="s">
        <v>1748</v>
      </c>
      <c r="K3095" t="s">
        <v>1808</v>
      </c>
      <c r="L3095" t="s">
        <v>2102</v>
      </c>
      <c r="M3095">
        <v>1</v>
      </c>
      <c r="N3095" t="b">
        <v>0</v>
      </c>
      <c r="P3095" t="s">
        <v>2070</v>
      </c>
      <c r="Q3095" t="s">
        <v>1753</v>
      </c>
    </row>
    <row r="3096" spans="1:18" x14ac:dyDescent="0.25">
      <c r="A3096" t="s">
        <v>6603</v>
      </c>
      <c r="B3096" t="s">
        <v>1781</v>
      </c>
      <c r="C3096" t="s">
        <v>4</v>
      </c>
      <c r="D3096" t="s">
        <v>1026</v>
      </c>
      <c r="E3096" s="2">
        <v>44624</v>
      </c>
      <c r="F3096">
        <v>987</v>
      </c>
      <c r="G3096" t="s">
        <v>1746</v>
      </c>
      <c r="H3096" t="s">
        <v>1798</v>
      </c>
      <c r="I3096" t="b">
        <v>0</v>
      </c>
      <c r="J3096" t="s">
        <v>1748</v>
      </c>
      <c r="K3096" t="s">
        <v>1824</v>
      </c>
      <c r="L3096" t="s">
        <v>1750</v>
      </c>
      <c r="M3096">
        <v>1</v>
      </c>
      <c r="N3096" t="b">
        <v>1</v>
      </c>
      <c r="O3096">
        <v>245</v>
      </c>
      <c r="P3096" t="s">
        <v>1752</v>
      </c>
      <c r="Q3096" t="s">
        <v>1753</v>
      </c>
      <c r="R3096" t="s">
        <v>1828</v>
      </c>
    </row>
    <row r="3097" spans="1:18" x14ac:dyDescent="0.25">
      <c r="A3097" t="s">
        <v>6605</v>
      </c>
      <c r="B3097" t="s">
        <v>2611</v>
      </c>
      <c r="C3097" t="s">
        <v>4</v>
      </c>
      <c r="D3097" t="s">
        <v>6604</v>
      </c>
      <c r="E3097" s="2">
        <v>45433</v>
      </c>
      <c r="F3097">
        <v>178</v>
      </c>
      <c r="G3097" t="s">
        <v>1746</v>
      </c>
      <c r="H3097" t="s">
        <v>1747</v>
      </c>
      <c r="I3097" t="b">
        <v>1</v>
      </c>
      <c r="J3097" t="s">
        <v>1761</v>
      </c>
      <c r="K3097" t="s">
        <v>1822</v>
      </c>
      <c r="L3097" t="s">
        <v>1817</v>
      </c>
      <c r="M3097">
        <v>1</v>
      </c>
      <c r="N3097" t="b">
        <v>1</v>
      </c>
      <c r="O3097">
        <v>361</v>
      </c>
      <c r="P3097" t="s">
        <v>1819</v>
      </c>
      <c r="Q3097" t="s">
        <v>1753</v>
      </c>
      <c r="R3097" t="s">
        <v>1759</v>
      </c>
    </row>
    <row r="3098" spans="1:18" x14ac:dyDescent="0.25">
      <c r="A3098" t="s">
        <v>6607</v>
      </c>
      <c r="B3098" t="s">
        <v>1704</v>
      </c>
      <c r="C3098" t="s">
        <v>1249</v>
      </c>
      <c r="D3098" t="s">
        <v>6606</v>
      </c>
      <c r="E3098" s="2">
        <v>43684</v>
      </c>
      <c r="F3098">
        <v>1927</v>
      </c>
      <c r="G3098" t="s">
        <v>1746</v>
      </c>
      <c r="H3098" t="s">
        <v>1798</v>
      </c>
      <c r="I3098" t="b">
        <v>0</v>
      </c>
      <c r="J3098" t="s">
        <v>1748</v>
      </c>
      <c r="K3098" t="s">
        <v>1967</v>
      </c>
      <c r="L3098" t="s">
        <v>2102</v>
      </c>
      <c r="M3098">
        <v>1</v>
      </c>
      <c r="N3098" t="b">
        <v>0</v>
      </c>
      <c r="P3098" t="s">
        <v>2070</v>
      </c>
      <c r="Q3098" t="s">
        <v>1779</v>
      </c>
    </row>
    <row r="3099" spans="1:18" x14ac:dyDescent="0.25">
      <c r="A3099" t="s">
        <v>6609</v>
      </c>
      <c r="B3099" t="s">
        <v>2085</v>
      </c>
      <c r="C3099" t="s">
        <v>4</v>
      </c>
      <c r="D3099" t="s">
        <v>6608</v>
      </c>
      <c r="E3099" s="2">
        <v>44747</v>
      </c>
      <c r="F3099">
        <v>864</v>
      </c>
      <c r="G3099" t="s">
        <v>1746</v>
      </c>
      <c r="H3099" t="s">
        <v>1798</v>
      </c>
      <c r="I3099" t="b">
        <v>0</v>
      </c>
      <c r="J3099" t="s">
        <v>1761</v>
      </c>
      <c r="K3099" t="s">
        <v>1824</v>
      </c>
      <c r="L3099" t="s">
        <v>1750</v>
      </c>
      <c r="M3099">
        <v>1</v>
      </c>
      <c r="N3099" t="b">
        <v>1</v>
      </c>
      <c r="O3099">
        <v>246</v>
      </c>
      <c r="P3099" t="s">
        <v>1752</v>
      </c>
      <c r="Q3099" t="s">
        <v>1753</v>
      </c>
      <c r="R3099" t="s">
        <v>1828</v>
      </c>
    </row>
    <row r="3100" spans="1:18" x14ac:dyDescent="0.25">
      <c r="A3100" t="s">
        <v>6611</v>
      </c>
      <c r="B3100" t="s">
        <v>4832</v>
      </c>
      <c r="C3100" t="s">
        <v>6</v>
      </c>
      <c r="D3100" t="s">
        <v>6610</v>
      </c>
      <c r="E3100" s="2">
        <v>45175</v>
      </c>
      <c r="F3100">
        <v>436</v>
      </c>
      <c r="G3100" t="s">
        <v>1746</v>
      </c>
      <c r="H3100" t="s">
        <v>1798</v>
      </c>
      <c r="I3100" t="b">
        <v>0</v>
      </c>
      <c r="J3100" t="s">
        <v>1761</v>
      </c>
      <c r="K3100" t="s">
        <v>1822</v>
      </c>
      <c r="L3100" t="s">
        <v>1750</v>
      </c>
      <c r="M3100">
        <v>1</v>
      </c>
      <c r="N3100" t="b">
        <v>1</v>
      </c>
      <c r="O3100">
        <v>447</v>
      </c>
      <c r="P3100" t="s">
        <v>1819</v>
      </c>
      <c r="Q3100" t="s">
        <v>1753</v>
      </c>
      <c r="R3100" t="s">
        <v>1759</v>
      </c>
    </row>
    <row r="3101" spans="1:18" x14ac:dyDescent="0.25">
      <c r="A3101" t="s">
        <v>6613</v>
      </c>
      <c r="B3101" t="s">
        <v>1704</v>
      </c>
      <c r="C3101" t="s">
        <v>6</v>
      </c>
      <c r="D3101" t="s">
        <v>6612</v>
      </c>
      <c r="E3101" s="2">
        <v>45511</v>
      </c>
      <c r="F3101">
        <v>100</v>
      </c>
      <c r="G3101" t="s">
        <v>1746</v>
      </c>
      <c r="H3101" t="s">
        <v>1805</v>
      </c>
      <c r="I3101" t="b">
        <v>0</v>
      </c>
      <c r="J3101" t="s">
        <v>1748</v>
      </c>
      <c r="K3101" t="s">
        <v>1776</v>
      </c>
      <c r="L3101" t="s">
        <v>1750</v>
      </c>
      <c r="M3101">
        <v>1</v>
      </c>
      <c r="N3101" t="b">
        <v>1</v>
      </c>
      <c r="O3101">
        <v>542</v>
      </c>
      <c r="P3101" t="s">
        <v>1819</v>
      </c>
      <c r="Q3101" t="s">
        <v>1753</v>
      </c>
      <c r="R3101" t="s">
        <v>1772</v>
      </c>
    </row>
    <row r="3102" spans="1:18" x14ac:dyDescent="0.25">
      <c r="A3102" t="s">
        <v>6615</v>
      </c>
      <c r="B3102" t="s">
        <v>2150</v>
      </c>
      <c r="C3102" t="s">
        <v>4</v>
      </c>
      <c r="D3102" t="s">
        <v>6614</v>
      </c>
      <c r="E3102" s="2">
        <v>44761</v>
      </c>
      <c r="F3102">
        <v>850</v>
      </c>
      <c r="G3102" t="s">
        <v>1746</v>
      </c>
      <c r="H3102" t="s">
        <v>1747</v>
      </c>
      <c r="I3102" t="b">
        <v>0</v>
      </c>
      <c r="J3102" t="s">
        <v>1761</v>
      </c>
      <c r="K3102" t="s">
        <v>1774</v>
      </c>
      <c r="L3102" t="s">
        <v>1750</v>
      </c>
      <c r="M3102">
        <v>1</v>
      </c>
      <c r="N3102" t="b">
        <v>1</v>
      </c>
      <c r="O3102">
        <v>253</v>
      </c>
      <c r="P3102" t="s">
        <v>1752</v>
      </c>
      <c r="Q3102" t="s">
        <v>1753</v>
      </c>
    </row>
    <row r="3103" spans="1:18" x14ac:dyDescent="0.25">
      <c r="A3103" t="s">
        <v>6617</v>
      </c>
      <c r="B3103" t="s">
        <v>2173</v>
      </c>
      <c r="C3103" t="s">
        <v>4</v>
      </c>
      <c r="D3103" t="s">
        <v>6616</v>
      </c>
      <c r="E3103" s="2">
        <v>43851</v>
      </c>
      <c r="F3103">
        <v>1760</v>
      </c>
      <c r="G3103" t="s">
        <v>1746</v>
      </c>
      <c r="H3103" t="s">
        <v>2231</v>
      </c>
      <c r="I3103" t="b">
        <v>0</v>
      </c>
      <c r="J3103" t="s">
        <v>1748</v>
      </c>
      <c r="K3103" t="s">
        <v>1917</v>
      </c>
      <c r="L3103" t="s">
        <v>1750</v>
      </c>
      <c r="M3103">
        <v>1</v>
      </c>
      <c r="N3103" t="b">
        <v>1</v>
      </c>
      <c r="O3103">
        <v>404</v>
      </c>
      <c r="P3103" t="s">
        <v>1819</v>
      </c>
      <c r="Q3103" t="s">
        <v>1753</v>
      </c>
      <c r="R3103" t="s">
        <v>1772</v>
      </c>
    </row>
    <row r="3104" spans="1:18" x14ac:dyDescent="0.25">
      <c r="A3104" t="s">
        <v>5484</v>
      </c>
      <c r="B3104" t="s">
        <v>2177</v>
      </c>
      <c r="C3104" t="s">
        <v>4</v>
      </c>
      <c r="D3104" t="s">
        <v>6618</v>
      </c>
      <c r="E3104" s="2">
        <v>44083</v>
      </c>
      <c r="F3104">
        <v>1528</v>
      </c>
      <c r="G3104" t="s">
        <v>1833</v>
      </c>
      <c r="H3104" t="s">
        <v>1747</v>
      </c>
      <c r="I3104" t="b">
        <v>0</v>
      </c>
      <c r="J3104" t="s">
        <v>1761</v>
      </c>
      <c r="K3104" t="s">
        <v>1809</v>
      </c>
      <c r="L3104" t="s">
        <v>1817</v>
      </c>
      <c r="M3104">
        <v>1</v>
      </c>
      <c r="N3104" t="b">
        <v>1</v>
      </c>
      <c r="O3104">
        <v>334</v>
      </c>
      <c r="P3104" t="s">
        <v>1819</v>
      </c>
      <c r="Q3104" t="s">
        <v>1753</v>
      </c>
      <c r="R3104" t="s">
        <v>1759</v>
      </c>
    </row>
    <row r="3105" spans="1:18" x14ac:dyDescent="0.25">
      <c r="A3105" t="s">
        <v>6619</v>
      </c>
      <c r="B3105" t="s">
        <v>1781</v>
      </c>
      <c r="C3105" t="s">
        <v>186</v>
      </c>
      <c r="D3105" t="s">
        <v>1359</v>
      </c>
      <c r="E3105" s="2">
        <v>45030</v>
      </c>
      <c r="F3105">
        <v>581</v>
      </c>
      <c r="G3105" t="s">
        <v>1746</v>
      </c>
      <c r="H3105" t="s">
        <v>1747</v>
      </c>
      <c r="I3105" t="b">
        <v>0</v>
      </c>
      <c r="J3105" t="s">
        <v>1748</v>
      </c>
      <c r="K3105" t="s">
        <v>1830</v>
      </c>
      <c r="L3105" t="s">
        <v>2102</v>
      </c>
      <c r="M3105">
        <v>1</v>
      </c>
      <c r="N3105" t="b">
        <v>0</v>
      </c>
      <c r="P3105" t="s">
        <v>2070</v>
      </c>
      <c r="Q3105" t="s">
        <v>1779</v>
      </c>
    </row>
    <row r="3106" spans="1:18" x14ac:dyDescent="0.25">
      <c r="A3106" t="s">
        <v>6620</v>
      </c>
      <c r="B3106" t="s">
        <v>2997</v>
      </c>
      <c r="C3106" t="s">
        <v>4</v>
      </c>
      <c r="D3106" t="s">
        <v>1221</v>
      </c>
      <c r="E3106" s="2">
        <v>44734</v>
      </c>
      <c r="F3106">
        <v>877</v>
      </c>
      <c r="G3106" t="s">
        <v>1746</v>
      </c>
      <c r="H3106" t="s">
        <v>1798</v>
      </c>
      <c r="I3106" t="b">
        <v>0</v>
      </c>
      <c r="J3106" t="s">
        <v>1748</v>
      </c>
      <c r="K3106" t="s">
        <v>1793</v>
      </c>
      <c r="L3106" t="s">
        <v>1750</v>
      </c>
      <c r="M3106">
        <v>1</v>
      </c>
      <c r="N3106" t="b">
        <v>1</v>
      </c>
      <c r="O3106">
        <v>135</v>
      </c>
      <c r="P3106" t="s">
        <v>1752</v>
      </c>
      <c r="Q3106" t="s">
        <v>1753</v>
      </c>
      <c r="R3106" t="s">
        <v>2028</v>
      </c>
    </row>
    <row r="3107" spans="1:18" x14ac:dyDescent="0.25">
      <c r="A3107" t="s">
        <v>6622</v>
      </c>
      <c r="B3107" t="s">
        <v>2564</v>
      </c>
      <c r="C3107" t="s">
        <v>6</v>
      </c>
      <c r="D3107" t="s">
        <v>6621</v>
      </c>
      <c r="E3107" s="2">
        <v>43053</v>
      </c>
      <c r="F3107">
        <v>2558</v>
      </c>
      <c r="G3107" t="s">
        <v>1746</v>
      </c>
      <c r="H3107" t="s">
        <v>1798</v>
      </c>
      <c r="I3107" t="b">
        <v>0</v>
      </c>
      <c r="J3107" t="s">
        <v>1748</v>
      </c>
      <c r="K3107" t="s">
        <v>1809</v>
      </c>
      <c r="L3107" t="s">
        <v>1750</v>
      </c>
      <c r="M3107">
        <v>1</v>
      </c>
      <c r="N3107" t="b">
        <v>1</v>
      </c>
      <c r="O3107">
        <v>92</v>
      </c>
      <c r="P3107" t="s">
        <v>1752</v>
      </c>
      <c r="Q3107" t="s">
        <v>1753</v>
      </c>
    </row>
    <row r="3108" spans="1:18" x14ac:dyDescent="0.25">
      <c r="A3108" t="s">
        <v>6624</v>
      </c>
      <c r="B3108" t="s">
        <v>2611</v>
      </c>
      <c r="C3108" t="s">
        <v>4</v>
      </c>
      <c r="D3108" t="s">
        <v>6623</v>
      </c>
      <c r="E3108" s="2">
        <v>45433</v>
      </c>
      <c r="F3108">
        <v>178</v>
      </c>
      <c r="G3108" t="s">
        <v>1746</v>
      </c>
      <c r="H3108" t="s">
        <v>1747</v>
      </c>
      <c r="I3108" t="b">
        <v>1</v>
      </c>
      <c r="J3108" t="s">
        <v>1761</v>
      </c>
      <c r="K3108" t="s">
        <v>1822</v>
      </c>
      <c r="L3108" t="s">
        <v>1817</v>
      </c>
      <c r="M3108">
        <v>1</v>
      </c>
      <c r="N3108" t="b">
        <v>1</v>
      </c>
      <c r="O3108">
        <v>340</v>
      </c>
      <c r="P3108" t="s">
        <v>1819</v>
      </c>
      <c r="Q3108" t="s">
        <v>1753</v>
      </c>
      <c r="R3108" t="s">
        <v>1759</v>
      </c>
    </row>
    <row r="3109" spans="1:18" x14ac:dyDescent="0.25">
      <c r="A3109" t="s">
        <v>6626</v>
      </c>
      <c r="B3109" t="s">
        <v>2611</v>
      </c>
      <c r="C3109" t="s">
        <v>4</v>
      </c>
      <c r="D3109" t="s">
        <v>6625</v>
      </c>
      <c r="E3109" s="2">
        <v>45538</v>
      </c>
      <c r="F3109">
        <v>73</v>
      </c>
      <c r="G3109" t="s">
        <v>1746</v>
      </c>
      <c r="H3109" t="s">
        <v>1798</v>
      </c>
      <c r="I3109" t="b">
        <v>0</v>
      </c>
      <c r="J3109" t="s">
        <v>1748</v>
      </c>
      <c r="K3109" t="s">
        <v>2053</v>
      </c>
      <c r="L3109" t="s">
        <v>1750</v>
      </c>
      <c r="M3109">
        <v>1</v>
      </c>
      <c r="N3109" t="b">
        <v>0</v>
      </c>
      <c r="P3109" t="s">
        <v>1752</v>
      </c>
      <c r="Q3109" t="s">
        <v>1753</v>
      </c>
      <c r="R3109" t="s">
        <v>1828</v>
      </c>
    </row>
    <row r="3110" spans="1:18" x14ac:dyDescent="0.25">
      <c r="A3110" t="s">
        <v>6628</v>
      </c>
      <c r="B3110" t="s">
        <v>1704</v>
      </c>
      <c r="C3110" t="s">
        <v>4</v>
      </c>
      <c r="D3110" t="s">
        <v>6627</v>
      </c>
      <c r="E3110" s="2">
        <v>45146</v>
      </c>
      <c r="F3110">
        <v>465</v>
      </c>
      <c r="G3110" t="s">
        <v>1746</v>
      </c>
      <c r="H3110" t="s">
        <v>1798</v>
      </c>
      <c r="I3110" t="b">
        <v>0</v>
      </c>
      <c r="J3110" t="s">
        <v>1748</v>
      </c>
      <c r="K3110" t="s">
        <v>1913</v>
      </c>
      <c r="L3110" t="s">
        <v>1817</v>
      </c>
      <c r="M3110">
        <v>1</v>
      </c>
      <c r="N3110" t="b">
        <v>1</v>
      </c>
      <c r="P3110" t="s">
        <v>1819</v>
      </c>
      <c r="Q3110" t="s">
        <v>1753</v>
      </c>
      <c r="R3110" t="s">
        <v>1759</v>
      </c>
    </row>
    <row r="3111" spans="1:18" x14ac:dyDescent="0.25">
      <c r="A3111" t="s">
        <v>6630</v>
      </c>
      <c r="B3111" t="s">
        <v>2133</v>
      </c>
      <c r="C3111" t="s">
        <v>4</v>
      </c>
      <c r="D3111" t="s">
        <v>6629</v>
      </c>
      <c r="E3111" s="2">
        <v>44256</v>
      </c>
      <c r="F3111">
        <v>1355</v>
      </c>
      <c r="G3111" t="s">
        <v>1746</v>
      </c>
      <c r="H3111" t="s">
        <v>1747</v>
      </c>
      <c r="I3111" t="b">
        <v>0</v>
      </c>
      <c r="J3111" t="s">
        <v>1761</v>
      </c>
      <c r="K3111" t="s">
        <v>2042</v>
      </c>
      <c r="L3111" t="s">
        <v>1750</v>
      </c>
      <c r="M3111">
        <v>1</v>
      </c>
      <c r="N3111" t="b">
        <v>1</v>
      </c>
      <c r="O3111">
        <v>110</v>
      </c>
      <c r="P3111" t="s">
        <v>1752</v>
      </c>
      <c r="Q3111" t="s">
        <v>1753</v>
      </c>
      <c r="R3111" t="s">
        <v>1759</v>
      </c>
    </row>
    <row r="3112" spans="1:18" x14ac:dyDescent="0.25">
      <c r="A3112" t="s">
        <v>6632</v>
      </c>
      <c r="B3112" t="s">
        <v>2040</v>
      </c>
      <c r="C3112" t="s">
        <v>6</v>
      </c>
      <c r="D3112" t="s">
        <v>6631</v>
      </c>
      <c r="E3112" s="2">
        <v>44944</v>
      </c>
      <c r="F3112">
        <v>667</v>
      </c>
      <c r="G3112" t="s">
        <v>1746</v>
      </c>
      <c r="H3112" t="s">
        <v>1747</v>
      </c>
      <c r="I3112" t="b">
        <v>0</v>
      </c>
      <c r="J3112" t="s">
        <v>1748</v>
      </c>
      <c r="K3112" t="s">
        <v>1853</v>
      </c>
      <c r="L3112" t="s">
        <v>1750</v>
      </c>
      <c r="M3112">
        <v>1</v>
      </c>
      <c r="N3112" t="b">
        <v>1</v>
      </c>
      <c r="O3112">
        <v>50</v>
      </c>
      <c r="P3112" t="s">
        <v>1752</v>
      </c>
      <c r="Q3112" t="s">
        <v>1753</v>
      </c>
      <c r="R3112" t="s">
        <v>1759</v>
      </c>
    </row>
    <row r="3113" spans="1:18" x14ac:dyDescent="0.25">
      <c r="A3113" t="s">
        <v>6634</v>
      </c>
      <c r="B3113" t="s">
        <v>3294</v>
      </c>
      <c r="C3113" t="s">
        <v>4</v>
      </c>
      <c r="D3113" t="s">
        <v>6633</v>
      </c>
      <c r="E3113" s="2">
        <v>45211</v>
      </c>
      <c r="F3113">
        <v>400</v>
      </c>
      <c r="G3113" t="s">
        <v>1746</v>
      </c>
      <c r="H3113" t="s">
        <v>1747</v>
      </c>
      <c r="I3113" t="b">
        <v>0</v>
      </c>
      <c r="J3113" t="s">
        <v>1748</v>
      </c>
      <c r="K3113" t="s">
        <v>1851</v>
      </c>
      <c r="L3113" t="s">
        <v>1750</v>
      </c>
      <c r="M3113">
        <v>1</v>
      </c>
      <c r="N3113" t="b">
        <v>1</v>
      </c>
      <c r="P3113" t="s">
        <v>1752</v>
      </c>
      <c r="Q3113" t="s">
        <v>1753</v>
      </c>
    </row>
    <row r="3114" spans="1:18" x14ac:dyDescent="0.25">
      <c r="A3114" t="s">
        <v>6636</v>
      </c>
      <c r="B3114" t="s">
        <v>2071</v>
      </c>
      <c r="C3114" t="s">
        <v>4</v>
      </c>
      <c r="D3114" t="s">
        <v>6635</v>
      </c>
      <c r="E3114" s="2">
        <v>43591</v>
      </c>
      <c r="F3114">
        <v>2020</v>
      </c>
      <c r="G3114" t="s">
        <v>1746</v>
      </c>
      <c r="H3114" t="s">
        <v>1747</v>
      </c>
      <c r="I3114" t="b">
        <v>0</v>
      </c>
      <c r="J3114" t="s">
        <v>1761</v>
      </c>
      <c r="K3114" t="s">
        <v>1765</v>
      </c>
      <c r="L3114" t="s">
        <v>1756</v>
      </c>
      <c r="M3114">
        <v>1</v>
      </c>
      <c r="N3114" t="b">
        <v>0</v>
      </c>
      <c r="O3114">
        <v>556</v>
      </c>
      <c r="P3114" t="s">
        <v>1752</v>
      </c>
      <c r="Q3114" t="s">
        <v>1753</v>
      </c>
    </row>
    <row r="3115" spans="1:18" x14ac:dyDescent="0.25">
      <c r="A3115" t="s">
        <v>6638</v>
      </c>
      <c r="B3115" t="s">
        <v>1907</v>
      </c>
      <c r="C3115" t="s">
        <v>6</v>
      </c>
      <c r="D3115" t="s">
        <v>6637</v>
      </c>
      <c r="E3115" s="2">
        <v>43780</v>
      </c>
      <c r="F3115">
        <v>1831</v>
      </c>
      <c r="G3115" t="s">
        <v>1746</v>
      </c>
      <c r="H3115" t="s">
        <v>1798</v>
      </c>
      <c r="I3115" t="b">
        <v>0</v>
      </c>
      <c r="J3115" t="s">
        <v>1761</v>
      </c>
      <c r="K3115" t="s">
        <v>1755</v>
      </c>
      <c r="L3115" t="s">
        <v>1750</v>
      </c>
      <c r="M3115">
        <v>1</v>
      </c>
      <c r="N3115" t="b">
        <v>1</v>
      </c>
      <c r="O3115">
        <v>38</v>
      </c>
      <c r="P3115" t="s">
        <v>1752</v>
      </c>
      <c r="Q3115" t="s">
        <v>1753</v>
      </c>
    </row>
    <row r="3116" spans="1:18" x14ac:dyDescent="0.25">
      <c r="A3116" t="s">
        <v>6640</v>
      </c>
      <c r="B3116" t="s">
        <v>1907</v>
      </c>
      <c r="C3116" t="s">
        <v>2709</v>
      </c>
      <c r="D3116" t="s">
        <v>6639</v>
      </c>
      <c r="E3116" s="2">
        <v>44644</v>
      </c>
      <c r="F3116">
        <v>967</v>
      </c>
      <c r="G3116" t="s">
        <v>1746</v>
      </c>
      <c r="H3116" t="s">
        <v>1747</v>
      </c>
      <c r="I3116" t="b">
        <v>0</v>
      </c>
      <c r="J3116" t="s">
        <v>1748</v>
      </c>
      <c r="K3116" t="s">
        <v>1884</v>
      </c>
      <c r="L3116" t="s">
        <v>1775</v>
      </c>
      <c r="M3116">
        <v>1</v>
      </c>
      <c r="N3116" t="b">
        <v>0</v>
      </c>
      <c r="P3116" t="s">
        <v>2283</v>
      </c>
      <c r="Q3116" t="s">
        <v>1705</v>
      </c>
    </row>
    <row r="3117" spans="1:18" x14ac:dyDescent="0.25">
      <c r="A3117" t="s">
        <v>6642</v>
      </c>
      <c r="B3117" t="s">
        <v>1907</v>
      </c>
      <c r="C3117" t="s">
        <v>186</v>
      </c>
      <c r="D3117" t="s">
        <v>6641</v>
      </c>
      <c r="E3117" s="2">
        <v>40983</v>
      </c>
      <c r="F3117">
        <v>4628</v>
      </c>
      <c r="G3117" t="s">
        <v>1746</v>
      </c>
      <c r="H3117" t="s">
        <v>1798</v>
      </c>
      <c r="I3117" t="b">
        <v>0</v>
      </c>
      <c r="J3117" t="s">
        <v>1748</v>
      </c>
      <c r="K3117" t="s">
        <v>1830</v>
      </c>
      <c r="L3117" t="s">
        <v>2102</v>
      </c>
      <c r="M3117">
        <v>1</v>
      </c>
      <c r="N3117" t="b">
        <v>0</v>
      </c>
      <c r="P3117" t="s">
        <v>2070</v>
      </c>
      <c r="Q3117" t="s">
        <v>1779</v>
      </c>
    </row>
    <row r="3118" spans="1:18" x14ac:dyDescent="0.25">
      <c r="A3118" t="s">
        <v>6644</v>
      </c>
      <c r="B3118" t="s">
        <v>2011</v>
      </c>
      <c r="C3118" t="s">
        <v>4</v>
      </c>
      <c r="D3118" t="s">
        <v>6643</v>
      </c>
      <c r="E3118" s="2">
        <v>45461</v>
      </c>
      <c r="F3118">
        <v>150</v>
      </c>
      <c r="G3118" t="s">
        <v>1746</v>
      </c>
      <c r="H3118" t="s">
        <v>1798</v>
      </c>
      <c r="I3118" t="b">
        <v>1</v>
      </c>
      <c r="J3118" t="s">
        <v>1761</v>
      </c>
      <c r="K3118" t="s">
        <v>1822</v>
      </c>
      <c r="L3118" t="s">
        <v>1817</v>
      </c>
      <c r="M3118">
        <v>1</v>
      </c>
      <c r="N3118" t="b">
        <v>1</v>
      </c>
      <c r="O3118">
        <v>67</v>
      </c>
      <c r="P3118" t="s">
        <v>1819</v>
      </c>
      <c r="Q3118" t="s">
        <v>1753</v>
      </c>
      <c r="R3118" t="s">
        <v>1759</v>
      </c>
    </row>
    <row r="3119" spans="1:18" x14ac:dyDescent="0.25">
      <c r="A3119" t="s">
        <v>6646</v>
      </c>
      <c r="B3119" t="s">
        <v>2040</v>
      </c>
      <c r="C3119" t="s">
        <v>6</v>
      </c>
      <c r="D3119" t="s">
        <v>6645</v>
      </c>
      <c r="E3119" s="2">
        <v>44944</v>
      </c>
      <c r="F3119">
        <v>667</v>
      </c>
      <c r="G3119" t="s">
        <v>1746</v>
      </c>
      <c r="H3119" t="s">
        <v>1747</v>
      </c>
      <c r="I3119" t="b">
        <v>0</v>
      </c>
      <c r="J3119" t="s">
        <v>1748</v>
      </c>
      <c r="K3119" t="s">
        <v>1853</v>
      </c>
      <c r="L3119" t="s">
        <v>1750</v>
      </c>
      <c r="M3119">
        <v>1</v>
      </c>
      <c r="N3119" t="b">
        <v>1</v>
      </c>
      <c r="O3119">
        <v>40</v>
      </c>
      <c r="P3119" t="s">
        <v>1752</v>
      </c>
      <c r="Q3119" t="s">
        <v>1753</v>
      </c>
      <c r="R3119" t="s">
        <v>1759</v>
      </c>
    </row>
    <row r="3120" spans="1:18" x14ac:dyDescent="0.25">
      <c r="A3120" t="s">
        <v>6648</v>
      </c>
      <c r="B3120" t="s">
        <v>2133</v>
      </c>
      <c r="C3120" t="s">
        <v>4</v>
      </c>
      <c r="D3120" t="s">
        <v>6647</v>
      </c>
      <c r="E3120" s="2">
        <v>44677</v>
      </c>
      <c r="F3120">
        <v>934</v>
      </c>
      <c r="G3120" t="s">
        <v>1833</v>
      </c>
      <c r="H3120" t="s">
        <v>1798</v>
      </c>
      <c r="I3120" t="b">
        <v>0</v>
      </c>
      <c r="J3120" t="s">
        <v>1761</v>
      </c>
      <c r="K3120" t="s">
        <v>1776</v>
      </c>
      <c r="L3120" t="s">
        <v>1750</v>
      </c>
      <c r="M3120">
        <v>1</v>
      </c>
      <c r="N3120" t="b">
        <v>1</v>
      </c>
      <c r="O3120">
        <v>107</v>
      </c>
      <c r="P3120" t="s">
        <v>1752</v>
      </c>
      <c r="Q3120" t="s">
        <v>1753</v>
      </c>
      <c r="R3120" t="s">
        <v>1828</v>
      </c>
    </row>
    <row r="3121" spans="1:18" x14ac:dyDescent="0.25">
      <c r="A3121" t="s">
        <v>6650</v>
      </c>
      <c r="B3121" t="s">
        <v>1704</v>
      </c>
      <c r="C3121" t="s">
        <v>186</v>
      </c>
      <c r="D3121" t="s">
        <v>6649</v>
      </c>
      <c r="E3121" s="2">
        <v>45357</v>
      </c>
      <c r="F3121">
        <v>254</v>
      </c>
      <c r="G3121" t="s">
        <v>1746</v>
      </c>
      <c r="H3121" t="s">
        <v>1798</v>
      </c>
      <c r="I3121" t="b">
        <v>0</v>
      </c>
      <c r="J3121" t="s">
        <v>1748</v>
      </c>
      <c r="K3121" t="s">
        <v>1859</v>
      </c>
      <c r="L3121" t="s">
        <v>1775</v>
      </c>
      <c r="M3121">
        <v>1</v>
      </c>
      <c r="N3121" t="b">
        <v>0</v>
      </c>
      <c r="P3121" t="s">
        <v>2283</v>
      </c>
      <c r="Q3121" t="s">
        <v>1705</v>
      </c>
    </row>
    <row r="3122" spans="1:18" x14ac:dyDescent="0.25">
      <c r="A3122" t="s">
        <v>6651</v>
      </c>
      <c r="B3122" t="s">
        <v>3294</v>
      </c>
      <c r="C3122" t="s">
        <v>4</v>
      </c>
      <c r="D3122" t="s">
        <v>325</v>
      </c>
      <c r="E3122" s="2">
        <v>45117</v>
      </c>
      <c r="F3122">
        <v>494</v>
      </c>
      <c r="G3122" t="s">
        <v>1746</v>
      </c>
      <c r="H3122" t="s">
        <v>1798</v>
      </c>
      <c r="I3122" t="b">
        <v>0</v>
      </c>
      <c r="J3122" t="s">
        <v>1748</v>
      </c>
      <c r="K3122" t="s">
        <v>1891</v>
      </c>
      <c r="L3122" t="s">
        <v>1817</v>
      </c>
      <c r="M3122">
        <v>1</v>
      </c>
      <c r="N3122" t="b">
        <v>1</v>
      </c>
      <c r="O3122">
        <v>600</v>
      </c>
      <c r="P3122" t="s">
        <v>1819</v>
      </c>
      <c r="Q3122" t="s">
        <v>1753</v>
      </c>
      <c r="R3122" t="s">
        <v>1759</v>
      </c>
    </row>
    <row r="3123" spans="1:18" x14ac:dyDescent="0.25">
      <c r="A3123" t="s">
        <v>6653</v>
      </c>
      <c r="B3123" t="s">
        <v>1704</v>
      </c>
      <c r="C3123" t="s">
        <v>4</v>
      </c>
      <c r="D3123" t="s">
        <v>6652</v>
      </c>
      <c r="E3123" s="2">
        <v>45559</v>
      </c>
      <c r="F3123">
        <v>52</v>
      </c>
      <c r="G3123" t="s">
        <v>1746</v>
      </c>
      <c r="H3123" t="s">
        <v>1798</v>
      </c>
      <c r="I3123" t="b">
        <v>0</v>
      </c>
      <c r="J3123" t="s">
        <v>1761</v>
      </c>
      <c r="K3123" t="s">
        <v>1749</v>
      </c>
      <c r="L3123" t="s">
        <v>1756</v>
      </c>
      <c r="M3123">
        <v>1</v>
      </c>
      <c r="N3123" t="b">
        <v>0</v>
      </c>
      <c r="O3123">
        <v>20</v>
      </c>
      <c r="P3123" t="s">
        <v>1827</v>
      </c>
      <c r="Q3123" t="s">
        <v>1753</v>
      </c>
    </row>
    <row r="3124" spans="1:18" x14ac:dyDescent="0.25">
      <c r="A3124" t="s">
        <v>6655</v>
      </c>
      <c r="B3124" t="s">
        <v>2133</v>
      </c>
      <c r="C3124" t="s">
        <v>186</v>
      </c>
      <c r="D3124" t="s">
        <v>6654</v>
      </c>
      <c r="E3124" s="2">
        <v>39365</v>
      </c>
      <c r="F3124">
        <v>6246</v>
      </c>
      <c r="G3124" t="s">
        <v>1746</v>
      </c>
      <c r="H3124" t="s">
        <v>1747</v>
      </c>
      <c r="I3124" t="b">
        <v>0</v>
      </c>
      <c r="J3124" t="s">
        <v>1748</v>
      </c>
      <c r="K3124" t="s">
        <v>1830</v>
      </c>
      <c r="L3124" t="s">
        <v>2102</v>
      </c>
      <c r="M3124">
        <v>1</v>
      </c>
      <c r="N3124" t="b">
        <v>0</v>
      </c>
      <c r="P3124" t="s">
        <v>2070</v>
      </c>
      <c r="Q3124" t="s">
        <v>1779</v>
      </c>
    </row>
    <row r="3125" spans="1:18" x14ac:dyDescent="0.25">
      <c r="A3125" t="s">
        <v>6657</v>
      </c>
      <c r="B3125" t="s">
        <v>2284</v>
      </c>
      <c r="C3125" t="s">
        <v>186</v>
      </c>
      <c r="D3125" t="s">
        <v>6656</v>
      </c>
      <c r="E3125" s="2">
        <v>44638</v>
      </c>
      <c r="F3125">
        <v>973</v>
      </c>
      <c r="G3125" t="s">
        <v>1746</v>
      </c>
      <c r="H3125" t="s">
        <v>1747</v>
      </c>
      <c r="I3125" t="b">
        <v>0</v>
      </c>
      <c r="J3125" t="s">
        <v>1748</v>
      </c>
      <c r="K3125" t="s">
        <v>1868</v>
      </c>
      <c r="L3125" t="s">
        <v>1775</v>
      </c>
      <c r="M3125">
        <v>1</v>
      </c>
      <c r="N3125" t="b">
        <v>0</v>
      </c>
      <c r="P3125" t="s">
        <v>2283</v>
      </c>
      <c r="Q3125" t="s">
        <v>1705</v>
      </c>
    </row>
    <row r="3126" spans="1:18" x14ac:dyDescent="0.25">
      <c r="A3126" t="s">
        <v>6659</v>
      </c>
      <c r="B3126" t="s">
        <v>2173</v>
      </c>
      <c r="C3126" t="s">
        <v>4</v>
      </c>
      <c r="D3126" t="s">
        <v>6658</v>
      </c>
      <c r="E3126" s="2">
        <v>44782</v>
      </c>
      <c r="F3126">
        <v>829</v>
      </c>
      <c r="G3126" t="s">
        <v>1833</v>
      </c>
      <c r="H3126" t="s">
        <v>2231</v>
      </c>
      <c r="I3126" t="b">
        <v>0</v>
      </c>
      <c r="J3126" t="s">
        <v>1748</v>
      </c>
      <c r="K3126" t="s">
        <v>1776</v>
      </c>
      <c r="L3126" t="s">
        <v>1750</v>
      </c>
      <c r="M3126">
        <v>1</v>
      </c>
      <c r="N3126" t="b">
        <v>1</v>
      </c>
      <c r="O3126">
        <v>128</v>
      </c>
      <c r="P3126" t="s">
        <v>1752</v>
      </c>
      <c r="Q3126" t="s">
        <v>1753</v>
      </c>
    </row>
    <row r="3127" spans="1:18" x14ac:dyDescent="0.25">
      <c r="A3127" t="s">
        <v>6661</v>
      </c>
      <c r="B3127" t="s">
        <v>1907</v>
      </c>
      <c r="C3127" t="s">
        <v>186</v>
      </c>
      <c r="D3127" t="s">
        <v>6660</v>
      </c>
      <c r="E3127" s="2">
        <v>40983</v>
      </c>
      <c r="F3127">
        <v>4628</v>
      </c>
      <c r="G3127" t="s">
        <v>1746</v>
      </c>
      <c r="H3127" t="s">
        <v>1798</v>
      </c>
      <c r="I3127" t="b">
        <v>0</v>
      </c>
      <c r="J3127" t="s">
        <v>1748</v>
      </c>
      <c r="K3127" t="s">
        <v>1830</v>
      </c>
      <c r="L3127" t="s">
        <v>2102</v>
      </c>
      <c r="M3127">
        <v>1</v>
      </c>
      <c r="N3127" t="b">
        <v>0</v>
      </c>
      <c r="P3127" t="s">
        <v>1778</v>
      </c>
      <c r="Q3127" t="s">
        <v>1779</v>
      </c>
    </row>
    <row r="3128" spans="1:18" x14ac:dyDescent="0.25">
      <c r="A3128" t="s">
        <v>6663</v>
      </c>
      <c r="B3128" t="s">
        <v>2071</v>
      </c>
      <c r="C3128" t="s">
        <v>4</v>
      </c>
      <c r="D3128" t="s">
        <v>6662</v>
      </c>
      <c r="E3128" s="2">
        <v>45314</v>
      </c>
      <c r="F3128">
        <v>297</v>
      </c>
      <c r="G3128" t="s">
        <v>1746</v>
      </c>
      <c r="H3128" t="s">
        <v>1747</v>
      </c>
      <c r="I3128" t="b">
        <v>0</v>
      </c>
      <c r="J3128" t="s">
        <v>1748</v>
      </c>
      <c r="K3128" t="s">
        <v>1757</v>
      </c>
      <c r="L3128" t="s">
        <v>1750</v>
      </c>
      <c r="M3128">
        <v>1</v>
      </c>
      <c r="N3128" t="b">
        <v>0</v>
      </c>
      <c r="P3128" t="s">
        <v>1752</v>
      </c>
      <c r="Q3128" t="s">
        <v>1753</v>
      </c>
      <c r="R3128" t="s">
        <v>1759</v>
      </c>
    </row>
    <row r="3129" spans="1:18" x14ac:dyDescent="0.25">
      <c r="A3129" t="s">
        <v>6665</v>
      </c>
      <c r="B3129" t="s">
        <v>2071</v>
      </c>
      <c r="C3129" t="s">
        <v>4</v>
      </c>
      <c r="D3129" t="s">
        <v>6664</v>
      </c>
      <c r="E3129" s="2">
        <v>45314</v>
      </c>
      <c r="F3129">
        <v>297</v>
      </c>
      <c r="G3129" t="s">
        <v>1746</v>
      </c>
      <c r="H3129" t="s">
        <v>1747</v>
      </c>
      <c r="I3129" t="b">
        <v>0</v>
      </c>
      <c r="J3129" t="s">
        <v>1748</v>
      </c>
      <c r="K3129" t="s">
        <v>1757</v>
      </c>
      <c r="L3129" t="s">
        <v>1750</v>
      </c>
      <c r="M3129">
        <v>1</v>
      </c>
      <c r="N3129" t="b">
        <v>0</v>
      </c>
      <c r="P3129" t="s">
        <v>1752</v>
      </c>
      <c r="Q3129" t="s">
        <v>1753</v>
      </c>
      <c r="R3129" t="s">
        <v>1759</v>
      </c>
    </row>
    <row r="3130" spans="1:18" x14ac:dyDescent="0.25">
      <c r="A3130" t="s">
        <v>6667</v>
      </c>
      <c r="B3130" t="s">
        <v>2040</v>
      </c>
      <c r="C3130" t="s">
        <v>6</v>
      </c>
      <c r="D3130" t="s">
        <v>6666</v>
      </c>
      <c r="E3130" s="2">
        <v>44944</v>
      </c>
      <c r="F3130">
        <v>667</v>
      </c>
      <c r="G3130" t="s">
        <v>1746</v>
      </c>
      <c r="H3130" t="s">
        <v>1747</v>
      </c>
      <c r="I3130" t="b">
        <v>0</v>
      </c>
      <c r="J3130" t="s">
        <v>1748</v>
      </c>
      <c r="K3130" t="s">
        <v>1853</v>
      </c>
      <c r="L3130" t="s">
        <v>1750</v>
      </c>
      <c r="M3130">
        <v>1</v>
      </c>
      <c r="N3130" t="b">
        <v>1</v>
      </c>
      <c r="O3130">
        <v>50</v>
      </c>
      <c r="P3130" t="s">
        <v>1752</v>
      </c>
      <c r="Q3130" t="s">
        <v>1753</v>
      </c>
      <c r="R3130" t="s">
        <v>1759</v>
      </c>
    </row>
    <row r="3131" spans="1:18" x14ac:dyDescent="0.25">
      <c r="A3131" t="s">
        <v>6669</v>
      </c>
      <c r="B3131" t="s">
        <v>2133</v>
      </c>
      <c r="C3131" t="s">
        <v>186</v>
      </c>
      <c r="D3131" t="s">
        <v>6668</v>
      </c>
      <c r="E3131" s="2">
        <v>40917</v>
      </c>
      <c r="F3131">
        <v>4694</v>
      </c>
      <c r="G3131" t="s">
        <v>1746</v>
      </c>
      <c r="H3131" t="s">
        <v>1747</v>
      </c>
      <c r="I3131" t="b">
        <v>0</v>
      </c>
      <c r="J3131" t="s">
        <v>1748</v>
      </c>
      <c r="K3131" t="s">
        <v>1830</v>
      </c>
      <c r="L3131" t="s">
        <v>2102</v>
      </c>
      <c r="M3131">
        <v>1</v>
      </c>
      <c r="N3131" t="b">
        <v>0</v>
      </c>
      <c r="P3131" t="s">
        <v>2070</v>
      </c>
      <c r="Q3131" t="s">
        <v>1779</v>
      </c>
    </row>
    <row r="3132" spans="1:18" x14ac:dyDescent="0.25">
      <c r="A3132" t="s">
        <v>6671</v>
      </c>
      <c r="B3132" t="s">
        <v>2173</v>
      </c>
      <c r="C3132" t="s">
        <v>4</v>
      </c>
      <c r="D3132" t="s">
        <v>6670</v>
      </c>
      <c r="E3132" s="2">
        <v>44698</v>
      </c>
      <c r="F3132">
        <v>913</v>
      </c>
      <c r="G3132" t="s">
        <v>1833</v>
      </c>
      <c r="H3132" t="s">
        <v>2231</v>
      </c>
      <c r="I3132" t="b">
        <v>0</v>
      </c>
      <c r="J3132" t="s">
        <v>1748</v>
      </c>
      <c r="K3132" t="s">
        <v>1880</v>
      </c>
      <c r="L3132" t="s">
        <v>1750</v>
      </c>
      <c r="M3132">
        <v>1</v>
      </c>
      <c r="N3132" t="b">
        <v>1</v>
      </c>
      <c r="O3132">
        <v>400</v>
      </c>
      <c r="P3132" t="s">
        <v>1819</v>
      </c>
      <c r="Q3132" t="s">
        <v>1753</v>
      </c>
      <c r="R3132" t="s">
        <v>1759</v>
      </c>
    </row>
    <row r="3133" spans="1:18" x14ac:dyDescent="0.25">
      <c r="A3133" t="s">
        <v>6673</v>
      </c>
      <c r="B3133" t="s">
        <v>2150</v>
      </c>
      <c r="C3133" t="s">
        <v>4</v>
      </c>
      <c r="D3133" t="s">
        <v>6672</v>
      </c>
      <c r="E3133" s="2">
        <v>44862</v>
      </c>
      <c r="F3133">
        <v>749</v>
      </c>
      <c r="G3133" t="s">
        <v>1746</v>
      </c>
      <c r="H3133" t="s">
        <v>1747</v>
      </c>
      <c r="I3133" t="b">
        <v>0</v>
      </c>
      <c r="J3133" t="s">
        <v>1761</v>
      </c>
      <c r="K3133" t="s">
        <v>1757</v>
      </c>
      <c r="L3133" t="s">
        <v>1750</v>
      </c>
      <c r="M3133">
        <v>1</v>
      </c>
      <c r="N3133" t="b">
        <v>0</v>
      </c>
      <c r="O3133">
        <v>27</v>
      </c>
      <c r="P3133" t="s">
        <v>1752</v>
      </c>
      <c r="Q3133" t="s">
        <v>1753</v>
      </c>
      <c r="R3133" t="s">
        <v>1759</v>
      </c>
    </row>
    <row r="3134" spans="1:18" x14ac:dyDescent="0.25">
      <c r="A3134" t="s">
        <v>6675</v>
      </c>
      <c r="B3134" t="s">
        <v>2277</v>
      </c>
      <c r="C3134" t="s">
        <v>4</v>
      </c>
      <c r="D3134" t="s">
        <v>6674</v>
      </c>
      <c r="E3134" s="2">
        <v>45454</v>
      </c>
      <c r="F3134">
        <v>157</v>
      </c>
      <c r="G3134" t="s">
        <v>1746</v>
      </c>
      <c r="H3134" t="s">
        <v>1747</v>
      </c>
      <c r="I3134" t="b">
        <v>0</v>
      </c>
      <c r="J3134" t="s">
        <v>1761</v>
      </c>
      <c r="K3134" t="s">
        <v>1749</v>
      </c>
      <c r="L3134" t="s">
        <v>1750</v>
      </c>
      <c r="M3134">
        <v>1</v>
      </c>
      <c r="N3134" t="b">
        <v>1</v>
      </c>
      <c r="O3134">
        <v>292</v>
      </c>
      <c r="P3134" t="s">
        <v>1752</v>
      </c>
      <c r="Q3134" t="s">
        <v>1753</v>
      </c>
    </row>
    <row r="3135" spans="1:18" x14ac:dyDescent="0.25">
      <c r="A3135" t="s">
        <v>6677</v>
      </c>
      <c r="B3135" t="s">
        <v>1704</v>
      </c>
      <c r="C3135" t="s">
        <v>4</v>
      </c>
      <c r="D3135" t="s">
        <v>6676</v>
      </c>
      <c r="E3135" s="2">
        <v>45343</v>
      </c>
      <c r="F3135">
        <v>268</v>
      </c>
      <c r="G3135" t="s">
        <v>1746</v>
      </c>
      <c r="H3135" t="s">
        <v>1798</v>
      </c>
      <c r="I3135" t="b">
        <v>0</v>
      </c>
      <c r="J3135" t="s">
        <v>1761</v>
      </c>
      <c r="K3135" t="s">
        <v>1853</v>
      </c>
      <c r="L3135" t="s">
        <v>1817</v>
      </c>
      <c r="M3135">
        <v>1</v>
      </c>
      <c r="N3135" t="b">
        <v>0</v>
      </c>
      <c r="P3135" t="s">
        <v>1819</v>
      </c>
      <c r="Q3135" t="s">
        <v>1753</v>
      </c>
    </row>
    <row r="3136" spans="1:18" x14ac:dyDescent="0.25">
      <c r="A3136" t="s">
        <v>6679</v>
      </c>
      <c r="B3136" t="s">
        <v>1704</v>
      </c>
      <c r="C3136" t="s">
        <v>4</v>
      </c>
      <c r="D3136" t="s">
        <v>6678</v>
      </c>
      <c r="E3136" s="2">
        <v>45469</v>
      </c>
      <c r="F3136">
        <v>142</v>
      </c>
      <c r="G3136" t="s">
        <v>1746</v>
      </c>
      <c r="H3136" t="s">
        <v>1798</v>
      </c>
      <c r="I3136" t="b">
        <v>0</v>
      </c>
      <c r="J3136" t="s">
        <v>1748</v>
      </c>
      <c r="K3136" t="s">
        <v>1863</v>
      </c>
      <c r="L3136" t="s">
        <v>1817</v>
      </c>
      <c r="M3136">
        <v>1</v>
      </c>
      <c r="N3136" t="b">
        <v>0</v>
      </c>
      <c r="O3136">
        <v>275</v>
      </c>
      <c r="P3136" t="s">
        <v>1819</v>
      </c>
      <c r="Q3136" t="s">
        <v>1753</v>
      </c>
    </row>
    <row r="3137" spans="1:18" x14ac:dyDescent="0.25">
      <c r="A3137" t="s">
        <v>6680</v>
      </c>
      <c r="B3137" t="s">
        <v>1860</v>
      </c>
      <c r="C3137" t="s">
        <v>4</v>
      </c>
      <c r="D3137" t="s">
        <v>759</v>
      </c>
      <c r="E3137" s="2">
        <v>45147</v>
      </c>
      <c r="F3137">
        <v>464</v>
      </c>
      <c r="G3137" t="s">
        <v>1833</v>
      </c>
      <c r="H3137" t="s">
        <v>1798</v>
      </c>
      <c r="I3137" t="b">
        <v>0</v>
      </c>
      <c r="J3137" t="s">
        <v>1748</v>
      </c>
      <c r="K3137" t="s">
        <v>1776</v>
      </c>
      <c r="L3137" t="s">
        <v>1756</v>
      </c>
      <c r="M3137">
        <v>1</v>
      </c>
      <c r="N3137" t="b">
        <v>1</v>
      </c>
      <c r="O3137">
        <v>290</v>
      </c>
      <c r="P3137" t="s">
        <v>1752</v>
      </c>
      <c r="Q3137" t="s">
        <v>1753</v>
      </c>
      <c r="R3137" t="s">
        <v>1759</v>
      </c>
    </row>
    <row r="3138" spans="1:18" x14ac:dyDescent="0.25">
      <c r="A3138" t="s">
        <v>6682</v>
      </c>
      <c r="B3138" t="s">
        <v>2564</v>
      </c>
      <c r="C3138" t="s">
        <v>6</v>
      </c>
      <c r="D3138" t="s">
        <v>6681</v>
      </c>
      <c r="E3138" s="2">
        <v>43368</v>
      </c>
      <c r="F3138">
        <v>2243</v>
      </c>
      <c r="G3138" t="s">
        <v>1746</v>
      </c>
      <c r="H3138" t="s">
        <v>1798</v>
      </c>
      <c r="I3138" t="b">
        <v>0</v>
      </c>
      <c r="J3138" t="s">
        <v>1761</v>
      </c>
      <c r="K3138" t="s">
        <v>1857</v>
      </c>
      <c r="L3138" t="s">
        <v>1750</v>
      </c>
      <c r="M3138">
        <v>1</v>
      </c>
      <c r="N3138" t="b">
        <v>0</v>
      </c>
      <c r="O3138">
        <v>104</v>
      </c>
      <c r="P3138" t="s">
        <v>2266</v>
      </c>
      <c r="Q3138" t="s">
        <v>1753</v>
      </c>
      <c r="R3138" t="s">
        <v>1828</v>
      </c>
    </row>
    <row r="3139" spans="1:18" x14ac:dyDescent="0.25">
      <c r="A3139" t="s">
        <v>6684</v>
      </c>
      <c r="B3139" t="s">
        <v>2177</v>
      </c>
      <c r="C3139" t="s">
        <v>4</v>
      </c>
      <c r="D3139" t="s">
        <v>6683</v>
      </c>
      <c r="E3139" s="2">
        <v>42675</v>
      </c>
      <c r="F3139">
        <v>2936</v>
      </c>
      <c r="G3139" t="s">
        <v>1746</v>
      </c>
      <c r="H3139" t="s">
        <v>1805</v>
      </c>
      <c r="I3139" t="b">
        <v>0</v>
      </c>
      <c r="J3139" t="s">
        <v>1748</v>
      </c>
      <c r="K3139" t="s">
        <v>1880</v>
      </c>
      <c r="L3139" t="s">
        <v>1750</v>
      </c>
      <c r="M3139">
        <v>1</v>
      </c>
      <c r="N3139" t="b">
        <v>1</v>
      </c>
      <c r="O3139">
        <v>343</v>
      </c>
      <c r="P3139" t="s">
        <v>1752</v>
      </c>
      <c r="Q3139" t="s">
        <v>1753</v>
      </c>
    </row>
    <row r="3140" spans="1:18" x14ac:dyDescent="0.25">
      <c r="A3140" t="s">
        <v>5699</v>
      </c>
      <c r="B3140" t="s">
        <v>2342</v>
      </c>
      <c r="C3140" t="s">
        <v>6</v>
      </c>
      <c r="D3140" t="s">
        <v>6685</v>
      </c>
      <c r="E3140" s="2">
        <v>42766</v>
      </c>
      <c r="F3140">
        <v>2845</v>
      </c>
      <c r="G3140" t="s">
        <v>1746</v>
      </c>
      <c r="H3140" t="s">
        <v>1798</v>
      </c>
      <c r="I3140" t="b">
        <v>0</v>
      </c>
      <c r="J3140" t="s">
        <v>1761</v>
      </c>
      <c r="K3140" t="s">
        <v>1879</v>
      </c>
      <c r="L3140" t="s">
        <v>1750</v>
      </c>
      <c r="M3140">
        <v>1</v>
      </c>
      <c r="N3140" t="b">
        <v>1</v>
      </c>
      <c r="P3140" t="s">
        <v>1752</v>
      </c>
      <c r="Q3140" t="s">
        <v>1753</v>
      </c>
    </row>
    <row r="3141" spans="1:18" x14ac:dyDescent="0.25">
      <c r="A3141" t="s">
        <v>6687</v>
      </c>
      <c r="B3141" t="s">
        <v>1704</v>
      </c>
      <c r="C3141" t="s">
        <v>1249</v>
      </c>
      <c r="D3141" t="s">
        <v>6686</v>
      </c>
      <c r="E3141" s="2">
        <v>43684</v>
      </c>
      <c r="F3141">
        <v>1927</v>
      </c>
      <c r="G3141" t="s">
        <v>1746</v>
      </c>
      <c r="H3141" t="s">
        <v>1798</v>
      </c>
      <c r="I3141" t="b">
        <v>0</v>
      </c>
      <c r="J3141" t="s">
        <v>1748</v>
      </c>
      <c r="K3141" t="s">
        <v>1967</v>
      </c>
      <c r="L3141" t="s">
        <v>2102</v>
      </c>
      <c r="M3141">
        <v>1</v>
      </c>
      <c r="N3141" t="b">
        <v>0</v>
      </c>
      <c r="P3141" t="s">
        <v>2070</v>
      </c>
      <c r="Q3141" t="s">
        <v>1779</v>
      </c>
    </row>
    <row r="3142" spans="1:18" x14ac:dyDescent="0.25">
      <c r="A3142" t="s">
        <v>6689</v>
      </c>
      <c r="B3142" t="s">
        <v>5917</v>
      </c>
      <c r="C3142" t="s">
        <v>4</v>
      </c>
      <c r="D3142" t="s">
        <v>6688</v>
      </c>
      <c r="E3142" s="2">
        <v>42943</v>
      </c>
      <c r="F3142">
        <v>2668</v>
      </c>
      <c r="G3142" t="s">
        <v>1833</v>
      </c>
      <c r="H3142" t="s">
        <v>1747</v>
      </c>
      <c r="I3142" t="b">
        <v>0</v>
      </c>
      <c r="J3142" t="s">
        <v>1748</v>
      </c>
      <c r="K3142" t="s">
        <v>1848</v>
      </c>
      <c r="L3142" t="s">
        <v>1750</v>
      </c>
      <c r="M3142">
        <v>1</v>
      </c>
      <c r="N3142" t="b">
        <v>0</v>
      </c>
      <c r="O3142">
        <v>13</v>
      </c>
      <c r="P3142" t="s">
        <v>1819</v>
      </c>
      <c r="Q3142" t="s">
        <v>1753</v>
      </c>
      <c r="R3142" t="s">
        <v>1759</v>
      </c>
    </row>
    <row r="3143" spans="1:18" x14ac:dyDescent="0.25">
      <c r="A3143" t="s">
        <v>6691</v>
      </c>
      <c r="B3143" t="s">
        <v>2150</v>
      </c>
      <c r="C3143" t="s">
        <v>4</v>
      </c>
      <c r="D3143" t="s">
        <v>6690</v>
      </c>
      <c r="E3143" s="2">
        <v>44587</v>
      </c>
      <c r="F3143">
        <v>1024</v>
      </c>
      <c r="G3143" t="s">
        <v>1746</v>
      </c>
      <c r="H3143" t="s">
        <v>1805</v>
      </c>
      <c r="I3143" t="b">
        <v>0</v>
      </c>
      <c r="J3143" t="s">
        <v>1748</v>
      </c>
      <c r="K3143" t="s">
        <v>1774</v>
      </c>
      <c r="L3143" t="s">
        <v>1756</v>
      </c>
      <c r="M3143">
        <v>1</v>
      </c>
      <c r="N3143" t="b">
        <v>1</v>
      </c>
      <c r="O3143">
        <v>551</v>
      </c>
      <c r="P3143" t="s">
        <v>1752</v>
      </c>
      <c r="Q3143" t="s">
        <v>1753</v>
      </c>
    </row>
    <row r="3144" spans="1:18" x14ac:dyDescent="0.25">
      <c r="A3144" t="s">
        <v>6693</v>
      </c>
      <c r="B3144" t="s">
        <v>2335</v>
      </c>
      <c r="C3144" t="s">
        <v>6</v>
      </c>
      <c r="D3144" t="s">
        <v>6692</v>
      </c>
      <c r="E3144" s="2">
        <v>43480</v>
      </c>
      <c r="F3144">
        <v>2131</v>
      </c>
      <c r="G3144" t="s">
        <v>1746</v>
      </c>
      <c r="H3144" t="s">
        <v>1805</v>
      </c>
      <c r="I3144" t="b">
        <v>0</v>
      </c>
      <c r="J3144" t="s">
        <v>1748</v>
      </c>
      <c r="K3144" t="s">
        <v>1755</v>
      </c>
      <c r="L3144" t="s">
        <v>1817</v>
      </c>
      <c r="M3144">
        <v>1</v>
      </c>
      <c r="N3144" t="b">
        <v>1</v>
      </c>
      <c r="O3144">
        <v>86</v>
      </c>
      <c r="P3144" t="s">
        <v>1819</v>
      </c>
      <c r="Q3144" t="s">
        <v>1753</v>
      </c>
      <c r="R3144" t="s">
        <v>1759</v>
      </c>
    </row>
    <row r="3145" spans="1:18" x14ac:dyDescent="0.25">
      <c r="A3145" t="s">
        <v>6695</v>
      </c>
      <c r="B3145" t="s">
        <v>2150</v>
      </c>
      <c r="C3145" t="s">
        <v>4</v>
      </c>
      <c r="D3145" t="s">
        <v>6694</v>
      </c>
      <c r="E3145" s="2">
        <v>43068</v>
      </c>
      <c r="F3145">
        <v>2543</v>
      </c>
      <c r="G3145" t="s">
        <v>1833</v>
      </c>
      <c r="H3145" t="s">
        <v>1805</v>
      </c>
      <c r="I3145" t="b">
        <v>0</v>
      </c>
      <c r="J3145" t="s">
        <v>1748</v>
      </c>
      <c r="K3145" t="s">
        <v>1848</v>
      </c>
      <c r="L3145" t="s">
        <v>1750</v>
      </c>
      <c r="M3145">
        <v>1</v>
      </c>
      <c r="N3145" t="b">
        <v>0</v>
      </c>
      <c r="O3145">
        <v>13</v>
      </c>
      <c r="P3145" t="s">
        <v>1819</v>
      </c>
      <c r="Q3145" t="s">
        <v>1753</v>
      </c>
      <c r="R3145" t="s">
        <v>1759</v>
      </c>
    </row>
    <row r="3146" spans="1:18" x14ac:dyDescent="0.25">
      <c r="A3146" t="s">
        <v>6697</v>
      </c>
      <c r="B3146" t="s">
        <v>2150</v>
      </c>
      <c r="C3146" t="s">
        <v>4</v>
      </c>
      <c r="D3146" t="s">
        <v>6696</v>
      </c>
      <c r="E3146" s="2">
        <v>45369</v>
      </c>
      <c r="F3146">
        <v>242</v>
      </c>
      <c r="G3146" t="s">
        <v>1746</v>
      </c>
      <c r="H3146" t="s">
        <v>1805</v>
      </c>
      <c r="I3146" t="b">
        <v>0</v>
      </c>
      <c r="J3146" t="s">
        <v>1761</v>
      </c>
      <c r="K3146" t="s">
        <v>1822</v>
      </c>
      <c r="L3146" t="s">
        <v>1750</v>
      </c>
      <c r="M3146">
        <v>1</v>
      </c>
      <c r="N3146" t="b">
        <v>1</v>
      </c>
      <c r="O3146">
        <v>328</v>
      </c>
      <c r="P3146" t="s">
        <v>1752</v>
      </c>
      <c r="Q3146" t="s">
        <v>1753</v>
      </c>
    </row>
    <row r="3147" spans="1:18" x14ac:dyDescent="0.25">
      <c r="A3147" t="s">
        <v>6699</v>
      </c>
      <c r="B3147" t="s">
        <v>1704</v>
      </c>
      <c r="C3147" t="s">
        <v>6</v>
      </c>
      <c r="D3147" t="s">
        <v>6698</v>
      </c>
      <c r="E3147" s="2">
        <v>44713</v>
      </c>
      <c r="F3147">
        <v>898</v>
      </c>
      <c r="G3147" t="s">
        <v>1746</v>
      </c>
      <c r="H3147" t="s">
        <v>1747</v>
      </c>
      <c r="I3147" t="b">
        <v>1</v>
      </c>
      <c r="J3147" t="s">
        <v>1748</v>
      </c>
      <c r="K3147" t="s">
        <v>1793</v>
      </c>
      <c r="L3147" t="s">
        <v>1817</v>
      </c>
      <c r="M3147">
        <v>1</v>
      </c>
      <c r="N3147" t="b">
        <v>0</v>
      </c>
      <c r="O3147">
        <v>1084</v>
      </c>
      <c r="P3147" t="s">
        <v>1819</v>
      </c>
      <c r="Q3147" t="s">
        <v>1753</v>
      </c>
      <c r="R3147" t="s">
        <v>1759</v>
      </c>
    </row>
    <row r="3148" spans="1:18" x14ac:dyDescent="0.25">
      <c r="A3148" t="s">
        <v>6701</v>
      </c>
      <c r="B3148" t="s">
        <v>2173</v>
      </c>
      <c r="C3148" t="s">
        <v>4</v>
      </c>
      <c r="D3148" t="s">
        <v>6700</v>
      </c>
      <c r="E3148" s="2">
        <v>45147</v>
      </c>
      <c r="F3148">
        <v>464</v>
      </c>
      <c r="G3148" t="s">
        <v>1833</v>
      </c>
      <c r="H3148" t="s">
        <v>2231</v>
      </c>
      <c r="I3148" t="b">
        <v>0</v>
      </c>
      <c r="J3148" t="s">
        <v>1748</v>
      </c>
      <c r="K3148" t="s">
        <v>1776</v>
      </c>
      <c r="L3148" t="s">
        <v>1756</v>
      </c>
      <c r="M3148">
        <v>1</v>
      </c>
      <c r="N3148" t="b">
        <v>1</v>
      </c>
      <c r="O3148">
        <v>290</v>
      </c>
      <c r="P3148" t="s">
        <v>1752</v>
      </c>
      <c r="Q3148" t="s">
        <v>1753</v>
      </c>
      <c r="R3148" t="s">
        <v>1759</v>
      </c>
    </row>
    <row r="3149" spans="1:18" x14ac:dyDescent="0.25">
      <c r="A3149" t="s">
        <v>6703</v>
      </c>
      <c r="B3149" t="s">
        <v>2011</v>
      </c>
      <c r="C3149" t="s">
        <v>4</v>
      </c>
      <c r="D3149" t="s">
        <v>6702</v>
      </c>
      <c r="E3149" s="2">
        <v>45461</v>
      </c>
      <c r="F3149">
        <v>150</v>
      </c>
      <c r="G3149" t="s">
        <v>1746</v>
      </c>
      <c r="H3149" t="s">
        <v>1798</v>
      </c>
      <c r="I3149" t="b">
        <v>1</v>
      </c>
      <c r="J3149" t="s">
        <v>1761</v>
      </c>
      <c r="K3149" t="s">
        <v>1822</v>
      </c>
      <c r="L3149" t="s">
        <v>1817</v>
      </c>
      <c r="M3149">
        <v>1</v>
      </c>
      <c r="N3149" t="b">
        <v>1</v>
      </c>
      <c r="O3149">
        <v>66</v>
      </c>
      <c r="P3149" t="s">
        <v>1819</v>
      </c>
      <c r="Q3149" t="s">
        <v>1753</v>
      </c>
      <c r="R3149" t="s">
        <v>1759</v>
      </c>
    </row>
    <row r="3150" spans="1:18" x14ac:dyDescent="0.25">
      <c r="A3150" t="s">
        <v>6333</v>
      </c>
      <c r="B3150" t="s">
        <v>2342</v>
      </c>
      <c r="C3150" t="s">
        <v>6</v>
      </c>
      <c r="D3150" t="s">
        <v>6704</v>
      </c>
      <c r="E3150" s="2">
        <v>42766</v>
      </c>
      <c r="F3150">
        <v>2845</v>
      </c>
      <c r="G3150" t="s">
        <v>1746</v>
      </c>
      <c r="H3150" t="s">
        <v>1798</v>
      </c>
      <c r="I3150" t="b">
        <v>0</v>
      </c>
      <c r="J3150" t="s">
        <v>1761</v>
      </c>
      <c r="K3150" t="s">
        <v>1922</v>
      </c>
      <c r="L3150" t="s">
        <v>1766</v>
      </c>
      <c r="M3150">
        <v>1</v>
      </c>
      <c r="N3150" t="b">
        <v>1</v>
      </c>
      <c r="P3150" t="s">
        <v>1752</v>
      </c>
      <c r="Q3150" t="s">
        <v>1753</v>
      </c>
      <c r="R3150" t="s">
        <v>1828</v>
      </c>
    </row>
    <row r="3151" spans="1:18" x14ac:dyDescent="0.25">
      <c r="A3151" t="s">
        <v>6706</v>
      </c>
      <c r="B3151" t="s">
        <v>1704</v>
      </c>
      <c r="C3151" t="s">
        <v>6</v>
      </c>
      <c r="D3151" t="s">
        <v>6705</v>
      </c>
      <c r="E3151" s="2">
        <v>45560</v>
      </c>
      <c r="F3151">
        <v>51</v>
      </c>
      <c r="G3151" t="s">
        <v>1746</v>
      </c>
      <c r="H3151" t="s">
        <v>1798</v>
      </c>
      <c r="I3151" t="b">
        <v>0</v>
      </c>
      <c r="J3151" t="s">
        <v>1748</v>
      </c>
      <c r="K3151" t="s">
        <v>1774</v>
      </c>
      <c r="L3151" t="s">
        <v>1817</v>
      </c>
      <c r="M3151">
        <v>1</v>
      </c>
      <c r="N3151" t="b">
        <v>1</v>
      </c>
      <c r="P3151" t="s">
        <v>1819</v>
      </c>
      <c r="Q3151" t="s">
        <v>1753</v>
      </c>
      <c r="R3151" t="s">
        <v>1759</v>
      </c>
    </row>
    <row r="3152" spans="1:18" x14ac:dyDescent="0.25">
      <c r="A3152" t="s">
        <v>6708</v>
      </c>
      <c r="B3152" t="s">
        <v>2173</v>
      </c>
      <c r="C3152" t="s">
        <v>4</v>
      </c>
      <c r="D3152" t="s">
        <v>6707</v>
      </c>
      <c r="E3152" s="2">
        <v>45147</v>
      </c>
      <c r="F3152">
        <v>464</v>
      </c>
      <c r="G3152" t="s">
        <v>1833</v>
      </c>
      <c r="H3152" t="s">
        <v>2231</v>
      </c>
      <c r="I3152" t="b">
        <v>0</v>
      </c>
      <c r="J3152" t="s">
        <v>1748</v>
      </c>
      <c r="K3152" t="s">
        <v>1755</v>
      </c>
      <c r="L3152" t="s">
        <v>1756</v>
      </c>
      <c r="M3152">
        <v>1</v>
      </c>
      <c r="N3152" t="b">
        <v>1</v>
      </c>
      <c r="O3152">
        <v>149</v>
      </c>
      <c r="P3152" t="s">
        <v>1752</v>
      </c>
      <c r="Q3152" t="s">
        <v>1753</v>
      </c>
    </row>
    <row r="3153" spans="1:18" x14ac:dyDescent="0.25">
      <c r="A3153" t="s">
        <v>6710</v>
      </c>
      <c r="B3153" t="s">
        <v>1704</v>
      </c>
      <c r="C3153" t="s">
        <v>6</v>
      </c>
      <c r="D3153" t="s">
        <v>6709</v>
      </c>
      <c r="E3153" s="2">
        <v>45560</v>
      </c>
      <c r="F3153">
        <v>51</v>
      </c>
      <c r="G3153" t="s">
        <v>1746</v>
      </c>
      <c r="H3153" t="s">
        <v>1798</v>
      </c>
      <c r="I3153" t="b">
        <v>0</v>
      </c>
      <c r="J3153" t="s">
        <v>1748</v>
      </c>
      <c r="K3153" t="s">
        <v>1774</v>
      </c>
      <c r="L3153" t="s">
        <v>1817</v>
      </c>
      <c r="M3153">
        <v>1</v>
      </c>
      <c r="N3153" t="b">
        <v>1</v>
      </c>
      <c r="P3153" t="s">
        <v>1819</v>
      </c>
      <c r="Q3153" t="s">
        <v>1753</v>
      </c>
      <c r="R3153" t="s">
        <v>1759</v>
      </c>
    </row>
    <row r="3154" spans="1:18" x14ac:dyDescent="0.25">
      <c r="A3154" t="s">
        <v>6712</v>
      </c>
      <c r="B3154" t="s">
        <v>2150</v>
      </c>
      <c r="C3154" t="s">
        <v>4</v>
      </c>
      <c r="D3154" t="s">
        <v>6711</v>
      </c>
      <c r="E3154" s="2">
        <v>44516</v>
      </c>
      <c r="F3154">
        <v>1095</v>
      </c>
      <c r="G3154" t="s">
        <v>1746</v>
      </c>
      <c r="H3154" t="s">
        <v>1747</v>
      </c>
      <c r="I3154" t="b">
        <v>1</v>
      </c>
      <c r="J3154" t="s">
        <v>1761</v>
      </c>
      <c r="K3154" t="s">
        <v>1868</v>
      </c>
      <c r="L3154" t="s">
        <v>1750</v>
      </c>
      <c r="M3154">
        <v>1</v>
      </c>
      <c r="N3154" t="b">
        <v>0</v>
      </c>
      <c r="O3154">
        <v>73</v>
      </c>
      <c r="P3154" t="s">
        <v>1752</v>
      </c>
      <c r="Q3154" t="s">
        <v>1753</v>
      </c>
      <c r="R3154" t="s">
        <v>1759</v>
      </c>
    </row>
    <row r="3155" spans="1:18" x14ac:dyDescent="0.25">
      <c r="A3155" t="s">
        <v>6714</v>
      </c>
      <c r="B3155" t="s">
        <v>4832</v>
      </c>
      <c r="C3155" t="s">
        <v>6</v>
      </c>
      <c r="D3155" t="s">
        <v>6713</v>
      </c>
      <c r="E3155" s="2">
        <v>45175</v>
      </c>
      <c r="F3155">
        <v>436</v>
      </c>
      <c r="G3155" t="s">
        <v>1746</v>
      </c>
      <c r="H3155" t="s">
        <v>1747</v>
      </c>
      <c r="I3155" t="b">
        <v>0</v>
      </c>
      <c r="J3155" t="s">
        <v>1761</v>
      </c>
      <c r="K3155" t="s">
        <v>1755</v>
      </c>
      <c r="L3155" t="s">
        <v>1750</v>
      </c>
      <c r="M3155">
        <v>1</v>
      </c>
      <c r="N3155" t="b">
        <v>1</v>
      </c>
      <c r="O3155">
        <v>1505</v>
      </c>
      <c r="P3155" t="s">
        <v>1819</v>
      </c>
      <c r="Q3155" t="s">
        <v>1753</v>
      </c>
      <c r="R3155" t="s">
        <v>1759</v>
      </c>
    </row>
    <row r="3156" spans="1:18" x14ac:dyDescent="0.25">
      <c r="A3156" t="s">
        <v>6716</v>
      </c>
      <c r="B3156" t="s">
        <v>1907</v>
      </c>
      <c r="C3156" t="s">
        <v>186</v>
      </c>
      <c r="D3156" t="s">
        <v>6715</v>
      </c>
      <c r="E3156" s="2">
        <v>45092</v>
      </c>
      <c r="F3156">
        <v>519</v>
      </c>
      <c r="G3156" t="s">
        <v>1746</v>
      </c>
      <c r="H3156" t="s">
        <v>1747</v>
      </c>
      <c r="I3156" t="b">
        <v>0</v>
      </c>
      <c r="J3156" t="s">
        <v>1748</v>
      </c>
      <c r="K3156" t="s">
        <v>1845</v>
      </c>
      <c r="L3156" t="s">
        <v>1775</v>
      </c>
      <c r="M3156">
        <v>1</v>
      </c>
      <c r="N3156" t="b">
        <v>0</v>
      </c>
      <c r="P3156" t="s">
        <v>2283</v>
      </c>
      <c r="Q3156" t="s">
        <v>1705</v>
      </c>
    </row>
    <row r="3157" spans="1:18" x14ac:dyDescent="0.25">
      <c r="A3157" t="s">
        <v>6717</v>
      </c>
      <c r="B3157" t="s">
        <v>1781</v>
      </c>
      <c r="C3157" t="s">
        <v>4</v>
      </c>
      <c r="D3157" t="s">
        <v>1427</v>
      </c>
      <c r="E3157" s="2">
        <v>44599</v>
      </c>
      <c r="F3157">
        <v>1012</v>
      </c>
      <c r="G3157" t="s">
        <v>1746</v>
      </c>
      <c r="H3157" t="s">
        <v>1747</v>
      </c>
      <c r="I3157" t="b">
        <v>0</v>
      </c>
      <c r="J3157" t="s">
        <v>1761</v>
      </c>
      <c r="K3157" t="s">
        <v>1856</v>
      </c>
      <c r="L3157" t="s">
        <v>1750</v>
      </c>
      <c r="M3157">
        <v>1</v>
      </c>
      <c r="N3157" t="b">
        <v>1</v>
      </c>
      <c r="O3157">
        <v>53</v>
      </c>
      <c r="P3157" t="s">
        <v>2266</v>
      </c>
      <c r="Q3157" t="s">
        <v>1753</v>
      </c>
      <c r="R3157" t="s">
        <v>1759</v>
      </c>
    </row>
    <row r="3158" spans="1:18" x14ac:dyDescent="0.25">
      <c r="A3158" t="s">
        <v>6718</v>
      </c>
      <c r="B3158" t="s">
        <v>2353</v>
      </c>
      <c r="C3158" t="s">
        <v>4</v>
      </c>
      <c r="D3158" t="s">
        <v>205</v>
      </c>
      <c r="E3158" s="2">
        <v>45133</v>
      </c>
      <c r="F3158">
        <v>478</v>
      </c>
      <c r="G3158" t="s">
        <v>1746</v>
      </c>
      <c r="H3158" t="s">
        <v>1798</v>
      </c>
      <c r="I3158" t="b">
        <v>0</v>
      </c>
      <c r="J3158" t="s">
        <v>1761</v>
      </c>
      <c r="K3158" t="s">
        <v>1776</v>
      </c>
      <c r="L3158" t="s">
        <v>1750</v>
      </c>
      <c r="M3158">
        <v>1</v>
      </c>
      <c r="N3158" t="b">
        <v>1</v>
      </c>
      <c r="O3158">
        <v>247</v>
      </c>
      <c r="P3158" t="s">
        <v>1819</v>
      </c>
      <c r="Q3158" t="s">
        <v>1753</v>
      </c>
      <c r="R3158" t="s">
        <v>1759</v>
      </c>
    </row>
    <row r="3159" spans="1:18" x14ac:dyDescent="0.25">
      <c r="A3159" t="s">
        <v>6720</v>
      </c>
      <c r="B3159" t="s">
        <v>2150</v>
      </c>
      <c r="C3159" t="s">
        <v>4</v>
      </c>
      <c r="D3159" t="s">
        <v>6719</v>
      </c>
      <c r="E3159" s="2">
        <v>44651</v>
      </c>
      <c r="F3159">
        <v>960</v>
      </c>
      <c r="G3159" t="s">
        <v>1746</v>
      </c>
      <c r="H3159" t="s">
        <v>1747</v>
      </c>
      <c r="I3159" t="b">
        <v>0</v>
      </c>
      <c r="J3159" t="s">
        <v>1761</v>
      </c>
      <c r="K3159" t="s">
        <v>2042</v>
      </c>
      <c r="L3159" t="s">
        <v>1750</v>
      </c>
      <c r="M3159">
        <v>1</v>
      </c>
      <c r="N3159" t="b">
        <v>0</v>
      </c>
      <c r="O3159">
        <v>26</v>
      </c>
      <c r="P3159" t="s">
        <v>1752</v>
      </c>
      <c r="Q3159" t="s">
        <v>1753</v>
      </c>
      <c r="R3159" t="s">
        <v>1759</v>
      </c>
    </row>
    <row r="3160" spans="1:18" x14ac:dyDescent="0.25">
      <c r="A3160" t="s">
        <v>6722</v>
      </c>
      <c r="B3160" t="s">
        <v>1983</v>
      </c>
      <c r="C3160" t="s">
        <v>4</v>
      </c>
      <c r="D3160" t="s">
        <v>6721</v>
      </c>
      <c r="E3160" s="2">
        <v>45233</v>
      </c>
      <c r="F3160">
        <v>378</v>
      </c>
      <c r="G3160" t="s">
        <v>1746</v>
      </c>
      <c r="H3160" t="s">
        <v>1747</v>
      </c>
      <c r="I3160" t="b">
        <v>0</v>
      </c>
      <c r="J3160" t="s">
        <v>1748</v>
      </c>
      <c r="K3160" t="s">
        <v>1853</v>
      </c>
      <c r="L3160" t="s">
        <v>1750</v>
      </c>
      <c r="M3160">
        <v>1</v>
      </c>
      <c r="N3160" t="b">
        <v>1</v>
      </c>
      <c r="O3160">
        <v>100</v>
      </c>
      <c r="P3160" t="s">
        <v>1752</v>
      </c>
      <c r="Q3160" t="s">
        <v>1753</v>
      </c>
      <c r="R3160" t="s">
        <v>1759</v>
      </c>
    </row>
    <row r="3161" spans="1:18" x14ac:dyDescent="0.25">
      <c r="A3161" t="s">
        <v>6724</v>
      </c>
      <c r="B3161" t="s">
        <v>2177</v>
      </c>
      <c r="C3161" t="s">
        <v>4</v>
      </c>
      <c r="D3161" t="s">
        <v>6723</v>
      </c>
      <c r="E3161" s="2">
        <v>45335</v>
      </c>
      <c r="F3161">
        <v>276</v>
      </c>
      <c r="G3161" t="s">
        <v>1746</v>
      </c>
      <c r="H3161" t="s">
        <v>1798</v>
      </c>
      <c r="I3161" t="b">
        <v>0</v>
      </c>
      <c r="J3161" t="s">
        <v>1761</v>
      </c>
      <c r="K3161" t="s">
        <v>1793</v>
      </c>
      <c r="L3161" t="s">
        <v>1750</v>
      </c>
      <c r="M3161">
        <v>1</v>
      </c>
      <c r="N3161" t="b">
        <v>1</v>
      </c>
      <c r="P3161" t="s">
        <v>1819</v>
      </c>
      <c r="Q3161" t="s">
        <v>1753</v>
      </c>
      <c r="R3161" t="s">
        <v>1759</v>
      </c>
    </row>
    <row r="3162" spans="1:18" x14ac:dyDescent="0.25">
      <c r="A3162" t="s">
        <v>6725</v>
      </c>
      <c r="B3162" t="s">
        <v>2997</v>
      </c>
      <c r="C3162" t="s">
        <v>4</v>
      </c>
      <c r="D3162" t="s">
        <v>1229</v>
      </c>
      <c r="E3162" s="2">
        <v>45103</v>
      </c>
      <c r="F3162">
        <v>508</v>
      </c>
      <c r="G3162" t="s">
        <v>1746</v>
      </c>
      <c r="H3162" t="s">
        <v>1798</v>
      </c>
      <c r="I3162" t="b">
        <v>0</v>
      </c>
      <c r="J3162" t="s">
        <v>1761</v>
      </c>
      <c r="K3162" t="s">
        <v>1891</v>
      </c>
      <c r="L3162" t="s">
        <v>1750</v>
      </c>
      <c r="M3162">
        <v>1</v>
      </c>
      <c r="N3162" t="b">
        <v>1</v>
      </c>
      <c r="O3162">
        <v>68</v>
      </c>
      <c r="P3162" t="s">
        <v>1752</v>
      </c>
      <c r="Q3162" t="s">
        <v>1753</v>
      </c>
    </row>
    <row r="3163" spans="1:18" x14ac:dyDescent="0.25">
      <c r="A3163" t="s">
        <v>6727</v>
      </c>
      <c r="B3163" t="s">
        <v>2011</v>
      </c>
      <c r="C3163" t="s">
        <v>4</v>
      </c>
      <c r="D3163" t="s">
        <v>6726</v>
      </c>
      <c r="E3163" s="2">
        <v>45461</v>
      </c>
      <c r="F3163">
        <v>150</v>
      </c>
      <c r="G3163" t="s">
        <v>1746</v>
      </c>
      <c r="H3163" t="s">
        <v>1798</v>
      </c>
      <c r="I3163" t="b">
        <v>1</v>
      </c>
      <c r="J3163" t="s">
        <v>1761</v>
      </c>
      <c r="K3163" t="s">
        <v>1822</v>
      </c>
      <c r="L3163" t="s">
        <v>1817</v>
      </c>
      <c r="M3163">
        <v>1</v>
      </c>
      <c r="N3163" t="b">
        <v>1</v>
      </c>
      <c r="O3163">
        <v>68</v>
      </c>
      <c r="P3163" t="s">
        <v>1819</v>
      </c>
      <c r="Q3163" t="s">
        <v>1753</v>
      </c>
      <c r="R3163" t="s">
        <v>1759</v>
      </c>
    </row>
    <row r="3164" spans="1:18" x14ac:dyDescent="0.25">
      <c r="A3164" t="s">
        <v>6729</v>
      </c>
      <c r="B3164" t="s">
        <v>2133</v>
      </c>
      <c r="C3164" t="s">
        <v>186</v>
      </c>
      <c r="D3164" t="s">
        <v>6728</v>
      </c>
      <c r="E3164" s="2">
        <v>39365</v>
      </c>
      <c r="F3164">
        <v>6246</v>
      </c>
      <c r="G3164" t="s">
        <v>1746</v>
      </c>
      <c r="H3164" t="s">
        <v>1747</v>
      </c>
      <c r="I3164" t="b">
        <v>0</v>
      </c>
      <c r="J3164" t="s">
        <v>1748</v>
      </c>
      <c r="K3164" t="s">
        <v>1830</v>
      </c>
      <c r="L3164" t="s">
        <v>2102</v>
      </c>
      <c r="M3164">
        <v>1</v>
      </c>
      <c r="N3164" t="b">
        <v>0</v>
      </c>
      <c r="P3164" t="s">
        <v>2070</v>
      </c>
      <c r="Q3164" t="s">
        <v>1779</v>
      </c>
    </row>
    <row r="3165" spans="1:18" x14ac:dyDescent="0.25">
      <c r="A3165" t="s">
        <v>6731</v>
      </c>
      <c r="B3165" t="s">
        <v>1704</v>
      </c>
      <c r="C3165" t="s">
        <v>4</v>
      </c>
      <c r="D3165" t="s">
        <v>6730</v>
      </c>
      <c r="E3165" s="2">
        <v>45369</v>
      </c>
      <c r="F3165">
        <v>242</v>
      </c>
      <c r="G3165" t="s">
        <v>1746</v>
      </c>
      <c r="H3165" t="s">
        <v>1798</v>
      </c>
      <c r="I3165" t="b">
        <v>0</v>
      </c>
      <c r="J3165" t="s">
        <v>1748</v>
      </c>
      <c r="K3165" t="s">
        <v>1822</v>
      </c>
      <c r="L3165" t="s">
        <v>1750</v>
      </c>
      <c r="M3165">
        <v>1</v>
      </c>
      <c r="N3165" t="b">
        <v>1</v>
      </c>
      <c r="O3165">
        <v>328</v>
      </c>
      <c r="P3165" t="s">
        <v>1752</v>
      </c>
      <c r="Q3165" t="s">
        <v>1753</v>
      </c>
    </row>
    <row r="3166" spans="1:18" x14ac:dyDescent="0.25">
      <c r="A3166" t="s">
        <v>6733</v>
      </c>
      <c r="B3166" t="s">
        <v>1704</v>
      </c>
      <c r="C3166" t="s">
        <v>4</v>
      </c>
      <c r="D3166" t="s">
        <v>6732</v>
      </c>
      <c r="E3166" s="2">
        <v>45224</v>
      </c>
      <c r="F3166">
        <v>387</v>
      </c>
      <c r="G3166" t="s">
        <v>1746</v>
      </c>
      <c r="H3166" t="s">
        <v>1798</v>
      </c>
      <c r="I3166" t="b">
        <v>1</v>
      </c>
      <c r="J3166" t="s">
        <v>1748</v>
      </c>
      <c r="K3166" t="s">
        <v>1776</v>
      </c>
      <c r="L3166" t="s">
        <v>1817</v>
      </c>
      <c r="M3166">
        <v>1</v>
      </c>
      <c r="N3166" t="b">
        <v>0</v>
      </c>
      <c r="O3166">
        <v>457</v>
      </c>
      <c r="P3166" t="s">
        <v>1819</v>
      </c>
      <c r="Q3166" t="s">
        <v>1753</v>
      </c>
      <c r="R3166" t="s">
        <v>1759</v>
      </c>
    </row>
    <row r="3167" spans="1:18" x14ac:dyDescent="0.25">
      <c r="A3167" t="s">
        <v>6735</v>
      </c>
      <c r="B3167" t="s">
        <v>2150</v>
      </c>
      <c r="C3167" t="s">
        <v>4</v>
      </c>
      <c r="D3167" t="s">
        <v>6734</v>
      </c>
      <c r="E3167" s="2">
        <v>44182</v>
      </c>
      <c r="F3167">
        <v>1429</v>
      </c>
      <c r="G3167" t="s">
        <v>1746</v>
      </c>
      <c r="H3167" t="s">
        <v>1747</v>
      </c>
      <c r="I3167" t="b">
        <v>1</v>
      </c>
      <c r="J3167" t="s">
        <v>1761</v>
      </c>
      <c r="K3167" t="s">
        <v>1868</v>
      </c>
      <c r="L3167" t="s">
        <v>1750</v>
      </c>
      <c r="M3167">
        <v>1</v>
      </c>
      <c r="N3167" t="b">
        <v>0</v>
      </c>
      <c r="O3167">
        <v>43</v>
      </c>
      <c r="P3167" t="s">
        <v>1752</v>
      </c>
      <c r="Q3167" t="s">
        <v>1753</v>
      </c>
      <c r="R3167" t="s">
        <v>1759</v>
      </c>
    </row>
    <row r="3168" spans="1:18" x14ac:dyDescent="0.25">
      <c r="A3168" t="s">
        <v>6737</v>
      </c>
      <c r="B3168" t="s">
        <v>2040</v>
      </c>
      <c r="C3168" t="s">
        <v>6</v>
      </c>
      <c r="D3168" t="s">
        <v>6736</v>
      </c>
      <c r="E3168" s="2">
        <v>45349</v>
      </c>
      <c r="F3168">
        <v>262</v>
      </c>
      <c r="G3168" t="s">
        <v>1746</v>
      </c>
      <c r="H3168" t="s">
        <v>1798</v>
      </c>
      <c r="I3168" t="b">
        <v>0</v>
      </c>
      <c r="J3168" t="s">
        <v>1761</v>
      </c>
      <c r="K3168" t="s">
        <v>1824</v>
      </c>
      <c r="L3168" t="s">
        <v>1750</v>
      </c>
      <c r="M3168">
        <v>1</v>
      </c>
      <c r="N3168" t="b">
        <v>1</v>
      </c>
      <c r="O3168">
        <v>148</v>
      </c>
      <c r="P3168" t="s">
        <v>1819</v>
      </c>
      <c r="Q3168" t="s">
        <v>1753</v>
      </c>
      <c r="R3168" t="s">
        <v>1828</v>
      </c>
    </row>
    <row r="3169" spans="1:18" x14ac:dyDescent="0.25">
      <c r="A3169" t="s">
        <v>6739</v>
      </c>
      <c r="B3169" t="s">
        <v>1704</v>
      </c>
      <c r="C3169" t="s">
        <v>1249</v>
      </c>
      <c r="D3169" t="s">
        <v>6738</v>
      </c>
      <c r="E3169" s="2">
        <v>42627</v>
      </c>
      <c r="F3169">
        <v>2984</v>
      </c>
      <c r="G3169" t="s">
        <v>1746</v>
      </c>
      <c r="H3169" t="s">
        <v>1747</v>
      </c>
      <c r="I3169" t="b">
        <v>0</v>
      </c>
      <c r="J3169" t="s">
        <v>1748</v>
      </c>
      <c r="K3169" t="s">
        <v>1813</v>
      </c>
      <c r="L3169" t="s">
        <v>2102</v>
      </c>
      <c r="M3169">
        <v>1</v>
      </c>
      <c r="N3169" t="b">
        <v>0</v>
      </c>
      <c r="P3169" t="s">
        <v>2070</v>
      </c>
      <c r="Q3169" t="s">
        <v>1779</v>
      </c>
    </row>
    <row r="3170" spans="1:18" x14ac:dyDescent="0.25">
      <c r="A3170" t="s">
        <v>6741</v>
      </c>
      <c r="B3170" t="s">
        <v>2082</v>
      </c>
      <c r="C3170" t="s">
        <v>4</v>
      </c>
      <c r="D3170" t="s">
        <v>6740</v>
      </c>
      <c r="E3170" s="2">
        <v>44195</v>
      </c>
      <c r="F3170">
        <v>1416</v>
      </c>
      <c r="G3170" t="s">
        <v>1833</v>
      </c>
      <c r="H3170" t="s">
        <v>1747</v>
      </c>
      <c r="I3170" t="b">
        <v>0</v>
      </c>
      <c r="J3170" t="s">
        <v>1748</v>
      </c>
      <c r="K3170" t="s">
        <v>1848</v>
      </c>
      <c r="L3170" t="s">
        <v>1750</v>
      </c>
      <c r="M3170">
        <v>1</v>
      </c>
      <c r="N3170" t="b">
        <v>1</v>
      </c>
      <c r="O3170">
        <v>44</v>
      </c>
      <c r="P3170" t="s">
        <v>1752</v>
      </c>
      <c r="Q3170" t="s">
        <v>1753</v>
      </c>
      <c r="R3170" t="s">
        <v>1759</v>
      </c>
    </row>
    <row r="3171" spans="1:18" x14ac:dyDescent="0.25">
      <c r="A3171" t="s">
        <v>6743</v>
      </c>
      <c r="B3171" t="s">
        <v>1907</v>
      </c>
      <c r="C3171" t="s">
        <v>4</v>
      </c>
      <c r="D3171" t="s">
        <v>6742</v>
      </c>
      <c r="E3171" s="2">
        <v>44399</v>
      </c>
      <c r="F3171">
        <v>1212</v>
      </c>
      <c r="G3171" t="s">
        <v>1746</v>
      </c>
      <c r="H3171" t="s">
        <v>1798</v>
      </c>
      <c r="I3171" t="b">
        <v>0</v>
      </c>
      <c r="J3171" t="s">
        <v>1761</v>
      </c>
      <c r="K3171" t="s">
        <v>1853</v>
      </c>
      <c r="L3171" t="s">
        <v>1750</v>
      </c>
      <c r="M3171">
        <v>1</v>
      </c>
      <c r="N3171" t="b">
        <v>0</v>
      </c>
      <c r="O3171">
        <v>170</v>
      </c>
      <c r="P3171" t="s">
        <v>1819</v>
      </c>
      <c r="Q3171" t="s">
        <v>1753</v>
      </c>
    </row>
    <row r="3172" spans="1:18" x14ac:dyDescent="0.25">
      <c r="A3172" t="s">
        <v>6745</v>
      </c>
      <c r="B3172" t="s">
        <v>2564</v>
      </c>
      <c r="C3172" t="s">
        <v>6</v>
      </c>
      <c r="D3172" t="s">
        <v>6744</v>
      </c>
      <c r="E3172" s="2">
        <v>43053</v>
      </c>
      <c r="F3172">
        <v>2558</v>
      </c>
      <c r="G3172" t="s">
        <v>1746</v>
      </c>
      <c r="H3172" t="s">
        <v>1798</v>
      </c>
      <c r="I3172" t="b">
        <v>0</v>
      </c>
      <c r="J3172" t="s">
        <v>1748</v>
      </c>
      <c r="K3172" t="s">
        <v>1776</v>
      </c>
      <c r="L3172" t="s">
        <v>1750</v>
      </c>
      <c r="M3172">
        <v>1</v>
      </c>
      <c r="N3172" t="b">
        <v>1</v>
      </c>
      <c r="O3172">
        <v>92</v>
      </c>
      <c r="P3172" t="s">
        <v>1752</v>
      </c>
      <c r="Q3172" t="s">
        <v>1753</v>
      </c>
    </row>
    <row r="3173" spans="1:18" x14ac:dyDescent="0.25">
      <c r="A3173" t="s">
        <v>6747</v>
      </c>
      <c r="B3173" t="s">
        <v>2150</v>
      </c>
      <c r="C3173" t="s">
        <v>4</v>
      </c>
      <c r="D3173" t="s">
        <v>6746</v>
      </c>
      <c r="E3173" s="2">
        <v>44516</v>
      </c>
      <c r="F3173">
        <v>1095</v>
      </c>
      <c r="G3173" t="s">
        <v>1746</v>
      </c>
      <c r="H3173" t="s">
        <v>1747</v>
      </c>
      <c r="I3173" t="b">
        <v>1</v>
      </c>
      <c r="J3173" t="s">
        <v>1761</v>
      </c>
      <c r="K3173" t="s">
        <v>2042</v>
      </c>
      <c r="L3173" t="s">
        <v>1750</v>
      </c>
      <c r="M3173">
        <v>1</v>
      </c>
      <c r="N3173" t="b">
        <v>0</v>
      </c>
      <c r="O3173">
        <v>59</v>
      </c>
      <c r="P3173" t="s">
        <v>1752</v>
      </c>
      <c r="Q3173" t="s">
        <v>1753</v>
      </c>
      <c r="R3173" t="s">
        <v>1759</v>
      </c>
    </row>
    <row r="3174" spans="1:18" x14ac:dyDescent="0.25">
      <c r="A3174" t="s">
        <v>6749</v>
      </c>
      <c r="B3174" t="s">
        <v>2150</v>
      </c>
      <c r="C3174" t="s">
        <v>4</v>
      </c>
      <c r="D3174" t="s">
        <v>6748</v>
      </c>
      <c r="E3174" s="2">
        <v>45133</v>
      </c>
      <c r="F3174">
        <v>478</v>
      </c>
      <c r="G3174" t="s">
        <v>1746</v>
      </c>
      <c r="H3174" t="s">
        <v>1747</v>
      </c>
      <c r="I3174" t="b">
        <v>0</v>
      </c>
      <c r="J3174" t="s">
        <v>1761</v>
      </c>
      <c r="K3174" t="s">
        <v>1776</v>
      </c>
      <c r="L3174" t="s">
        <v>1750</v>
      </c>
      <c r="M3174">
        <v>1</v>
      </c>
      <c r="N3174" t="b">
        <v>1</v>
      </c>
      <c r="O3174">
        <v>247</v>
      </c>
      <c r="P3174" t="s">
        <v>1819</v>
      </c>
      <c r="Q3174" t="s">
        <v>1753</v>
      </c>
      <c r="R3174" t="s">
        <v>1759</v>
      </c>
    </row>
    <row r="3175" spans="1:18" x14ac:dyDescent="0.25">
      <c r="A3175" t="s">
        <v>6751</v>
      </c>
      <c r="B3175" t="s">
        <v>1704</v>
      </c>
      <c r="C3175" t="s">
        <v>2338</v>
      </c>
      <c r="D3175" t="s">
        <v>6750</v>
      </c>
      <c r="E3175" s="2">
        <v>45058</v>
      </c>
      <c r="F3175">
        <v>553</v>
      </c>
      <c r="G3175" t="s">
        <v>1746</v>
      </c>
      <c r="H3175" t="s">
        <v>1747</v>
      </c>
      <c r="I3175" t="b">
        <v>0</v>
      </c>
      <c r="J3175" t="s">
        <v>1748</v>
      </c>
      <c r="K3175" t="s">
        <v>1919</v>
      </c>
      <c r="L3175" t="s">
        <v>1775</v>
      </c>
      <c r="M3175">
        <v>1</v>
      </c>
      <c r="N3175" t="b">
        <v>0</v>
      </c>
      <c r="P3175" t="s">
        <v>2283</v>
      </c>
      <c r="Q3175" t="s">
        <v>1705</v>
      </c>
    </row>
    <row r="3176" spans="1:18" x14ac:dyDescent="0.25">
      <c r="A3176" t="s">
        <v>6753</v>
      </c>
      <c r="B3176" t="s">
        <v>2150</v>
      </c>
      <c r="C3176" t="s">
        <v>4</v>
      </c>
      <c r="D3176" t="s">
        <v>6752</v>
      </c>
      <c r="E3176" s="2">
        <v>44607</v>
      </c>
      <c r="F3176">
        <v>1004</v>
      </c>
      <c r="G3176" t="s">
        <v>1746</v>
      </c>
      <c r="H3176" t="s">
        <v>1747</v>
      </c>
      <c r="I3176" t="b">
        <v>0</v>
      </c>
      <c r="J3176" t="s">
        <v>1748</v>
      </c>
      <c r="K3176" t="s">
        <v>1856</v>
      </c>
      <c r="L3176" t="s">
        <v>1750</v>
      </c>
      <c r="M3176">
        <v>1</v>
      </c>
      <c r="N3176" t="b">
        <v>0</v>
      </c>
      <c r="O3176">
        <v>96</v>
      </c>
      <c r="P3176" t="s">
        <v>1752</v>
      </c>
      <c r="Q3176" t="s">
        <v>1753</v>
      </c>
      <c r="R3176" t="s">
        <v>1759</v>
      </c>
    </row>
    <row r="3177" spans="1:18" x14ac:dyDescent="0.25">
      <c r="A3177" t="s">
        <v>6755</v>
      </c>
      <c r="B3177" t="s">
        <v>2082</v>
      </c>
      <c r="C3177" t="s">
        <v>6</v>
      </c>
      <c r="D3177" t="s">
        <v>6754</v>
      </c>
      <c r="E3177" s="2">
        <v>42766</v>
      </c>
      <c r="F3177">
        <v>2845</v>
      </c>
      <c r="G3177" t="s">
        <v>1746</v>
      </c>
      <c r="H3177" t="s">
        <v>1747</v>
      </c>
      <c r="I3177" t="b">
        <v>0</v>
      </c>
      <c r="J3177" t="s">
        <v>1748</v>
      </c>
      <c r="K3177" t="s">
        <v>1922</v>
      </c>
      <c r="L3177" t="s">
        <v>1750</v>
      </c>
      <c r="M3177">
        <v>1</v>
      </c>
      <c r="N3177" t="b">
        <v>1</v>
      </c>
      <c r="P3177" t="s">
        <v>1752</v>
      </c>
      <c r="Q3177" t="s">
        <v>1753</v>
      </c>
    </row>
    <row r="3178" spans="1:18" x14ac:dyDescent="0.25">
      <c r="A3178" t="s">
        <v>6757</v>
      </c>
      <c r="B3178" t="s">
        <v>2335</v>
      </c>
      <c r="C3178" t="s">
        <v>6</v>
      </c>
      <c r="D3178" t="s">
        <v>6756</v>
      </c>
      <c r="E3178" s="2">
        <v>45401</v>
      </c>
      <c r="F3178">
        <v>210</v>
      </c>
      <c r="G3178" t="s">
        <v>1746</v>
      </c>
      <c r="H3178" t="s">
        <v>1747</v>
      </c>
      <c r="I3178" t="b">
        <v>0</v>
      </c>
      <c r="J3178" t="s">
        <v>1748</v>
      </c>
      <c r="K3178" t="s">
        <v>1824</v>
      </c>
      <c r="L3178" t="s">
        <v>1750</v>
      </c>
      <c r="M3178">
        <v>1</v>
      </c>
      <c r="N3178" t="b">
        <v>1</v>
      </c>
      <c r="O3178">
        <v>155</v>
      </c>
      <c r="P3178" t="s">
        <v>1752</v>
      </c>
      <c r="Q3178" t="s">
        <v>1753</v>
      </c>
    </row>
    <row r="3179" spans="1:18" x14ac:dyDescent="0.25">
      <c r="A3179" t="s">
        <v>6759</v>
      </c>
      <c r="B3179" t="s">
        <v>1704</v>
      </c>
      <c r="C3179" t="s">
        <v>6</v>
      </c>
      <c r="D3179" t="s">
        <v>6758</v>
      </c>
      <c r="E3179" s="2">
        <v>45560</v>
      </c>
      <c r="F3179">
        <v>51</v>
      </c>
      <c r="G3179" t="s">
        <v>1746</v>
      </c>
      <c r="H3179" t="s">
        <v>1798</v>
      </c>
      <c r="I3179" t="b">
        <v>0</v>
      </c>
      <c r="J3179" t="s">
        <v>1748</v>
      </c>
      <c r="K3179" t="s">
        <v>1774</v>
      </c>
      <c r="L3179" t="s">
        <v>1817</v>
      </c>
      <c r="M3179">
        <v>1</v>
      </c>
      <c r="N3179" t="b">
        <v>1</v>
      </c>
      <c r="P3179" t="s">
        <v>1819</v>
      </c>
      <c r="Q3179" t="s">
        <v>1753</v>
      </c>
      <c r="R3179" t="s">
        <v>1759</v>
      </c>
    </row>
    <row r="3180" spans="1:18" x14ac:dyDescent="0.25">
      <c r="A3180" t="s">
        <v>6761</v>
      </c>
      <c r="B3180" t="s">
        <v>1704</v>
      </c>
      <c r="C3180" t="s">
        <v>6</v>
      </c>
      <c r="D3180" t="s">
        <v>6760</v>
      </c>
      <c r="E3180" s="2">
        <v>45547</v>
      </c>
      <c r="F3180">
        <v>64</v>
      </c>
      <c r="G3180" t="s">
        <v>1746</v>
      </c>
      <c r="H3180" t="s">
        <v>1798</v>
      </c>
      <c r="I3180" t="b">
        <v>0</v>
      </c>
      <c r="J3180" t="s">
        <v>1748</v>
      </c>
      <c r="K3180" t="s">
        <v>1822</v>
      </c>
      <c r="L3180" t="s">
        <v>1750</v>
      </c>
      <c r="M3180">
        <v>1</v>
      </c>
      <c r="N3180" t="b">
        <v>1</v>
      </c>
      <c r="O3180">
        <v>50</v>
      </c>
      <c r="P3180" t="s">
        <v>1752</v>
      </c>
      <c r="Q3180" t="s">
        <v>1753</v>
      </c>
      <c r="R3180" t="s">
        <v>1828</v>
      </c>
    </row>
    <row r="3181" spans="1:18" x14ac:dyDescent="0.25">
      <c r="A3181" t="s">
        <v>6763</v>
      </c>
      <c r="B3181" t="s">
        <v>3874</v>
      </c>
      <c r="C3181" t="s">
        <v>4</v>
      </c>
      <c r="D3181" t="s">
        <v>6762</v>
      </c>
      <c r="E3181" s="2">
        <v>45373</v>
      </c>
      <c r="F3181">
        <v>238</v>
      </c>
      <c r="G3181" t="s">
        <v>1833</v>
      </c>
      <c r="H3181" t="s">
        <v>1747</v>
      </c>
      <c r="I3181" t="b">
        <v>0</v>
      </c>
      <c r="J3181" t="s">
        <v>1748</v>
      </c>
      <c r="K3181" t="s">
        <v>1880</v>
      </c>
      <c r="L3181" t="s">
        <v>1750</v>
      </c>
      <c r="M3181">
        <v>0</v>
      </c>
      <c r="N3181" t="b">
        <v>1</v>
      </c>
      <c r="O3181">
        <v>158</v>
      </c>
      <c r="P3181" t="s">
        <v>1752</v>
      </c>
      <c r="Q3181" t="s">
        <v>1753</v>
      </c>
    </row>
    <row r="3182" spans="1:18" x14ac:dyDescent="0.25">
      <c r="A3182" t="s">
        <v>6765</v>
      </c>
      <c r="B3182" t="s">
        <v>2150</v>
      </c>
      <c r="C3182" t="s">
        <v>4</v>
      </c>
      <c r="D3182" t="s">
        <v>6764</v>
      </c>
      <c r="E3182" s="2">
        <v>44600</v>
      </c>
      <c r="F3182">
        <v>1011</v>
      </c>
      <c r="G3182" t="s">
        <v>1746</v>
      </c>
      <c r="H3182" t="s">
        <v>1805</v>
      </c>
      <c r="I3182" t="b">
        <v>0</v>
      </c>
      <c r="J3182" t="s">
        <v>1761</v>
      </c>
      <c r="K3182" t="s">
        <v>1774</v>
      </c>
      <c r="L3182" t="s">
        <v>1817</v>
      </c>
      <c r="M3182">
        <v>0</v>
      </c>
      <c r="N3182" t="b">
        <v>0</v>
      </c>
      <c r="O3182">
        <v>216</v>
      </c>
      <c r="P3182" t="s">
        <v>1819</v>
      </c>
      <c r="Q3182" t="s">
        <v>1753</v>
      </c>
    </row>
    <row r="3183" spans="1:18" x14ac:dyDescent="0.25">
      <c r="A3183" t="s">
        <v>6767</v>
      </c>
      <c r="B3183" t="s">
        <v>5939</v>
      </c>
      <c r="C3183" t="s">
        <v>6258</v>
      </c>
      <c r="D3183" t="s">
        <v>6766</v>
      </c>
      <c r="E3183" s="2">
        <v>43090</v>
      </c>
      <c r="F3183">
        <v>2521</v>
      </c>
      <c r="G3183" t="s">
        <v>1746</v>
      </c>
      <c r="H3183" t="s">
        <v>1798</v>
      </c>
      <c r="I3183" t="b">
        <v>0</v>
      </c>
      <c r="J3183" t="s">
        <v>1748</v>
      </c>
      <c r="K3183" t="s">
        <v>2152</v>
      </c>
      <c r="L3183" t="s">
        <v>1750</v>
      </c>
      <c r="M3183">
        <v>0</v>
      </c>
      <c r="N3183" t="b">
        <v>0</v>
      </c>
      <c r="O3183">
        <v>7</v>
      </c>
      <c r="P3183" t="s">
        <v>1752</v>
      </c>
      <c r="Q3183" t="s">
        <v>1753</v>
      </c>
    </row>
    <row r="3184" spans="1:18" x14ac:dyDescent="0.25">
      <c r="A3184" t="s">
        <v>6769</v>
      </c>
      <c r="B3184" t="s">
        <v>2997</v>
      </c>
      <c r="C3184" t="s">
        <v>4</v>
      </c>
      <c r="D3184" t="s">
        <v>6768</v>
      </c>
      <c r="E3184" s="2">
        <v>45532</v>
      </c>
      <c r="F3184">
        <v>79</v>
      </c>
      <c r="G3184" t="s">
        <v>1746</v>
      </c>
      <c r="H3184" t="s">
        <v>1798</v>
      </c>
      <c r="I3184" t="b">
        <v>0</v>
      </c>
      <c r="J3184" t="s">
        <v>1748</v>
      </c>
      <c r="K3184" t="s">
        <v>1774</v>
      </c>
      <c r="L3184" t="s">
        <v>1817</v>
      </c>
      <c r="M3184">
        <v>0</v>
      </c>
      <c r="N3184" t="b">
        <v>0</v>
      </c>
      <c r="O3184">
        <v>7</v>
      </c>
      <c r="P3184" t="s">
        <v>1819</v>
      </c>
      <c r="Q3184" t="s">
        <v>1753</v>
      </c>
    </row>
    <row r="3185" spans="1:18" x14ac:dyDescent="0.25">
      <c r="A3185" t="s">
        <v>6771</v>
      </c>
      <c r="B3185" t="s">
        <v>2150</v>
      </c>
      <c r="C3185" t="s">
        <v>6</v>
      </c>
      <c r="D3185" t="s">
        <v>6770</v>
      </c>
      <c r="E3185" s="2">
        <v>44474</v>
      </c>
      <c r="F3185">
        <v>1137</v>
      </c>
      <c r="G3185" t="s">
        <v>1746</v>
      </c>
      <c r="H3185" t="s">
        <v>1805</v>
      </c>
      <c r="I3185" t="b">
        <v>0</v>
      </c>
      <c r="J3185" t="s">
        <v>1748</v>
      </c>
      <c r="K3185" t="s">
        <v>1770</v>
      </c>
      <c r="L3185" t="s">
        <v>1817</v>
      </c>
      <c r="M3185">
        <v>0</v>
      </c>
      <c r="N3185" t="b">
        <v>1</v>
      </c>
      <c r="O3185">
        <v>4600</v>
      </c>
      <c r="P3185" t="s">
        <v>1819</v>
      </c>
      <c r="Q3185" t="s">
        <v>1753</v>
      </c>
      <c r="R3185" t="s">
        <v>1759</v>
      </c>
    </row>
    <row r="3186" spans="1:18" x14ac:dyDescent="0.25">
      <c r="A3186" t="s">
        <v>6773</v>
      </c>
      <c r="B3186" t="s">
        <v>2997</v>
      </c>
      <c r="C3186" t="s">
        <v>4</v>
      </c>
      <c r="D3186" t="s">
        <v>6772</v>
      </c>
      <c r="E3186" s="2">
        <v>45509</v>
      </c>
      <c r="F3186">
        <v>102</v>
      </c>
      <c r="G3186" t="s">
        <v>1746</v>
      </c>
      <c r="H3186" t="s">
        <v>1798</v>
      </c>
      <c r="I3186" t="b">
        <v>0</v>
      </c>
      <c r="J3186" t="s">
        <v>1748</v>
      </c>
      <c r="K3186" t="s">
        <v>1774</v>
      </c>
      <c r="L3186" t="s">
        <v>1817</v>
      </c>
      <c r="M3186">
        <v>0</v>
      </c>
      <c r="N3186" t="b">
        <v>0</v>
      </c>
      <c r="O3186">
        <v>12</v>
      </c>
      <c r="P3186" t="s">
        <v>1819</v>
      </c>
      <c r="Q3186" t="s">
        <v>1753</v>
      </c>
    </row>
    <row r="3187" spans="1:18" x14ac:dyDescent="0.25">
      <c r="A3187" t="s">
        <v>6775</v>
      </c>
      <c r="B3187" t="s">
        <v>1704</v>
      </c>
      <c r="C3187" t="s">
        <v>4</v>
      </c>
      <c r="D3187" t="s">
        <v>6774</v>
      </c>
      <c r="E3187" s="2">
        <v>45343</v>
      </c>
      <c r="F3187">
        <v>268</v>
      </c>
      <c r="G3187" t="s">
        <v>1746</v>
      </c>
      <c r="H3187" t="s">
        <v>1798</v>
      </c>
      <c r="I3187" t="b">
        <v>1</v>
      </c>
      <c r="J3187" t="s">
        <v>1761</v>
      </c>
      <c r="K3187" t="s">
        <v>1853</v>
      </c>
      <c r="L3187" t="s">
        <v>1817</v>
      </c>
      <c r="M3187">
        <v>0</v>
      </c>
      <c r="N3187" t="b">
        <v>0</v>
      </c>
      <c r="O3187">
        <v>8907</v>
      </c>
      <c r="P3187" t="s">
        <v>1819</v>
      </c>
      <c r="Q3187" t="s">
        <v>1753</v>
      </c>
      <c r="R3187" t="s">
        <v>1759</v>
      </c>
    </row>
    <row r="3188" spans="1:18" x14ac:dyDescent="0.25">
      <c r="A3188" t="s">
        <v>6777</v>
      </c>
      <c r="B3188" t="s">
        <v>2483</v>
      </c>
      <c r="C3188" t="s">
        <v>4</v>
      </c>
      <c r="D3188" t="s">
        <v>6776</v>
      </c>
      <c r="E3188" s="2">
        <v>45119</v>
      </c>
      <c r="F3188">
        <v>492</v>
      </c>
      <c r="G3188" t="s">
        <v>1746</v>
      </c>
      <c r="H3188" t="s">
        <v>1798</v>
      </c>
      <c r="I3188" t="b">
        <v>0</v>
      </c>
      <c r="J3188" t="s">
        <v>1748</v>
      </c>
      <c r="K3188" t="s">
        <v>1891</v>
      </c>
      <c r="L3188" t="s">
        <v>1817</v>
      </c>
      <c r="M3188">
        <v>0</v>
      </c>
      <c r="N3188" t="b">
        <v>0</v>
      </c>
      <c r="O3188">
        <v>122</v>
      </c>
      <c r="P3188" t="s">
        <v>1819</v>
      </c>
      <c r="Q3188" t="s">
        <v>1753</v>
      </c>
    </row>
    <row r="3189" spans="1:18" x14ac:dyDescent="0.25">
      <c r="A3189" t="s">
        <v>6779</v>
      </c>
      <c r="B3189" t="s">
        <v>2150</v>
      </c>
      <c r="C3189" t="s">
        <v>4</v>
      </c>
      <c r="D3189" t="s">
        <v>6778</v>
      </c>
      <c r="E3189" s="2">
        <v>44182</v>
      </c>
      <c r="F3189">
        <v>1429</v>
      </c>
      <c r="G3189" t="s">
        <v>1746</v>
      </c>
      <c r="H3189" t="s">
        <v>1747</v>
      </c>
      <c r="I3189" t="b">
        <v>1</v>
      </c>
      <c r="J3189" t="s">
        <v>1761</v>
      </c>
      <c r="K3189" t="s">
        <v>2007</v>
      </c>
      <c r="L3189" t="s">
        <v>1750</v>
      </c>
      <c r="M3189">
        <v>0</v>
      </c>
      <c r="N3189" t="b">
        <v>0</v>
      </c>
      <c r="O3189">
        <v>40</v>
      </c>
      <c r="P3189" t="s">
        <v>1752</v>
      </c>
      <c r="Q3189" t="s">
        <v>1753</v>
      </c>
      <c r="R3189" t="s">
        <v>1759</v>
      </c>
    </row>
    <row r="3190" spans="1:18" x14ac:dyDescent="0.25">
      <c r="A3190" t="s">
        <v>6781</v>
      </c>
      <c r="B3190" t="s">
        <v>3294</v>
      </c>
      <c r="C3190" t="s">
        <v>4</v>
      </c>
      <c r="D3190" t="s">
        <v>6780</v>
      </c>
      <c r="E3190" s="2">
        <v>45391</v>
      </c>
      <c r="F3190">
        <v>220</v>
      </c>
      <c r="G3190" t="s">
        <v>1746</v>
      </c>
      <c r="H3190" t="s">
        <v>1747</v>
      </c>
      <c r="I3190" t="b">
        <v>1</v>
      </c>
      <c r="J3190" t="s">
        <v>1761</v>
      </c>
      <c r="K3190" t="s">
        <v>1824</v>
      </c>
      <c r="L3190" t="s">
        <v>1756</v>
      </c>
      <c r="M3190">
        <v>0</v>
      </c>
      <c r="N3190" t="b">
        <v>1</v>
      </c>
      <c r="O3190">
        <v>3439</v>
      </c>
      <c r="P3190" t="s">
        <v>1819</v>
      </c>
      <c r="Q3190" t="s">
        <v>1753</v>
      </c>
      <c r="R3190" t="s">
        <v>1759</v>
      </c>
    </row>
    <row r="3191" spans="1:18" x14ac:dyDescent="0.25">
      <c r="A3191" t="s">
        <v>6783</v>
      </c>
      <c r="B3191" t="s">
        <v>2284</v>
      </c>
      <c r="C3191" t="s">
        <v>2338</v>
      </c>
      <c r="D3191" t="s">
        <v>6782</v>
      </c>
      <c r="E3191" s="2">
        <v>44383</v>
      </c>
      <c r="F3191">
        <v>1228</v>
      </c>
      <c r="G3191" t="s">
        <v>1746</v>
      </c>
      <c r="H3191" t="s">
        <v>1747</v>
      </c>
      <c r="I3191" t="b">
        <v>0</v>
      </c>
      <c r="J3191" t="s">
        <v>1748</v>
      </c>
      <c r="K3191" t="s">
        <v>1987</v>
      </c>
      <c r="L3191" t="s">
        <v>1775</v>
      </c>
      <c r="M3191">
        <v>0</v>
      </c>
      <c r="N3191" t="b">
        <v>0</v>
      </c>
      <c r="P3191" t="s">
        <v>2283</v>
      </c>
      <c r="Q3191" t="s">
        <v>1705</v>
      </c>
    </row>
    <row r="3192" spans="1:18" x14ac:dyDescent="0.25">
      <c r="A3192" t="s">
        <v>6785</v>
      </c>
      <c r="B3192" t="s">
        <v>2150</v>
      </c>
      <c r="C3192" t="s">
        <v>4</v>
      </c>
      <c r="D3192" t="s">
        <v>6784</v>
      </c>
      <c r="E3192" s="2">
        <v>44110</v>
      </c>
      <c r="F3192">
        <v>1501</v>
      </c>
      <c r="G3192" t="s">
        <v>1746</v>
      </c>
      <c r="H3192" t="s">
        <v>1805</v>
      </c>
      <c r="I3192" t="b">
        <v>0</v>
      </c>
      <c r="J3192" t="s">
        <v>1761</v>
      </c>
      <c r="K3192" t="s">
        <v>1913</v>
      </c>
      <c r="L3192" t="s">
        <v>1750</v>
      </c>
      <c r="M3192">
        <v>0</v>
      </c>
      <c r="N3192" t="b">
        <v>0</v>
      </c>
      <c r="O3192">
        <v>57</v>
      </c>
      <c r="P3192" t="s">
        <v>1819</v>
      </c>
      <c r="Q3192" t="s">
        <v>1753</v>
      </c>
      <c r="R3192" t="s">
        <v>1759</v>
      </c>
    </row>
    <row r="3193" spans="1:18" x14ac:dyDescent="0.25">
      <c r="A3193" t="s">
        <v>6787</v>
      </c>
      <c r="B3193" t="s">
        <v>1704</v>
      </c>
      <c r="C3193" t="s">
        <v>4</v>
      </c>
      <c r="D3193" t="s">
        <v>6786</v>
      </c>
      <c r="E3193" s="2">
        <v>45489</v>
      </c>
      <c r="F3193">
        <v>122</v>
      </c>
      <c r="G3193" t="s">
        <v>1746</v>
      </c>
      <c r="H3193" t="s">
        <v>1747</v>
      </c>
      <c r="I3193" t="b">
        <v>0</v>
      </c>
      <c r="J3193" t="s">
        <v>1761</v>
      </c>
      <c r="K3193" t="s">
        <v>1755</v>
      </c>
      <c r="L3193" t="s">
        <v>1750</v>
      </c>
      <c r="M3193">
        <v>0</v>
      </c>
      <c r="N3193" t="b">
        <v>1</v>
      </c>
      <c r="P3193" t="s">
        <v>1752</v>
      </c>
      <c r="Q3193" t="s">
        <v>1753</v>
      </c>
      <c r="R3193" t="s">
        <v>1759</v>
      </c>
    </row>
    <row r="3194" spans="1:18" x14ac:dyDescent="0.25">
      <c r="A3194" t="s">
        <v>6789</v>
      </c>
      <c r="B3194" t="s">
        <v>1704</v>
      </c>
      <c r="C3194" t="s">
        <v>1249</v>
      </c>
      <c r="D3194" t="s">
        <v>6788</v>
      </c>
      <c r="E3194" s="2">
        <v>43684</v>
      </c>
      <c r="F3194">
        <v>1927</v>
      </c>
      <c r="G3194" t="s">
        <v>1746</v>
      </c>
      <c r="H3194" t="s">
        <v>1798</v>
      </c>
      <c r="I3194" t="b">
        <v>0</v>
      </c>
      <c r="J3194" t="s">
        <v>1748</v>
      </c>
      <c r="K3194" t="s">
        <v>1967</v>
      </c>
      <c r="L3194" t="s">
        <v>2102</v>
      </c>
      <c r="M3194">
        <v>0</v>
      </c>
      <c r="N3194" t="b">
        <v>0</v>
      </c>
      <c r="P3194" t="s">
        <v>2070</v>
      </c>
      <c r="Q3194" t="s">
        <v>1779</v>
      </c>
    </row>
    <row r="3195" spans="1:18" x14ac:dyDescent="0.25">
      <c r="A3195" t="s">
        <v>6791</v>
      </c>
      <c r="B3195" t="s">
        <v>2611</v>
      </c>
      <c r="C3195" t="s">
        <v>4</v>
      </c>
      <c r="D3195" t="s">
        <v>6790</v>
      </c>
      <c r="E3195" s="2">
        <v>45433</v>
      </c>
      <c r="F3195">
        <v>178</v>
      </c>
      <c r="G3195" t="s">
        <v>1746</v>
      </c>
      <c r="H3195" t="s">
        <v>1747</v>
      </c>
      <c r="I3195" t="b">
        <v>1</v>
      </c>
      <c r="J3195" t="s">
        <v>1761</v>
      </c>
      <c r="K3195" t="s">
        <v>1822</v>
      </c>
      <c r="L3195" t="s">
        <v>1817</v>
      </c>
      <c r="M3195">
        <v>0</v>
      </c>
      <c r="N3195" t="b">
        <v>1</v>
      </c>
      <c r="O3195">
        <v>421</v>
      </c>
      <c r="P3195" t="s">
        <v>1819</v>
      </c>
      <c r="Q3195" t="s">
        <v>1753</v>
      </c>
      <c r="R3195" t="s">
        <v>1759</v>
      </c>
    </row>
    <row r="3196" spans="1:18" x14ac:dyDescent="0.25">
      <c r="A3196" t="s">
        <v>6793</v>
      </c>
      <c r="B3196" t="s">
        <v>2150</v>
      </c>
      <c r="C3196" t="s">
        <v>6</v>
      </c>
      <c r="D3196" t="s">
        <v>6792</v>
      </c>
      <c r="E3196" s="2">
        <v>44286</v>
      </c>
      <c r="F3196">
        <v>1325</v>
      </c>
      <c r="G3196" t="s">
        <v>1746</v>
      </c>
      <c r="H3196" t="s">
        <v>1805</v>
      </c>
      <c r="I3196" t="b">
        <v>0</v>
      </c>
      <c r="J3196" t="s">
        <v>1761</v>
      </c>
      <c r="K3196" t="s">
        <v>1826</v>
      </c>
      <c r="L3196" t="s">
        <v>1817</v>
      </c>
      <c r="M3196">
        <v>0</v>
      </c>
      <c r="N3196" t="b">
        <v>1</v>
      </c>
      <c r="O3196">
        <v>1037</v>
      </c>
      <c r="P3196" t="s">
        <v>1819</v>
      </c>
      <c r="Q3196" t="s">
        <v>1753</v>
      </c>
      <c r="R3196" t="s">
        <v>1759</v>
      </c>
    </row>
    <row r="3197" spans="1:18" x14ac:dyDescent="0.25">
      <c r="A3197" t="s">
        <v>6795</v>
      </c>
      <c r="B3197" t="s">
        <v>2662</v>
      </c>
      <c r="C3197" t="s">
        <v>4</v>
      </c>
      <c r="D3197" t="s">
        <v>6794</v>
      </c>
      <c r="E3197" s="2">
        <v>45189</v>
      </c>
      <c r="F3197">
        <v>422</v>
      </c>
      <c r="G3197" t="s">
        <v>1746</v>
      </c>
      <c r="H3197" t="s">
        <v>1747</v>
      </c>
      <c r="I3197" t="b">
        <v>1</v>
      </c>
      <c r="J3197" t="s">
        <v>1761</v>
      </c>
      <c r="K3197" t="s">
        <v>1776</v>
      </c>
      <c r="L3197" t="s">
        <v>1817</v>
      </c>
      <c r="M3197">
        <v>0</v>
      </c>
      <c r="N3197" t="b">
        <v>0</v>
      </c>
      <c r="O3197">
        <v>2268</v>
      </c>
      <c r="P3197" t="s">
        <v>1819</v>
      </c>
      <c r="Q3197" t="s">
        <v>1753</v>
      </c>
      <c r="R3197" t="s">
        <v>1759</v>
      </c>
    </row>
    <row r="3198" spans="1:18" x14ac:dyDescent="0.25">
      <c r="A3198" t="s">
        <v>6797</v>
      </c>
      <c r="B3198" t="s">
        <v>1704</v>
      </c>
      <c r="C3198" t="s">
        <v>186</v>
      </c>
      <c r="D3198" t="s">
        <v>6796</v>
      </c>
      <c r="E3198" s="2">
        <v>45155</v>
      </c>
      <c r="F3198">
        <v>456</v>
      </c>
      <c r="G3198" t="s">
        <v>1746</v>
      </c>
      <c r="H3198" t="s">
        <v>1747</v>
      </c>
      <c r="I3198" t="b">
        <v>0</v>
      </c>
      <c r="J3198" t="s">
        <v>1748</v>
      </c>
      <c r="K3198" t="s">
        <v>1845</v>
      </c>
      <c r="L3198" t="s">
        <v>1775</v>
      </c>
      <c r="M3198">
        <v>0</v>
      </c>
      <c r="N3198" t="b">
        <v>0</v>
      </c>
      <c r="P3198" t="s">
        <v>2283</v>
      </c>
      <c r="Q3198" t="s">
        <v>1705</v>
      </c>
    </row>
    <row r="3199" spans="1:18" x14ac:dyDescent="0.25">
      <c r="A3199" t="s">
        <v>6799</v>
      </c>
      <c r="B3199" t="s">
        <v>2150</v>
      </c>
      <c r="C3199" t="s">
        <v>4</v>
      </c>
      <c r="D3199" t="s">
        <v>6798</v>
      </c>
      <c r="E3199" s="2">
        <v>44459</v>
      </c>
      <c r="F3199">
        <v>1152</v>
      </c>
      <c r="G3199" t="s">
        <v>1746</v>
      </c>
      <c r="H3199" t="s">
        <v>1805</v>
      </c>
      <c r="I3199" t="b">
        <v>0</v>
      </c>
      <c r="J3199" t="s">
        <v>1761</v>
      </c>
      <c r="K3199" t="s">
        <v>1853</v>
      </c>
      <c r="L3199" t="s">
        <v>1817</v>
      </c>
      <c r="M3199">
        <v>0</v>
      </c>
      <c r="N3199" t="b">
        <v>1</v>
      </c>
      <c r="O3199">
        <v>216</v>
      </c>
      <c r="P3199" t="s">
        <v>1819</v>
      </c>
      <c r="Q3199" t="s">
        <v>1753</v>
      </c>
      <c r="R3199" t="s">
        <v>1759</v>
      </c>
    </row>
    <row r="3200" spans="1:18" x14ac:dyDescent="0.25">
      <c r="A3200" t="s">
        <v>6801</v>
      </c>
      <c r="B3200" t="s">
        <v>2662</v>
      </c>
      <c r="C3200" t="s">
        <v>4</v>
      </c>
      <c r="D3200" t="s">
        <v>6800</v>
      </c>
      <c r="E3200" s="2">
        <v>44649</v>
      </c>
      <c r="F3200">
        <v>962</v>
      </c>
      <c r="G3200" t="s">
        <v>1833</v>
      </c>
      <c r="H3200" t="s">
        <v>1747</v>
      </c>
      <c r="I3200" t="b">
        <v>0</v>
      </c>
      <c r="J3200" t="s">
        <v>1748</v>
      </c>
      <c r="K3200" t="s">
        <v>1776</v>
      </c>
      <c r="L3200" t="s">
        <v>1750</v>
      </c>
      <c r="M3200">
        <v>0</v>
      </c>
      <c r="N3200" t="b">
        <v>1</v>
      </c>
      <c r="O3200">
        <v>9674</v>
      </c>
      <c r="P3200" t="s">
        <v>1752</v>
      </c>
      <c r="Q3200" t="s">
        <v>1753</v>
      </c>
      <c r="R3200" t="s">
        <v>1759</v>
      </c>
    </row>
    <row r="3201" spans="1:18" x14ac:dyDescent="0.25">
      <c r="A3201" t="s">
        <v>6803</v>
      </c>
      <c r="B3201" t="s">
        <v>2662</v>
      </c>
      <c r="C3201" t="s">
        <v>4</v>
      </c>
      <c r="D3201" t="s">
        <v>6802</v>
      </c>
      <c r="E3201" s="2">
        <v>44649</v>
      </c>
      <c r="F3201">
        <v>962</v>
      </c>
      <c r="G3201" t="s">
        <v>1833</v>
      </c>
      <c r="H3201" t="s">
        <v>1747</v>
      </c>
      <c r="I3201" t="b">
        <v>0</v>
      </c>
      <c r="J3201" t="s">
        <v>1748</v>
      </c>
      <c r="K3201" t="s">
        <v>1776</v>
      </c>
      <c r="L3201" t="s">
        <v>1750</v>
      </c>
      <c r="M3201">
        <v>0</v>
      </c>
      <c r="N3201" t="b">
        <v>1</v>
      </c>
      <c r="O3201">
        <v>14748</v>
      </c>
      <c r="P3201" t="s">
        <v>1752</v>
      </c>
      <c r="Q3201" t="s">
        <v>1753</v>
      </c>
      <c r="R3201" t="s">
        <v>1759</v>
      </c>
    </row>
    <row r="3202" spans="1:18" x14ac:dyDescent="0.25">
      <c r="A3202" t="s">
        <v>6805</v>
      </c>
      <c r="B3202" t="s">
        <v>2173</v>
      </c>
      <c r="C3202" t="s">
        <v>6</v>
      </c>
      <c r="D3202" t="s">
        <v>6804</v>
      </c>
      <c r="E3202" s="2">
        <v>45198</v>
      </c>
      <c r="F3202">
        <v>413</v>
      </c>
      <c r="G3202" t="s">
        <v>1746</v>
      </c>
      <c r="H3202" t="s">
        <v>1747</v>
      </c>
      <c r="I3202" t="b">
        <v>0</v>
      </c>
      <c r="J3202" t="s">
        <v>1748</v>
      </c>
      <c r="K3202" t="s">
        <v>1880</v>
      </c>
      <c r="L3202" t="s">
        <v>1817</v>
      </c>
      <c r="M3202">
        <v>0</v>
      </c>
      <c r="N3202" t="b">
        <v>0</v>
      </c>
      <c r="O3202">
        <v>647</v>
      </c>
      <c r="P3202" t="s">
        <v>1819</v>
      </c>
      <c r="Q3202" t="s">
        <v>1753</v>
      </c>
      <c r="R3202" t="s">
        <v>1772</v>
      </c>
    </row>
    <row r="3203" spans="1:18" x14ac:dyDescent="0.25">
      <c r="A3203" t="s">
        <v>6807</v>
      </c>
      <c r="B3203" t="s">
        <v>1704</v>
      </c>
      <c r="C3203" t="s">
        <v>6</v>
      </c>
      <c r="D3203" t="s">
        <v>6806</v>
      </c>
      <c r="E3203" s="2">
        <v>45560</v>
      </c>
      <c r="F3203">
        <v>51</v>
      </c>
      <c r="G3203" t="s">
        <v>1746</v>
      </c>
      <c r="H3203" t="s">
        <v>1798</v>
      </c>
      <c r="I3203" t="b">
        <v>0</v>
      </c>
      <c r="J3203" t="s">
        <v>1748</v>
      </c>
      <c r="K3203" t="s">
        <v>1774</v>
      </c>
      <c r="L3203" t="s">
        <v>1817</v>
      </c>
      <c r="M3203">
        <v>0</v>
      </c>
      <c r="N3203" t="b">
        <v>1</v>
      </c>
      <c r="P3203" t="s">
        <v>1819</v>
      </c>
      <c r="Q3203" t="s">
        <v>1753</v>
      </c>
      <c r="R3203" t="s">
        <v>1759</v>
      </c>
    </row>
    <row r="3204" spans="1:18" x14ac:dyDescent="0.25">
      <c r="A3204" t="s">
        <v>6809</v>
      </c>
      <c r="B3204" t="s">
        <v>2662</v>
      </c>
      <c r="C3204" t="s">
        <v>4</v>
      </c>
      <c r="D3204" t="s">
        <v>6808</v>
      </c>
      <c r="E3204" s="2">
        <v>45224</v>
      </c>
      <c r="F3204">
        <v>387</v>
      </c>
      <c r="G3204" t="s">
        <v>1746</v>
      </c>
      <c r="H3204" t="s">
        <v>1747</v>
      </c>
      <c r="I3204" t="b">
        <v>1</v>
      </c>
      <c r="J3204" t="s">
        <v>1748</v>
      </c>
      <c r="K3204" t="s">
        <v>1776</v>
      </c>
      <c r="L3204" t="s">
        <v>1817</v>
      </c>
      <c r="M3204">
        <v>0</v>
      </c>
      <c r="N3204" t="b">
        <v>0</v>
      </c>
      <c r="O3204">
        <v>457</v>
      </c>
      <c r="P3204" t="s">
        <v>1819</v>
      </c>
      <c r="Q3204" t="s">
        <v>1753</v>
      </c>
      <c r="R3204" t="s">
        <v>1759</v>
      </c>
    </row>
    <row r="3205" spans="1:18" x14ac:dyDescent="0.25">
      <c r="A3205" t="s">
        <v>6811</v>
      </c>
      <c r="B3205" t="s">
        <v>1704</v>
      </c>
      <c r="C3205" t="s">
        <v>4</v>
      </c>
      <c r="D3205" t="s">
        <v>6810</v>
      </c>
      <c r="E3205" s="2">
        <v>45559</v>
      </c>
      <c r="F3205">
        <v>52</v>
      </c>
      <c r="G3205" t="s">
        <v>1833</v>
      </c>
      <c r="H3205" t="s">
        <v>1798</v>
      </c>
      <c r="I3205" t="b">
        <v>0</v>
      </c>
      <c r="J3205" t="s">
        <v>1761</v>
      </c>
      <c r="K3205" t="s">
        <v>1868</v>
      </c>
      <c r="L3205" t="s">
        <v>1750</v>
      </c>
      <c r="M3205">
        <v>0</v>
      </c>
      <c r="N3205" t="b">
        <v>1</v>
      </c>
      <c r="O3205">
        <v>158</v>
      </c>
      <c r="P3205" t="s">
        <v>1819</v>
      </c>
      <c r="Q3205" t="s">
        <v>1753</v>
      </c>
      <c r="R3205" t="s">
        <v>1772</v>
      </c>
    </row>
    <row r="3206" spans="1:18" x14ac:dyDescent="0.25">
      <c r="A3206" t="s">
        <v>6813</v>
      </c>
      <c r="B3206" t="s">
        <v>2150</v>
      </c>
      <c r="C3206" t="s">
        <v>4</v>
      </c>
      <c r="D3206" t="s">
        <v>6812</v>
      </c>
      <c r="E3206" s="2">
        <v>44862</v>
      </c>
      <c r="F3206">
        <v>749</v>
      </c>
      <c r="G3206" t="s">
        <v>1746</v>
      </c>
      <c r="H3206" t="s">
        <v>1747</v>
      </c>
      <c r="I3206" t="b">
        <v>0</v>
      </c>
      <c r="J3206" t="s">
        <v>1761</v>
      </c>
      <c r="K3206" t="s">
        <v>1868</v>
      </c>
      <c r="L3206" t="s">
        <v>1750</v>
      </c>
      <c r="M3206">
        <v>0</v>
      </c>
      <c r="N3206" t="b">
        <v>0</v>
      </c>
      <c r="O3206">
        <v>45</v>
      </c>
      <c r="P3206" t="s">
        <v>1752</v>
      </c>
      <c r="Q3206" t="s">
        <v>1753</v>
      </c>
      <c r="R3206" t="s">
        <v>1759</v>
      </c>
    </row>
    <row r="3207" spans="1:18" x14ac:dyDescent="0.25">
      <c r="A3207" t="s">
        <v>6815</v>
      </c>
      <c r="B3207" t="s">
        <v>2150</v>
      </c>
      <c r="C3207" t="s">
        <v>4</v>
      </c>
      <c r="D3207" t="s">
        <v>6814</v>
      </c>
      <c r="E3207" s="2">
        <v>45133</v>
      </c>
      <c r="F3207">
        <v>478</v>
      </c>
      <c r="G3207" t="s">
        <v>1746</v>
      </c>
      <c r="H3207" t="s">
        <v>1805</v>
      </c>
      <c r="I3207" t="b">
        <v>0</v>
      </c>
      <c r="J3207" t="s">
        <v>1748</v>
      </c>
      <c r="K3207" t="s">
        <v>1776</v>
      </c>
      <c r="L3207" t="s">
        <v>1750</v>
      </c>
      <c r="M3207">
        <v>0</v>
      </c>
      <c r="N3207" t="b">
        <v>1</v>
      </c>
      <c r="O3207">
        <v>247</v>
      </c>
      <c r="P3207" t="s">
        <v>1819</v>
      </c>
      <c r="Q3207" t="s">
        <v>1753</v>
      </c>
      <c r="R3207" t="s">
        <v>1759</v>
      </c>
    </row>
    <row r="3208" spans="1:18" x14ac:dyDescent="0.25">
      <c r="A3208" t="s">
        <v>6817</v>
      </c>
      <c r="B3208" t="s">
        <v>2173</v>
      </c>
      <c r="C3208" t="s">
        <v>4</v>
      </c>
      <c r="D3208" t="s">
        <v>6816</v>
      </c>
      <c r="E3208" s="2">
        <v>45342</v>
      </c>
      <c r="F3208">
        <v>269</v>
      </c>
      <c r="G3208" t="s">
        <v>1746</v>
      </c>
      <c r="H3208" t="s">
        <v>2231</v>
      </c>
      <c r="I3208" t="b">
        <v>1</v>
      </c>
      <c r="J3208" t="s">
        <v>1748</v>
      </c>
      <c r="K3208" t="s">
        <v>1822</v>
      </c>
      <c r="L3208" t="s">
        <v>1817</v>
      </c>
      <c r="M3208">
        <v>0</v>
      </c>
      <c r="N3208" t="b">
        <v>0</v>
      </c>
      <c r="O3208">
        <v>12</v>
      </c>
      <c r="P3208" t="s">
        <v>1819</v>
      </c>
      <c r="Q3208" t="s">
        <v>1753</v>
      </c>
    </row>
    <row r="3209" spans="1:18" x14ac:dyDescent="0.25">
      <c r="A3209" t="s">
        <v>6819</v>
      </c>
      <c r="B3209" t="s">
        <v>2483</v>
      </c>
      <c r="C3209" t="s">
        <v>4</v>
      </c>
      <c r="D3209" t="s">
        <v>6818</v>
      </c>
      <c r="E3209" s="2">
        <v>45127</v>
      </c>
      <c r="F3209">
        <v>484</v>
      </c>
      <c r="G3209" t="s">
        <v>1746</v>
      </c>
      <c r="H3209" t="s">
        <v>1798</v>
      </c>
      <c r="I3209" t="b">
        <v>0</v>
      </c>
      <c r="J3209" t="s">
        <v>1748</v>
      </c>
      <c r="K3209" t="s">
        <v>1776</v>
      </c>
      <c r="L3209" t="s">
        <v>1817</v>
      </c>
      <c r="M3209">
        <v>0</v>
      </c>
      <c r="N3209" t="b">
        <v>0</v>
      </c>
      <c r="O3209">
        <v>1008</v>
      </c>
      <c r="P3209" t="s">
        <v>1819</v>
      </c>
      <c r="Q3209" t="s">
        <v>1753</v>
      </c>
      <c r="R3209" t="s">
        <v>1759</v>
      </c>
    </row>
    <row r="3210" spans="1:18" x14ac:dyDescent="0.25">
      <c r="A3210" t="s">
        <v>6821</v>
      </c>
      <c r="B3210" t="s">
        <v>1907</v>
      </c>
      <c r="C3210" t="s">
        <v>186</v>
      </c>
      <c r="D3210" t="s">
        <v>6820</v>
      </c>
      <c r="E3210" s="2">
        <v>41568</v>
      </c>
      <c r="F3210">
        <v>4043</v>
      </c>
      <c r="G3210" t="s">
        <v>1746</v>
      </c>
      <c r="H3210" t="s">
        <v>1798</v>
      </c>
      <c r="I3210" t="b">
        <v>0</v>
      </c>
      <c r="J3210" t="s">
        <v>1748</v>
      </c>
      <c r="K3210" t="s">
        <v>1830</v>
      </c>
      <c r="L3210" t="s">
        <v>2102</v>
      </c>
      <c r="M3210">
        <v>0</v>
      </c>
      <c r="N3210" t="b">
        <v>0</v>
      </c>
      <c r="P3210" t="s">
        <v>2070</v>
      </c>
      <c r="Q3210" t="s">
        <v>1779</v>
      </c>
    </row>
    <row r="3211" spans="1:18" x14ac:dyDescent="0.25">
      <c r="A3211" t="s">
        <v>6823</v>
      </c>
      <c r="B3211" t="s">
        <v>5939</v>
      </c>
      <c r="C3211" t="s">
        <v>6258</v>
      </c>
      <c r="D3211" t="s">
        <v>6822</v>
      </c>
      <c r="E3211" s="2">
        <v>43090</v>
      </c>
      <c r="F3211">
        <v>2521</v>
      </c>
      <c r="G3211" t="s">
        <v>1746</v>
      </c>
      <c r="H3211" t="s">
        <v>1798</v>
      </c>
      <c r="I3211" t="b">
        <v>0</v>
      </c>
      <c r="J3211" t="s">
        <v>1748</v>
      </c>
      <c r="K3211" t="s">
        <v>2152</v>
      </c>
      <c r="L3211" t="s">
        <v>1756</v>
      </c>
      <c r="M3211">
        <v>0</v>
      </c>
      <c r="N3211" t="b">
        <v>0</v>
      </c>
      <c r="O3211">
        <v>20</v>
      </c>
      <c r="P3211" t="s">
        <v>1752</v>
      </c>
      <c r="Q3211" t="s">
        <v>1753</v>
      </c>
    </row>
    <row r="3212" spans="1:18" x14ac:dyDescent="0.25">
      <c r="A3212" t="s">
        <v>6825</v>
      </c>
      <c r="B3212" t="s">
        <v>1704</v>
      </c>
      <c r="C3212" t="s">
        <v>1249</v>
      </c>
      <c r="D3212" t="s">
        <v>6824</v>
      </c>
      <c r="E3212" s="2">
        <v>43684</v>
      </c>
      <c r="F3212">
        <v>1927</v>
      </c>
      <c r="G3212" t="s">
        <v>1746</v>
      </c>
      <c r="H3212" t="s">
        <v>1798</v>
      </c>
      <c r="I3212" t="b">
        <v>0</v>
      </c>
      <c r="J3212" t="s">
        <v>1748</v>
      </c>
      <c r="K3212" t="s">
        <v>1967</v>
      </c>
      <c r="L3212" t="s">
        <v>2102</v>
      </c>
      <c r="M3212">
        <v>0</v>
      </c>
      <c r="N3212" t="b">
        <v>0</v>
      </c>
      <c r="P3212" t="s">
        <v>2070</v>
      </c>
      <c r="Q3212" t="s">
        <v>1779</v>
      </c>
    </row>
    <row r="3213" spans="1:18" x14ac:dyDescent="0.25">
      <c r="A3213" t="s">
        <v>6827</v>
      </c>
      <c r="B3213" t="s">
        <v>2173</v>
      </c>
      <c r="C3213" t="s">
        <v>4</v>
      </c>
      <c r="D3213" t="s">
        <v>6826</v>
      </c>
      <c r="E3213" s="2">
        <v>45342</v>
      </c>
      <c r="F3213">
        <v>269</v>
      </c>
      <c r="G3213" t="s">
        <v>1746</v>
      </c>
      <c r="H3213" t="s">
        <v>2231</v>
      </c>
      <c r="I3213" t="b">
        <v>1</v>
      </c>
      <c r="J3213" t="s">
        <v>1748</v>
      </c>
      <c r="K3213" t="s">
        <v>1822</v>
      </c>
      <c r="L3213" t="s">
        <v>1817</v>
      </c>
      <c r="M3213">
        <v>0</v>
      </c>
      <c r="N3213" t="b">
        <v>0</v>
      </c>
      <c r="O3213">
        <v>289</v>
      </c>
      <c r="P3213" t="s">
        <v>1819</v>
      </c>
      <c r="Q3213" t="s">
        <v>1753</v>
      </c>
    </row>
    <row r="3214" spans="1:18" x14ac:dyDescent="0.25">
      <c r="A3214" t="s">
        <v>6829</v>
      </c>
      <c r="B3214" t="s">
        <v>5939</v>
      </c>
      <c r="C3214" t="s">
        <v>6258</v>
      </c>
      <c r="D3214" t="s">
        <v>6828</v>
      </c>
      <c r="E3214" s="2">
        <v>43136</v>
      </c>
      <c r="F3214">
        <v>2475</v>
      </c>
      <c r="G3214" t="s">
        <v>1746</v>
      </c>
      <c r="H3214" t="s">
        <v>1798</v>
      </c>
      <c r="I3214" t="b">
        <v>0</v>
      </c>
      <c r="J3214" t="s">
        <v>1748</v>
      </c>
      <c r="K3214" t="s">
        <v>2152</v>
      </c>
      <c r="L3214" t="s">
        <v>1750</v>
      </c>
      <c r="M3214">
        <v>0</v>
      </c>
      <c r="N3214" t="b">
        <v>0</v>
      </c>
      <c r="O3214">
        <v>7</v>
      </c>
      <c r="P3214" t="s">
        <v>1752</v>
      </c>
      <c r="Q3214" t="s">
        <v>1753</v>
      </c>
    </row>
    <row r="3215" spans="1:18" x14ac:dyDescent="0.25">
      <c r="A3215" t="s">
        <v>6831</v>
      </c>
      <c r="B3215" t="s">
        <v>5939</v>
      </c>
      <c r="C3215" t="s">
        <v>6258</v>
      </c>
      <c r="D3215" t="s">
        <v>6830</v>
      </c>
      <c r="E3215" s="2">
        <v>43090</v>
      </c>
      <c r="F3215">
        <v>2521</v>
      </c>
      <c r="G3215" t="s">
        <v>1746</v>
      </c>
      <c r="H3215" t="s">
        <v>1798</v>
      </c>
      <c r="I3215" t="b">
        <v>0</v>
      </c>
      <c r="J3215" t="s">
        <v>1748</v>
      </c>
      <c r="K3215" t="s">
        <v>2152</v>
      </c>
      <c r="L3215" t="s">
        <v>1750</v>
      </c>
      <c r="M3215">
        <v>0</v>
      </c>
      <c r="N3215" t="b">
        <v>0</v>
      </c>
      <c r="O3215">
        <v>18</v>
      </c>
      <c r="P3215" t="s">
        <v>1752</v>
      </c>
      <c r="Q3215" t="s">
        <v>1753</v>
      </c>
    </row>
    <row r="3216" spans="1:18" x14ac:dyDescent="0.25">
      <c r="A3216" t="s">
        <v>6833</v>
      </c>
      <c r="B3216" t="s">
        <v>2150</v>
      </c>
      <c r="C3216" t="s">
        <v>4</v>
      </c>
      <c r="D3216" t="s">
        <v>6832</v>
      </c>
      <c r="E3216" s="2">
        <v>45358</v>
      </c>
      <c r="F3216">
        <v>253</v>
      </c>
      <c r="G3216" t="s">
        <v>1746</v>
      </c>
      <c r="H3216" t="s">
        <v>1747</v>
      </c>
      <c r="I3216" t="b">
        <v>1</v>
      </c>
      <c r="J3216" t="s">
        <v>1748</v>
      </c>
      <c r="K3216" t="s">
        <v>1776</v>
      </c>
      <c r="L3216" t="s">
        <v>1817</v>
      </c>
      <c r="M3216">
        <v>0</v>
      </c>
      <c r="N3216" t="b">
        <v>0</v>
      </c>
      <c r="O3216">
        <v>1551</v>
      </c>
      <c r="P3216" t="s">
        <v>1819</v>
      </c>
      <c r="Q3216" t="s">
        <v>1753</v>
      </c>
      <c r="R3216" t="s">
        <v>1759</v>
      </c>
    </row>
    <row r="3217" spans="1:18" x14ac:dyDescent="0.25">
      <c r="A3217" t="s">
        <v>6835</v>
      </c>
      <c r="B3217" t="s">
        <v>2150</v>
      </c>
      <c r="C3217" t="s">
        <v>4</v>
      </c>
      <c r="D3217" t="s">
        <v>6834</v>
      </c>
      <c r="E3217" s="2">
        <v>45358</v>
      </c>
      <c r="F3217">
        <v>253</v>
      </c>
      <c r="G3217" t="s">
        <v>1746</v>
      </c>
      <c r="H3217" t="s">
        <v>1805</v>
      </c>
      <c r="I3217" t="b">
        <v>1</v>
      </c>
      <c r="J3217" t="s">
        <v>1761</v>
      </c>
      <c r="K3217" t="s">
        <v>1776</v>
      </c>
      <c r="L3217" t="s">
        <v>1817</v>
      </c>
      <c r="M3217">
        <v>0</v>
      </c>
      <c r="N3217" t="b">
        <v>0</v>
      </c>
      <c r="O3217">
        <v>1551</v>
      </c>
      <c r="P3217" t="s">
        <v>1819</v>
      </c>
      <c r="Q3217" t="s">
        <v>1753</v>
      </c>
      <c r="R3217" t="s">
        <v>1759</v>
      </c>
    </row>
    <row r="3218" spans="1:18" x14ac:dyDescent="0.25">
      <c r="A3218" t="s">
        <v>6837</v>
      </c>
      <c r="B3218" t="s">
        <v>2150</v>
      </c>
      <c r="C3218" t="s">
        <v>4</v>
      </c>
      <c r="D3218" t="s">
        <v>6836</v>
      </c>
      <c r="E3218" s="2">
        <v>45358</v>
      </c>
      <c r="F3218">
        <v>253</v>
      </c>
      <c r="G3218" t="s">
        <v>1746</v>
      </c>
      <c r="H3218" t="s">
        <v>1747</v>
      </c>
      <c r="I3218" t="b">
        <v>1</v>
      </c>
      <c r="J3218" t="s">
        <v>1761</v>
      </c>
      <c r="K3218" t="s">
        <v>1776</v>
      </c>
      <c r="L3218" t="s">
        <v>1817</v>
      </c>
      <c r="M3218">
        <v>0</v>
      </c>
      <c r="N3218" t="b">
        <v>0</v>
      </c>
      <c r="O3218">
        <v>1551</v>
      </c>
      <c r="P3218" t="s">
        <v>1819</v>
      </c>
      <c r="Q3218" t="s">
        <v>1753</v>
      </c>
      <c r="R3218" t="s">
        <v>1759</v>
      </c>
    </row>
    <row r="3219" spans="1:18" x14ac:dyDescent="0.25">
      <c r="A3219" t="s">
        <v>6839</v>
      </c>
      <c r="B3219" t="s">
        <v>2662</v>
      </c>
      <c r="C3219" t="s">
        <v>4</v>
      </c>
      <c r="D3219" t="s">
        <v>6838</v>
      </c>
      <c r="E3219" s="2">
        <v>45224</v>
      </c>
      <c r="F3219">
        <v>387</v>
      </c>
      <c r="G3219" t="s">
        <v>1746</v>
      </c>
      <c r="H3219" t="s">
        <v>1747</v>
      </c>
      <c r="I3219" t="b">
        <v>1</v>
      </c>
      <c r="J3219" t="s">
        <v>1761</v>
      </c>
      <c r="K3219" t="s">
        <v>1776</v>
      </c>
      <c r="L3219" t="s">
        <v>1817</v>
      </c>
      <c r="M3219">
        <v>0</v>
      </c>
      <c r="N3219" t="b">
        <v>0</v>
      </c>
      <c r="O3219">
        <v>457</v>
      </c>
      <c r="P3219" t="s">
        <v>1819</v>
      </c>
      <c r="Q3219" t="s">
        <v>1753</v>
      </c>
      <c r="R3219" t="s">
        <v>1759</v>
      </c>
    </row>
    <row r="3220" spans="1:18" x14ac:dyDescent="0.25">
      <c r="A3220" t="s">
        <v>6841</v>
      </c>
      <c r="B3220" t="s">
        <v>2173</v>
      </c>
      <c r="C3220" t="s">
        <v>4</v>
      </c>
      <c r="D3220" t="s">
        <v>6840</v>
      </c>
      <c r="E3220" s="2">
        <v>43228</v>
      </c>
      <c r="F3220">
        <v>2383</v>
      </c>
      <c r="G3220" t="s">
        <v>1746</v>
      </c>
      <c r="H3220" t="s">
        <v>2231</v>
      </c>
      <c r="I3220" t="b">
        <v>1</v>
      </c>
      <c r="J3220" t="s">
        <v>1748</v>
      </c>
      <c r="K3220" t="s">
        <v>1913</v>
      </c>
      <c r="L3220" t="s">
        <v>1750</v>
      </c>
      <c r="M3220">
        <v>0</v>
      </c>
      <c r="N3220" t="b">
        <v>0</v>
      </c>
      <c r="O3220">
        <v>252</v>
      </c>
      <c r="P3220" t="s">
        <v>1752</v>
      </c>
      <c r="Q3220" t="s">
        <v>1753</v>
      </c>
    </row>
    <row r="3221" spans="1:18" x14ac:dyDescent="0.25">
      <c r="A3221" t="s">
        <v>6843</v>
      </c>
      <c r="B3221" t="s">
        <v>5939</v>
      </c>
      <c r="C3221" t="s">
        <v>6258</v>
      </c>
      <c r="D3221" t="s">
        <v>6842</v>
      </c>
      <c r="E3221" s="2">
        <v>43136</v>
      </c>
      <c r="F3221">
        <v>2475</v>
      </c>
      <c r="G3221" t="s">
        <v>1746</v>
      </c>
      <c r="H3221" t="s">
        <v>1798</v>
      </c>
      <c r="I3221" t="b">
        <v>0</v>
      </c>
      <c r="J3221" t="s">
        <v>1748</v>
      </c>
      <c r="K3221" t="s">
        <v>2152</v>
      </c>
      <c r="L3221" t="s">
        <v>1750</v>
      </c>
      <c r="M3221">
        <v>0</v>
      </c>
      <c r="N3221" t="b">
        <v>0</v>
      </c>
      <c r="O3221">
        <v>12</v>
      </c>
      <c r="P3221" t="s">
        <v>1752</v>
      </c>
      <c r="Q3221" t="s">
        <v>1753</v>
      </c>
    </row>
    <row r="3222" spans="1:18" x14ac:dyDescent="0.25">
      <c r="A3222" t="s">
        <v>6845</v>
      </c>
      <c r="B3222" t="s">
        <v>5939</v>
      </c>
      <c r="C3222" t="s">
        <v>6258</v>
      </c>
      <c r="D3222" t="s">
        <v>6844</v>
      </c>
      <c r="E3222" s="2">
        <v>43136</v>
      </c>
      <c r="F3222">
        <v>2475</v>
      </c>
      <c r="G3222" t="s">
        <v>1746</v>
      </c>
      <c r="H3222" t="s">
        <v>1798</v>
      </c>
      <c r="I3222" t="b">
        <v>0</v>
      </c>
      <c r="J3222" t="s">
        <v>1748</v>
      </c>
      <c r="K3222" t="s">
        <v>2152</v>
      </c>
      <c r="L3222" t="s">
        <v>1750</v>
      </c>
      <c r="M3222">
        <v>0</v>
      </c>
      <c r="N3222" t="b">
        <v>0</v>
      </c>
      <c r="O3222">
        <v>3</v>
      </c>
      <c r="P3222" t="s">
        <v>1752</v>
      </c>
      <c r="Q3222" t="s">
        <v>1753</v>
      </c>
    </row>
    <row r="3223" spans="1:18" x14ac:dyDescent="0.25">
      <c r="A3223" t="s">
        <v>6847</v>
      </c>
      <c r="B3223" t="s">
        <v>1704</v>
      </c>
      <c r="C3223" t="s">
        <v>4</v>
      </c>
      <c r="D3223" t="s">
        <v>6846</v>
      </c>
      <c r="E3223" s="2">
        <v>45560</v>
      </c>
      <c r="F3223">
        <v>51</v>
      </c>
      <c r="G3223" t="s">
        <v>1833</v>
      </c>
      <c r="H3223" t="s">
        <v>1747</v>
      </c>
      <c r="I3223" t="b">
        <v>0</v>
      </c>
      <c r="J3223" t="s">
        <v>1761</v>
      </c>
      <c r="K3223" t="s">
        <v>1880</v>
      </c>
      <c r="L3223" t="s">
        <v>1750</v>
      </c>
      <c r="M3223">
        <v>0</v>
      </c>
      <c r="N3223" t="b">
        <v>1</v>
      </c>
      <c r="P3223" t="s">
        <v>1819</v>
      </c>
      <c r="Q3223" t="s">
        <v>1753</v>
      </c>
    </row>
    <row r="3224" spans="1:18" x14ac:dyDescent="0.25">
      <c r="A3224" t="s">
        <v>6849</v>
      </c>
      <c r="B3224" t="s">
        <v>2150</v>
      </c>
      <c r="C3224" t="s">
        <v>4</v>
      </c>
      <c r="D3224" t="s">
        <v>6848</v>
      </c>
      <c r="E3224" s="2">
        <v>44747</v>
      </c>
      <c r="F3224">
        <v>864</v>
      </c>
      <c r="G3224" t="s">
        <v>1746</v>
      </c>
      <c r="H3224" t="s">
        <v>1747</v>
      </c>
      <c r="I3224" t="b">
        <v>0</v>
      </c>
      <c r="J3224" t="s">
        <v>1761</v>
      </c>
      <c r="K3224" t="s">
        <v>1774</v>
      </c>
      <c r="L3224" t="s">
        <v>1750</v>
      </c>
      <c r="M3224">
        <v>0</v>
      </c>
      <c r="N3224" t="b">
        <v>1</v>
      </c>
      <c r="O3224">
        <v>418</v>
      </c>
      <c r="P3224" t="s">
        <v>1752</v>
      </c>
      <c r="Q3224" t="s">
        <v>1753</v>
      </c>
    </row>
    <row r="3225" spans="1:18" x14ac:dyDescent="0.25">
      <c r="A3225" t="s">
        <v>6851</v>
      </c>
      <c r="B3225" t="s">
        <v>1704</v>
      </c>
      <c r="C3225" t="s">
        <v>4</v>
      </c>
      <c r="D3225" t="s">
        <v>6850</v>
      </c>
      <c r="E3225" s="2">
        <v>45454</v>
      </c>
      <c r="F3225">
        <v>157</v>
      </c>
      <c r="G3225" t="s">
        <v>1746</v>
      </c>
      <c r="H3225" t="s">
        <v>1798</v>
      </c>
      <c r="I3225" t="b">
        <v>0</v>
      </c>
      <c r="J3225" t="s">
        <v>1761</v>
      </c>
      <c r="K3225" t="s">
        <v>1774</v>
      </c>
      <c r="L3225" t="s">
        <v>1750</v>
      </c>
      <c r="M3225">
        <v>0</v>
      </c>
      <c r="N3225" t="b">
        <v>1</v>
      </c>
      <c r="O3225">
        <v>293</v>
      </c>
      <c r="P3225" t="s">
        <v>1752</v>
      </c>
      <c r="Q3225" t="s">
        <v>1753</v>
      </c>
      <c r="R3225" t="s">
        <v>1828</v>
      </c>
    </row>
    <row r="3226" spans="1:18" x14ac:dyDescent="0.25">
      <c r="A3226" t="s">
        <v>6853</v>
      </c>
      <c r="B3226" t="s">
        <v>2040</v>
      </c>
      <c r="C3226" t="s">
        <v>6</v>
      </c>
      <c r="D3226" t="s">
        <v>6852</v>
      </c>
      <c r="E3226" s="2">
        <v>45349</v>
      </c>
      <c r="F3226">
        <v>262</v>
      </c>
      <c r="G3226" t="s">
        <v>1746</v>
      </c>
      <c r="H3226" t="s">
        <v>1798</v>
      </c>
      <c r="I3226" t="b">
        <v>0</v>
      </c>
      <c r="J3226" t="s">
        <v>1761</v>
      </c>
      <c r="K3226" t="s">
        <v>1824</v>
      </c>
      <c r="L3226" t="s">
        <v>1750</v>
      </c>
      <c r="M3226">
        <v>0</v>
      </c>
      <c r="N3226" t="b">
        <v>1</v>
      </c>
      <c r="O3226">
        <v>273</v>
      </c>
      <c r="P3226" t="s">
        <v>1819</v>
      </c>
      <c r="Q3226" t="s">
        <v>1753</v>
      </c>
      <c r="R3226" t="s">
        <v>1759</v>
      </c>
    </row>
    <row r="3227" spans="1:18" x14ac:dyDescent="0.25">
      <c r="A3227" t="s">
        <v>6855</v>
      </c>
      <c r="B3227" t="s">
        <v>4832</v>
      </c>
      <c r="C3227" t="s">
        <v>6</v>
      </c>
      <c r="D3227" t="s">
        <v>6854</v>
      </c>
      <c r="E3227" s="2">
        <v>45448</v>
      </c>
      <c r="F3227">
        <v>163</v>
      </c>
      <c r="G3227" t="s">
        <v>1746</v>
      </c>
      <c r="H3227" t="s">
        <v>1798</v>
      </c>
      <c r="I3227" t="b">
        <v>0</v>
      </c>
      <c r="J3227" t="s">
        <v>1761</v>
      </c>
      <c r="K3227" t="s">
        <v>1774</v>
      </c>
      <c r="L3227" t="s">
        <v>1750</v>
      </c>
      <c r="M3227">
        <v>0</v>
      </c>
      <c r="N3227" t="b">
        <v>1</v>
      </c>
      <c r="O3227">
        <v>211</v>
      </c>
      <c r="P3227" t="s">
        <v>1819</v>
      </c>
      <c r="Q3227" t="s">
        <v>1753</v>
      </c>
      <c r="R3227" t="s">
        <v>1759</v>
      </c>
    </row>
    <row r="3228" spans="1:18" x14ac:dyDescent="0.25">
      <c r="A3228" t="s">
        <v>6857</v>
      </c>
      <c r="B3228" t="s">
        <v>4832</v>
      </c>
      <c r="C3228" t="s">
        <v>6</v>
      </c>
      <c r="D3228" t="s">
        <v>6856</v>
      </c>
      <c r="E3228" s="2">
        <v>45448</v>
      </c>
      <c r="F3228">
        <v>163</v>
      </c>
      <c r="G3228" t="s">
        <v>1746</v>
      </c>
      <c r="H3228" t="s">
        <v>1798</v>
      </c>
      <c r="I3228" t="b">
        <v>0</v>
      </c>
      <c r="J3228" t="s">
        <v>1761</v>
      </c>
      <c r="K3228" t="s">
        <v>1774</v>
      </c>
      <c r="L3228" t="s">
        <v>1750</v>
      </c>
      <c r="M3228">
        <v>0</v>
      </c>
      <c r="N3228" t="b">
        <v>1</v>
      </c>
      <c r="O3228">
        <v>109</v>
      </c>
      <c r="P3228" t="s">
        <v>1819</v>
      </c>
      <c r="Q3228" t="s">
        <v>1753</v>
      </c>
      <c r="R3228" t="s">
        <v>1759</v>
      </c>
    </row>
    <row r="3229" spans="1:18" x14ac:dyDescent="0.25">
      <c r="A3229" t="s">
        <v>6859</v>
      </c>
      <c r="B3229" t="s">
        <v>1704</v>
      </c>
      <c r="C3229" t="s">
        <v>6</v>
      </c>
      <c r="D3229" t="s">
        <v>6858</v>
      </c>
      <c r="E3229" s="2">
        <v>45448</v>
      </c>
      <c r="F3229">
        <v>163</v>
      </c>
      <c r="G3229" t="s">
        <v>1746</v>
      </c>
      <c r="H3229" t="s">
        <v>1798</v>
      </c>
      <c r="I3229" t="b">
        <v>0</v>
      </c>
      <c r="J3229" t="s">
        <v>1761</v>
      </c>
      <c r="K3229" t="s">
        <v>1774</v>
      </c>
      <c r="L3229" t="s">
        <v>1750</v>
      </c>
      <c r="M3229">
        <v>0</v>
      </c>
      <c r="N3229" t="b">
        <v>1</v>
      </c>
      <c r="O3229">
        <v>237</v>
      </c>
      <c r="P3229" t="s">
        <v>1819</v>
      </c>
      <c r="Q3229" t="s">
        <v>1753</v>
      </c>
      <c r="R3229" t="s">
        <v>1759</v>
      </c>
    </row>
    <row r="3230" spans="1:18" x14ac:dyDescent="0.25">
      <c r="A3230" t="s">
        <v>6861</v>
      </c>
      <c r="B3230" t="s">
        <v>1907</v>
      </c>
      <c r="C3230" t="s">
        <v>186</v>
      </c>
      <c r="D3230" t="s">
        <v>6860</v>
      </c>
      <c r="E3230" s="2">
        <v>44998</v>
      </c>
      <c r="F3230">
        <v>613</v>
      </c>
      <c r="G3230" t="s">
        <v>1746</v>
      </c>
      <c r="H3230" t="s">
        <v>1747</v>
      </c>
      <c r="I3230" t="b">
        <v>0</v>
      </c>
      <c r="J3230" t="s">
        <v>1748</v>
      </c>
      <c r="K3230" t="s">
        <v>1777</v>
      </c>
      <c r="L3230" t="s">
        <v>1775</v>
      </c>
      <c r="M3230">
        <v>0</v>
      </c>
      <c r="N3230" t="b">
        <v>0</v>
      </c>
      <c r="P3230" t="s">
        <v>2283</v>
      </c>
      <c r="Q3230" t="s">
        <v>1705</v>
      </c>
    </row>
    <row r="3231" spans="1:18" x14ac:dyDescent="0.25">
      <c r="A3231" t="s">
        <v>6863</v>
      </c>
      <c r="B3231" t="s">
        <v>5939</v>
      </c>
      <c r="C3231" t="s">
        <v>6258</v>
      </c>
      <c r="D3231" t="s">
        <v>6862</v>
      </c>
      <c r="E3231" s="2">
        <v>43136</v>
      </c>
      <c r="F3231">
        <v>2475</v>
      </c>
      <c r="G3231" t="s">
        <v>1746</v>
      </c>
      <c r="H3231" t="s">
        <v>1798</v>
      </c>
      <c r="I3231" t="b">
        <v>0</v>
      </c>
      <c r="J3231" t="s">
        <v>1748</v>
      </c>
      <c r="K3231" t="s">
        <v>2152</v>
      </c>
      <c r="L3231" t="s">
        <v>1750</v>
      </c>
      <c r="M3231">
        <v>0</v>
      </c>
      <c r="N3231" t="b">
        <v>0</v>
      </c>
      <c r="O3231">
        <v>15</v>
      </c>
      <c r="P3231" t="s">
        <v>1752</v>
      </c>
      <c r="Q3231" t="s">
        <v>1753</v>
      </c>
    </row>
    <row r="3232" spans="1:18" x14ac:dyDescent="0.25">
      <c r="A3232" t="s">
        <v>6865</v>
      </c>
      <c r="B3232" t="s">
        <v>1907</v>
      </c>
      <c r="C3232" t="s">
        <v>186</v>
      </c>
      <c r="D3232" t="s">
        <v>6864</v>
      </c>
      <c r="E3232" s="2">
        <v>44998</v>
      </c>
      <c r="F3232">
        <v>613</v>
      </c>
      <c r="G3232" t="s">
        <v>1746</v>
      </c>
      <c r="H3232" t="s">
        <v>1747</v>
      </c>
      <c r="I3232" t="b">
        <v>0</v>
      </c>
      <c r="J3232" t="s">
        <v>1748</v>
      </c>
      <c r="K3232" t="s">
        <v>1777</v>
      </c>
      <c r="L3232" t="s">
        <v>1775</v>
      </c>
      <c r="M3232">
        <v>0</v>
      </c>
      <c r="N3232" t="b">
        <v>0</v>
      </c>
      <c r="P3232" t="s">
        <v>2283</v>
      </c>
      <c r="Q3232" t="s">
        <v>1705</v>
      </c>
    </row>
    <row r="3233" spans="1:18" x14ac:dyDescent="0.25">
      <c r="A3233" t="s">
        <v>6867</v>
      </c>
      <c r="B3233" t="s">
        <v>1704</v>
      </c>
      <c r="C3233" t="s">
        <v>4</v>
      </c>
      <c r="D3233" t="s">
        <v>6866</v>
      </c>
      <c r="E3233" s="2">
        <v>45454</v>
      </c>
      <c r="F3233">
        <v>157</v>
      </c>
      <c r="G3233" t="s">
        <v>1746</v>
      </c>
      <c r="H3233" t="s">
        <v>1798</v>
      </c>
      <c r="I3233" t="b">
        <v>0</v>
      </c>
      <c r="J3233" t="s">
        <v>1761</v>
      </c>
      <c r="K3233" t="s">
        <v>1774</v>
      </c>
      <c r="L3233" t="s">
        <v>1750</v>
      </c>
      <c r="M3233">
        <v>0</v>
      </c>
      <c r="N3233" t="b">
        <v>1</v>
      </c>
      <c r="O3233">
        <v>146</v>
      </c>
      <c r="P3233" t="s">
        <v>1752</v>
      </c>
      <c r="Q3233" t="s">
        <v>1753</v>
      </c>
      <c r="R3233" t="s">
        <v>1828</v>
      </c>
    </row>
    <row r="3234" spans="1:18" x14ac:dyDescent="0.25">
      <c r="A3234" t="s">
        <v>6869</v>
      </c>
      <c r="B3234" t="s">
        <v>1704</v>
      </c>
      <c r="C3234" t="s">
        <v>1249</v>
      </c>
      <c r="D3234" t="s">
        <v>6868</v>
      </c>
      <c r="E3234" s="2">
        <v>42871</v>
      </c>
      <c r="F3234">
        <v>2740</v>
      </c>
      <c r="G3234" t="s">
        <v>1746</v>
      </c>
      <c r="H3234" t="s">
        <v>1747</v>
      </c>
      <c r="I3234" t="b">
        <v>0</v>
      </c>
      <c r="J3234" t="s">
        <v>1748</v>
      </c>
      <c r="K3234" t="s">
        <v>1777</v>
      </c>
      <c r="L3234" t="s">
        <v>2102</v>
      </c>
      <c r="M3234">
        <v>0</v>
      </c>
      <c r="N3234" t="b">
        <v>0</v>
      </c>
      <c r="P3234" t="s">
        <v>2070</v>
      </c>
      <c r="Q3234" t="s">
        <v>1779</v>
      </c>
    </row>
    <row r="3235" spans="1:18" x14ac:dyDescent="0.25">
      <c r="A3235" t="s">
        <v>6871</v>
      </c>
      <c r="B3235" t="s">
        <v>1907</v>
      </c>
      <c r="C3235" t="s">
        <v>186</v>
      </c>
      <c r="D3235" t="s">
        <v>6870</v>
      </c>
      <c r="E3235" s="2">
        <v>44998</v>
      </c>
      <c r="F3235">
        <v>613</v>
      </c>
      <c r="G3235" t="s">
        <v>1746</v>
      </c>
      <c r="H3235" t="s">
        <v>1747</v>
      </c>
      <c r="I3235" t="b">
        <v>0</v>
      </c>
      <c r="J3235" t="s">
        <v>1748</v>
      </c>
      <c r="K3235" t="s">
        <v>1777</v>
      </c>
      <c r="L3235" t="s">
        <v>1775</v>
      </c>
      <c r="M3235">
        <v>0</v>
      </c>
      <c r="N3235" t="b">
        <v>0</v>
      </c>
      <c r="P3235" t="s">
        <v>2283</v>
      </c>
      <c r="Q3235" t="s">
        <v>1705</v>
      </c>
    </row>
    <row r="3236" spans="1:18" x14ac:dyDescent="0.25">
      <c r="A3236" t="s">
        <v>6873</v>
      </c>
      <c r="B3236" t="s">
        <v>5939</v>
      </c>
      <c r="C3236" t="s">
        <v>6258</v>
      </c>
      <c r="D3236" t="s">
        <v>6872</v>
      </c>
      <c r="E3236" s="2">
        <v>43136</v>
      </c>
      <c r="F3236">
        <v>2475</v>
      </c>
      <c r="G3236" t="s">
        <v>1746</v>
      </c>
      <c r="H3236" t="s">
        <v>1798</v>
      </c>
      <c r="I3236" t="b">
        <v>0</v>
      </c>
      <c r="J3236" t="s">
        <v>1748</v>
      </c>
      <c r="K3236" t="s">
        <v>2152</v>
      </c>
      <c r="L3236" t="s">
        <v>1750</v>
      </c>
      <c r="M3236">
        <v>0</v>
      </c>
      <c r="N3236" t="b">
        <v>0</v>
      </c>
      <c r="O3236">
        <v>1</v>
      </c>
      <c r="P3236" t="s">
        <v>1752</v>
      </c>
      <c r="Q3236" t="s">
        <v>1753</v>
      </c>
    </row>
    <row r="3237" spans="1:18" x14ac:dyDescent="0.25">
      <c r="A3237" t="s">
        <v>6875</v>
      </c>
      <c r="B3237" t="s">
        <v>1704</v>
      </c>
      <c r="C3237" t="s">
        <v>1249</v>
      </c>
      <c r="D3237" t="s">
        <v>6874</v>
      </c>
      <c r="E3237" s="2">
        <v>42864</v>
      </c>
      <c r="F3237">
        <v>2747</v>
      </c>
      <c r="G3237" t="s">
        <v>1746</v>
      </c>
      <c r="H3237" t="s">
        <v>1747</v>
      </c>
      <c r="I3237" t="b">
        <v>0</v>
      </c>
      <c r="J3237" t="s">
        <v>1748</v>
      </c>
      <c r="K3237" t="s">
        <v>1777</v>
      </c>
      <c r="L3237" t="s">
        <v>2102</v>
      </c>
      <c r="M3237">
        <v>0</v>
      </c>
      <c r="N3237" t="b">
        <v>0</v>
      </c>
      <c r="P3237" t="s">
        <v>2070</v>
      </c>
      <c r="Q3237" t="s">
        <v>1779</v>
      </c>
    </row>
    <row r="3238" spans="1:18" x14ac:dyDescent="0.25">
      <c r="A3238" t="s">
        <v>6877</v>
      </c>
      <c r="B3238" t="s">
        <v>2150</v>
      </c>
      <c r="C3238" t="s">
        <v>4</v>
      </c>
      <c r="D3238" t="s">
        <v>6876</v>
      </c>
      <c r="E3238" s="2">
        <v>45125</v>
      </c>
      <c r="F3238">
        <v>486</v>
      </c>
      <c r="G3238" t="s">
        <v>1746</v>
      </c>
      <c r="H3238" t="s">
        <v>1805</v>
      </c>
      <c r="I3238" t="b">
        <v>0</v>
      </c>
      <c r="J3238" t="s">
        <v>1761</v>
      </c>
      <c r="K3238" t="s">
        <v>1913</v>
      </c>
      <c r="L3238" t="s">
        <v>1750</v>
      </c>
      <c r="M3238">
        <v>0</v>
      </c>
      <c r="N3238" t="b">
        <v>0</v>
      </c>
      <c r="O3238">
        <v>146</v>
      </c>
      <c r="P3238" t="s">
        <v>1752</v>
      </c>
      <c r="Q3238" t="s">
        <v>1753</v>
      </c>
    </row>
    <row r="3239" spans="1:18" x14ac:dyDescent="0.25">
      <c r="A3239" t="s">
        <v>6879</v>
      </c>
      <c r="B3239" t="s">
        <v>1704</v>
      </c>
      <c r="C3239" t="s">
        <v>1249</v>
      </c>
      <c r="D3239" t="s">
        <v>6878</v>
      </c>
      <c r="E3239" s="2">
        <v>42843</v>
      </c>
      <c r="F3239">
        <v>2768</v>
      </c>
      <c r="G3239" t="s">
        <v>1746</v>
      </c>
      <c r="H3239" t="s">
        <v>1747</v>
      </c>
      <c r="I3239" t="b">
        <v>0</v>
      </c>
      <c r="J3239" t="s">
        <v>1748</v>
      </c>
      <c r="K3239" t="s">
        <v>1777</v>
      </c>
      <c r="L3239" t="s">
        <v>2102</v>
      </c>
      <c r="M3239">
        <v>0</v>
      </c>
      <c r="N3239" t="b">
        <v>0</v>
      </c>
      <c r="P3239" t="s">
        <v>2070</v>
      </c>
      <c r="Q3239" t="s">
        <v>1779</v>
      </c>
    </row>
    <row r="3240" spans="1:18" x14ac:dyDescent="0.25">
      <c r="A3240" t="s">
        <v>6881</v>
      </c>
      <c r="B3240" t="s">
        <v>1704</v>
      </c>
      <c r="C3240" t="s">
        <v>4</v>
      </c>
      <c r="D3240" t="s">
        <v>6880</v>
      </c>
      <c r="E3240" s="2">
        <v>45561</v>
      </c>
      <c r="F3240">
        <v>50</v>
      </c>
      <c r="G3240" t="s">
        <v>1746</v>
      </c>
      <c r="H3240" t="s">
        <v>1798</v>
      </c>
      <c r="I3240" t="b">
        <v>0</v>
      </c>
      <c r="J3240" t="s">
        <v>1748</v>
      </c>
      <c r="K3240" t="s">
        <v>1898</v>
      </c>
      <c r="L3240" t="s">
        <v>1766</v>
      </c>
      <c r="M3240">
        <v>0</v>
      </c>
      <c r="N3240" t="b">
        <v>0</v>
      </c>
      <c r="P3240" t="s">
        <v>1752</v>
      </c>
      <c r="Q3240" t="s">
        <v>1753</v>
      </c>
    </row>
    <row r="3241" spans="1:18" x14ac:dyDescent="0.25">
      <c r="A3241" t="s">
        <v>6883</v>
      </c>
      <c r="B3241" t="s">
        <v>1704</v>
      </c>
      <c r="C3241" t="s">
        <v>1249</v>
      </c>
      <c r="D3241" t="s">
        <v>6882</v>
      </c>
      <c r="E3241" s="2">
        <v>42864</v>
      </c>
      <c r="F3241">
        <v>2747</v>
      </c>
      <c r="G3241" t="s">
        <v>1746</v>
      </c>
      <c r="H3241" t="s">
        <v>1747</v>
      </c>
      <c r="I3241" t="b">
        <v>0</v>
      </c>
      <c r="J3241" t="s">
        <v>1748</v>
      </c>
      <c r="K3241" t="s">
        <v>1777</v>
      </c>
      <c r="L3241" t="s">
        <v>2102</v>
      </c>
      <c r="M3241">
        <v>0</v>
      </c>
      <c r="N3241" t="b">
        <v>0</v>
      </c>
      <c r="P3241" t="s">
        <v>2070</v>
      </c>
      <c r="Q3241" t="s">
        <v>1779</v>
      </c>
    </row>
    <row r="3242" spans="1:18" x14ac:dyDescent="0.25">
      <c r="A3242" t="s">
        <v>6884</v>
      </c>
      <c r="B3242" t="s">
        <v>2667</v>
      </c>
      <c r="C3242" t="s">
        <v>11</v>
      </c>
      <c r="D3242" t="s">
        <v>956</v>
      </c>
      <c r="E3242" s="2">
        <v>44491</v>
      </c>
      <c r="F3242">
        <v>1120</v>
      </c>
      <c r="G3242" t="s">
        <v>1746</v>
      </c>
      <c r="H3242" t="s">
        <v>1798</v>
      </c>
      <c r="I3242" t="b">
        <v>0</v>
      </c>
      <c r="J3242" t="s">
        <v>1748</v>
      </c>
      <c r="K3242" t="s">
        <v>1848</v>
      </c>
      <c r="L3242" t="s">
        <v>1756</v>
      </c>
      <c r="M3242">
        <v>0</v>
      </c>
      <c r="N3242" t="b">
        <v>0</v>
      </c>
      <c r="P3242" t="s">
        <v>1752</v>
      </c>
      <c r="Q3242" t="s">
        <v>1753</v>
      </c>
      <c r="R3242" t="s">
        <v>1759</v>
      </c>
    </row>
    <row r="3243" spans="1:18" x14ac:dyDescent="0.25">
      <c r="A3243" t="s">
        <v>6885</v>
      </c>
      <c r="B3243" t="s">
        <v>1876</v>
      </c>
      <c r="C3243" t="s">
        <v>4</v>
      </c>
      <c r="D3243" t="s">
        <v>268</v>
      </c>
      <c r="E3243" s="2">
        <v>44579</v>
      </c>
      <c r="F3243">
        <v>1032</v>
      </c>
      <c r="G3243" t="s">
        <v>1746</v>
      </c>
      <c r="H3243" t="s">
        <v>1747</v>
      </c>
      <c r="I3243" t="b">
        <v>0</v>
      </c>
      <c r="J3243" t="s">
        <v>1748</v>
      </c>
      <c r="K3243" t="s">
        <v>2007</v>
      </c>
      <c r="L3243" t="s">
        <v>1750</v>
      </c>
      <c r="M3243">
        <v>0</v>
      </c>
      <c r="N3243" t="b">
        <v>0</v>
      </c>
      <c r="P3243" t="s">
        <v>1752</v>
      </c>
      <c r="Q3243" t="s">
        <v>1753</v>
      </c>
    </row>
    <row r="3244" spans="1:18" x14ac:dyDescent="0.25">
      <c r="A3244" t="s">
        <v>6887</v>
      </c>
      <c r="B3244" t="s">
        <v>2836</v>
      </c>
      <c r="C3244" t="s">
        <v>4</v>
      </c>
      <c r="D3244" t="s">
        <v>6886</v>
      </c>
      <c r="E3244" s="2">
        <v>45356</v>
      </c>
      <c r="F3244">
        <v>255</v>
      </c>
      <c r="G3244" t="s">
        <v>1746</v>
      </c>
      <c r="H3244" t="s">
        <v>1747</v>
      </c>
      <c r="I3244" t="b">
        <v>0</v>
      </c>
      <c r="J3244" t="s">
        <v>1761</v>
      </c>
      <c r="K3244" t="s">
        <v>1812</v>
      </c>
      <c r="L3244" t="s">
        <v>1750</v>
      </c>
      <c r="N3244" t="b">
        <v>0</v>
      </c>
      <c r="O3244">
        <v>587</v>
      </c>
      <c r="P3244" t="s">
        <v>1752</v>
      </c>
      <c r="Q3244" t="s">
        <v>1753</v>
      </c>
    </row>
    <row r="3245" spans="1:18" x14ac:dyDescent="0.25">
      <c r="A3245" t="s">
        <v>6889</v>
      </c>
      <c r="B3245" t="s">
        <v>1704</v>
      </c>
      <c r="C3245" t="s">
        <v>4</v>
      </c>
      <c r="D3245" t="s">
        <v>6888</v>
      </c>
      <c r="E3245" s="2">
        <v>45560</v>
      </c>
      <c r="F3245">
        <v>51</v>
      </c>
      <c r="G3245" t="s">
        <v>1833</v>
      </c>
      <c r="H3245" t="s">
        <v>1747</v>
      </c>
      <c r="I3245" t="b">
        <v>0</v>
      </c>
      <c r="J3245" t="s">
        <v>1748</v>
      </c>
      <c r="K3245" t="s">
        <v>1793</v>
      </c>
      <c r="L3245" t="s">
        <v>1750</v>
      </c>
      <c r="N3245" t="b">
        <v>0</v>
      </c>
      <c r="P3245" t="s">
        <v>1752</v>
      </c>
      <c r="Q3245" t="s">
        <v>1753</v>
      </c>
      <c r="R3245" t="s">
        <v>1759</v>
      </c>
    </row>
    <row r="3246" spans="1:18" x14ac:dyDescent="0.25">
      <c r="A3246" t="s">
        <v>6891</v>
      </c>
      <c r="B3246" t="s">
        <v>1704</v>
      </c>
      <c r="C3246" t="s">
        <v>4</v>
      </c>
      <c r="D3246" t="s">
        <v>6890</v>
      </c>
      <c r="E3246" s="2">
        <v>45560</v>
      </c>
      <c r="F3246">
        <v>51</v>
      </c>
      <c r="G3246" t="s">
        <v>1833</v>
      </c>
      <c r="H3246" t="s">
        <v>1747</v>
      </c>
      <c r="I3246" t="b">
        <v>0</v>
      </c>
      <c r="J3246" t="s">
        <v>1748</v>
      </c>
      <c r="K3246" t="s">
        <v>1917</v>
      </c>
      <c r="L3246" t="s">
        <v>1750</v>
      </c>
      <c r="N3246" t="b">
        <v>0</v>
      </c>
      <c r="P3246" t="s">
        <v>1752</v>
      </c>
      <c r="Q3246" t="s">
        <v>1753</v>
      </c>
      <c r="R3246" t="s">
        <v>1759</v>
      </c>
    </row>
    <row r="3247" spans="1:18" x14ac:dyDescent="0.25">
      <c r="A3247" t="s">
        <v>6892</v>
      </c>
      <c r="B3247" t="s">
        <v>1876</v>
      </c>
      <c r="C3247" t="s">
        <v>4</v>
      </c>
      <c r="D3247" t="s">
        <v>196</v>
      </c>
      <c r="E3247" s="2">
        <v>44797</v>
      </c>
      <c r="F3247">
        <v>814</v>
      </c>
      <c r="G3247" t="s">
        <v>1746</v>
      </c>
      <c r="H3247" t="s">
        <v>1747</v>
      </c>
      <c r="I3247" t="b">
        <v>0</v>
      </c>
      <c r="J3247" t="s">
        <v>1748</v>
      </c>
      <c r="K3247" t="s">
        <v>1868</v>
      </c>
      <c r="L3247" t="s">
        <v>1750</v>
      </c>
      <c r="N3247" t="b">
        <v>1</v>
      </c>
      <c r="O3247">
        <v>50</v>
      </c>
      <c r="P3247" t="s">
        <v>1752</v>
      </c>
      <c r="Q3247" t="s">
        <v>1753</v>
      </c>
      <c r="R3247" t="s">
        <v>1759</v>
      </c>
    </row>
    <row r="3248" spans="1:18" x14ac:dyDescent="0.25">
      <c r="A3248" t="s">
        <v>6893</v>
      </c>
      <c r="B3248" t="s">
        <v>1876</v>
      </c>
      <c r="C3248" t="s">
        <v>4</v>
      </c>
      <c r="D3248" t="s">
        <v>197</v>
      </c>
      <c r="E3248" s="2">
        <v>44797</v>
      </c>
      <c r="F3248">
        <v>814</v>
      </c>
      <c r="G3248" t="s">
        <v>1746</v>
      </c>
      <c r="H3248" t="s">
        <v>1747</v>
      </c>
      <c r="I3248" t="b">
        <v>0</v>
      </c>
      <c r="J3248" t="s">
        <v>1748</v>
      </c>
      <c r="K3248" t="s">
        <v>1868</v>
      </c>
      <c r="L3248" t="s">
        <v>1750</v>
      </c>
      <c r="N3248" t="b">
        <v>1</v>
      </c>
      <c r="O3248">
        <v>50</v>
      </c>
      <c r="P3248" t="s">
        <v>1752</v>
      </c>
      <c r="Q3248" t="s">
        <v>1753</v>
      </c>
      <c r="R3248" t="s">
        <v>1759</v>
      </c>
    </row>
    <row r="3249" spans="1:18" x14ac:dyDescent="0.25">
      <c r="A3249" t="s">
        <v>6894</v>
      </c>
      <c r="B3249" t="s">
        <v>1876</v>
      </c>
      <c r="C3249" t="s">
        <v>4</v>
      </c>
      <c r="D3249" t="s">
        <v>198</v>
      </c>
      <c r="E3249" s="2">
        <v>44797</v>
      </c>
      <c r="F3249">
        <v>814</v>
      </c>
      <c r="G3249" t="s">
        <v>1746</v>
      </c>
      <c r="H3249" t="s">
        <v>1747</v>
      </c>
      <c r="I3249" t="b">
        <v>0</v>
      </c>
      <c r="J3249" t="s">
        <v>1748</v>
      </c>
      <c r="K3249" t="s">
        <v>1868</v>
      </c>
      <c r="L3249" t="s">
        <v>1750</v>
      </c>
      <c r="N3249" t="b">
        <v>1</v>
      </c>
      <c r="O3249">
        <v>41</v>
      </c>
      <c r="P3249" t="s">
        <v>1752</v>
      </c>
      <c r="Q3249" t="s">
        <v>1753</v>
      </c>
      <c r="R3249" t="s">
        <v>1759</v>
      </c>
    </row>
    <row r="3250" spans="1:18" x14ac:dyDescent="0.25">
      <c r="A3250" t="s">
        <v>6895</v>
      </c>
      <c r="B3250" t="s">
        <v>1876</v>
      </c>
      <c r="C3250" t="s">
        <v>4</v>
      </c>
      <c r="D3250" t="s">
        <v>199</v>
      </c>
      <c r="E3250" s="2">
        <v>44797</v>
      </c>
      <c r="F3250">
        <v>814</v>
      </c>
      <c r="G3250" t="s">
        <v>1746</v>
      </c>
      <c r="H3250" t="s">
        <v>1747</v>
      </c>
      <c r="I3250" t="b">
        <v>0</v>
      </c>
      <c r="J3250" t="s">
        <v>1748</v>
      </c>
      <c r="K3250" t="s">
        <v>1868</v>
      </c>
      <c r="L3250" t="s">
        <v>1750</v>
      </c>
      <c r="N3250" t="b">
        <v>1</v>
      </c>
      <c r="O3250">
        <v>50</v>
      </c>
      <c r="P3250" t="s">
        <v>1752</v>
      </c>
      <c r="Q3250" t="s">
        <v>1753</v>
      </c>
      <c r="R3250" t="s">
        <v>1759</v>
      </c>
    </row>
    <row r="3251" spans="1:18" x14ac:dyDescent="0.25">
      <c r="A3251" t="s">
        <v>6896</v>
      </c>
      <c r="B3251" t="s">
        <v>1876</v>
      </c>
      <c r="C3251" t="s">
        <v>4</v>
      </c>
      <c r="D3251" t="s">
        <v>204</v>
      </c>
      <c r="E3251" s="2">
        <v>45000</v>
      </c>
      <c r="F3251">
        <v>611</v>
      </c>
      <c r="G3251" t="s">
        <v>1746</v>
      </c>
      <c r="H3251" t="s">
        <v>1747</v>
      </c>
      <c r="I3251" t="b">
        <v>0</v>
      </c>
      <c r="J3251" t="s">
        <v>1761</v>
      </c>
      <c r="K3251" t="s">
        <v>1755</v>
      </c>
      <c r="L3251" t="s">
        <v>1750</v>
      </c>
      <c r="N3251" t="b">
        <v>1</v>
      </c>
      <c r="O3251">
        <v>247</v>
      </c>
      <c r="P3251" t="s">
        <v>1819</v>
      </c>
      <c r="Q3251" t="s">
        <v>1753</v>
      </c>
      <c r="R3251" t="s">
        <v>1759</v>
      </c>
    </row>
    <row r="3252" spans="1:18" x14ac:dyDescent="0.25">
      <c r="A3252" t="s">
        <v>6897</v>
      </c>
      <c r="B3252" t="s">
        <v>1876</v>
      </c>
      <c r="C3252" t="s">
        <v>4</v>
      </c>
      <c r="D3252" t="s">
        <v>208</v>
      </c>
      <c r="E3252" s="2">
        <v>44797</v>
      </c>
      <c r="F3252">
        <v>814</v>
      </c>
      <c r="G3252" t="s">
        <v>1746</v>
      </c>
      <c r="H3252" t="s">
        <v>1747</v>
      </c>
      <c r="I3252" t="b">
        <v>0</v>
      </c>
      <c r="J3252" t="s">
        <v>1748</v>
      </c>
      <c r="K3252" t="s">
        <v>1868</v>
      </c>
      <c r="L3252" t="s">
        <v>1750</v>
      </c>
      <c r="N3252" t="b">
        <v>1</v>
      </c>
      <c r="O3252">
        <v>50</v>
      </c>
      <c r="P3252" t="s">
        <v>1752</v>
      </c>
      <c r="Q3252" t="s">
        <v>1753</v>
      </c>
      <c r="R3252" t="s">
        <v>1759</v>
      </c>
    </row>
    <row r="3253" spans="1:18" x14ac:dyDescent="0.25">
      <c r="A3253" t="s">
        <v>6899</v>
      </c>
      <c r="B3253" t="s">
        <v>1704</v>
      </c>
      <c r="C3253" t="s">
        <v>4</v>
      </c>
      <c r="D3253" t="s">
        <v>6898</v>
      </c>
      <c r="E3253" s="2">
        <v>45461</v>
      </c>
      <c r="F3253">
        <v>150</v>
      </c>
      <c r="G3253" t="s">
        <v>1833</v>
      </c>
      <c r="H3253" t="s">
        <v>1798</v>
      </c>
      <c r="I3253" t="b">
        <v>0</v>
      </c>
      <c r="J3253" t="s">
        <v>1748</v>
      </c>
      <c r="K3253" t="s">
        <v>1755</v>
      </c>
      <c r="L3253" t="s">
        <v>1750</v>
      </c>
      <c r="N3253" t="b">
        <v>1</v>
      </c>
      <c r="O3253">
        <v>258</v>
      </c>
      <c r="P3253" t="s">
        <v>1819</v>
      </c>
      <c r="Q3253" t="s">
        <v>1753</v>
      </c>
      <c r="R3253" t="s">
        <v>1759</v>
      </c>
    </row>
    <row r="3254" spans="1:18" x14ac:dyDescent="0.25">
      <c r="A3254" t="s">
        <v>6901</v>
      </c>
      <c r="B3254" t="s">
        <v>2150</v>
      </c>
      <c r="C3254" t="s">
        <v>4</v>
      </c>
      <c r="D3254" t="s">
        <v>6900</v>
      </c>
      <c r="E3254" s="2">
        <v>45217</v>
      </c>
      <c r="F3254">
        <v>394</v>
      </c>
      <c r="G3254" t="s">
        <v>1833</v>
      </c>
      <c r="H3254" t="s">
        <v>1805</v>
      </c>
      <c r="I3254" t="b">
        <v>0</v>
      </c>
      <c r="J3254" t="s">
        <v>1748</v>
      </c>
      <c r="K3254" t="s">
        <v>1776</v>
      </c>
      <c r="L3254" t="s">
        <v>1750</v>
      </c>
      <c r="N3254" t="b">
        <v>1</v>
      </c>
      <c r="O3254">
        <v>258</v>
      </c>
      <c r="P3254" t="s">
        <v>1819</v>
      </c>
      <c r="Q3254" t="s">
        <v>1753</v>
      </c>
      <c r="R3254" t="s">
        <v>1759</v>
      </c>
    </row>
    <row r="3255" spans="1:18" x14ac:dyDescent="0.25">
      <c r="A3255" t="s">
        <v>6903</v>
      </c>
      <c r="B3255" t="s">
        <v>1978</v>
      </c>
      <c r="C3255" t="s">
        <v>4</v>
      </c>
      <c r="D3255" t="s">
        <v>6902</v>
      </c>
      <c r="E3255" s="2">
        <v>45217</v>
      </c>
      <c r="F3255">
        <v>394</v>
      </c>
      <c r="G3255" t="s">
        <v>1833</v>
      </c>
      <c r="H3255" t="s">
        <v>1798</v>
      </c>
      <c r="I3255" t="b">
        <v>0</v>
      </c>
      <c r="J3255" t="s">
        <v>1761</v>
      </c>
      <c r="K3255" t="s">
        <v>1755</v>
      </c>
      <c r="L3255" t="s">
        <v>1750</v>
      </c>
      <c r="N3255" t="b">
        <v>1</v>
      </c>
      <c r="O3255">
        <v>258</v>
      </c>
      <c r="P3255" t="s">
        <v>1819</v>
      </c>
      <c r="Q3255" t="s">
        <v>1753</v>
      </c>
      <c r="R3255" t="s">
        <v>1759</v>
      </c>
    </row>
    <row r="3256" spans="1:18" x14ac:dyDescent="0.25">
      <c r="A3256" t="s">
        <v>6905</v>
      </c>
      <c r="B3256" t="s">
        <v>2150</v>
      </c>
      <c r="C3256" t="s">
        <v>4</v>
      </c>
      <c r="D3256" t="s">
        <v>6904</v>
      </c>
      <c r="E3256" s="2">
        <v>44872</v>
      </c>
      <c r="F3256">
        <v>739</v>
      </c>
      <c r="G3256" t="s">
        <v>1833</v>
      </c>
      <c r="H3256" t="s">
        <v>1805</v>
      </c>
      <c r="I3256" t="b">
        <v>0</v>
      </c>
      <c r="J3256" t="s">
        <v>1748</v>
      </c>
      <c r="K3256" t="s">
        <v>2021</v>
      </c>
      <c r="L3256" t="s">
        <v>1750</v>
      </c>
      <c r="N3256" t="b">
        <v>1</v>
      </c>
      <c r="O3256">
        <v>295</v>
      </c>
      <c r="P3256" t="s">
        <v>1819</v>
      </c>
      <c r="Q3256" t="s">
        <v>1753</v>
      </c>
      <c r="R3256" t="s">
        <v>1759</v>
      </c>
    </row>
    <row r="3257" spans="1:18" x14ac:dyDescent="0.25">
      <c r="A3257" t="s">
        <v>6906</v>
      </c>
      <c r="B3257" t="s">
        <v>1876</v>
      </c>
      <c r="C3257" t="s">
        <v>4</v>
      </c>
      <c r="D3257" t="s">
        <v>211</v>
      </c>
      <c r="E3257" s="2">
        <v>44872</v>
      </c>
      <c r="F3257">
        <v>739</v>
      </c>
      <c r="G3257" t="s">
        <v>1833</v>
      </c>
      <c r="H3257" t="s">
        <v>1747</v>
      </c>
      <c r="I3257" t="b">
        <v>0</v>
      </c>
      <c r="J3257" t="s">
        <v>1761</v>
      </c>
      <c r="K3257" t="s">
        <v>1880</v>
      </c>
      <c r="L3257" t="s">
        <v>1750</v>
      </c>
      <c r="N3257" t="b">
        <v>1</v>
      </c>
      <c r="O3257">
        <v>295</v>
      </c>
      <c r="P3257" t="s">
        <v>1819</v>
      </c>
      <c r="Q3257" t="s">
        <v>1753</v>
      </c>
      <c r="R3257" t="s">
        <v>1759</v>
      </c>
    </row>
    <row r="3258" spans="1:18" x14ac:dyDescent="0.25">
      <c r="A3258" t="s">
        <v>6908</v>
      </c>
      <c r="B3258" t="s">
        <v>2177</v>
      </c>
      <c r="C3258" t="s">
        <v>4</v>
      </c>
      <c r="D3258" t="s">
        <v>6907</v>
      </c>
      <c r="E3258" s="2">
        <v>44943</v>
      </c>
      <c r="F3258">
        <v>668</v>
      </c>
      <c r="G3258" t="s">
        <v>1833</v>
      </c>
      <c r="H3258" t="s">
        <v>1747</v>
      </c>
      <c r="I3258" t="b">
        <v>0</v>
      </c>
      <c r="J3258" t="s">
        <v>1761</v>
      </c>
      <c r="K3258" t="s">
        <v>2021</v>
      </c>
      <c r="L3258" t="s">
        <v>1750</v>
      </c>
      <c r="N3258" t="b">
        <v>1</v>
      </c>
      <c r="O3258">
        <v>295</v>
      </c>
      <c r="P3258" t="s">
        <v>1819</v>
      </c>
      <c r="Q3258" t="s">
        <v>1753</v>
      </c>
      <c r="R3258" t="s">
        <v>1759</v>
      </c>
    </row>
    <row r="3259" spans="1:18" x14ac:dyDescent="0.25">
      <c r="A3259" t="s">
        <v>6910</v>
      </c>
      <c r="B3259" t="s">
        <v>2150</v>
      </c>
      <c r="C3259" t="s">
        <v>4</v>
      </c>
      <c r="D3259" t="s">
        <v>6909</v>
      </c>
      <c r="E3259" s="2">
        <v>45217</v>
      </c>
      <c r="F3259">
        <v>394</v>
      </c>
      <c r="G3259" t="s">
        <v>1746</v>
      </c>
      <c r="H3259" t="s">
        <v>1805</v>
      </c>
      <c r="I3259" t="b">
        <v>0</v>
      </c>
      <c r="J3259" t="s">
        <v>1748</v>
      </c>
      <c r="K3259" t="s">
        <v>1776</v>
      </c>
      <c r="L3259" t="s">
        <v>1750</v>
      </c>
      <c r="N3259" t="b">
        <v>1</v>
      </c>
      <c r="O3259">
        <v>354</v>
      </c>
      <c r="P3259" t="s">
        <v>1819</v>
      </c>
      <c r="Q3259" t="s">
        <v>1753</v>
      </c>
      <c r="R3259" t="s">
        <v>1759</v>
      </c>
    </row>
    <row r="3260" spans="1:18" x14ac:dyDescent="0.25">
      <c r="A3260" t="s">
        <v>6912</v>
      </c>
      <c r="B3260" t="s">
        <v>1704</v>
      </c>
      <c r="C3260" t="s">
        <v>4</v>
      </c>
      <c r="D3260" t="s">
        <v>6911</v>
      </c>
      <c r="E3260" s="2">
        <v>45217</v>
      </c>
      <c r="F3260">
        <v>394</v>
      </c>
      <c r="G3260" t="s">
        <v>1833</v>
      </c>
      <c r="H3260" t="s">
        <v>1798</v>
      </c>
      <c r="I3260" t="b">
        <v>0</v>
      </c>
      <c r="J3260" t="s">
        <v>1761</v>
      </c>
      <c r="K3260" t="s">
        <v>1776</v>
      </c>
      <c r="L3260" t="s">
        <v>1750</v>
      </c>
      <c r="N3260" t="b">
        <v>1</v>
      </c>
      <c r="O3260">
        <v>354</v>
      </c>
      <c r="P3260" t="s">
        <v>1819</v>
      </c>
      <c r="Q3260" t="s">
        <v>1753</v>
      </c>
      <c r="R3260" t="s">
        <v>1759</v>
      </c>
    </row>
    <row r="3261" spans="1:18" x14ac:dyDescent="0.25">
      <c r="A3261" t="s">
        <v>6914</v>
      </c>
      <c r="B3261" t="s">
        <v>1978</v>
      </c>
      <c r="C3261" t="s">
        <v>4</v>
      </c>
      <c r="D3261" t="s">
        <v>6913</v>
      </c>
      <c r="E3261" s="2">
        <v>45217</v>
      </c>
      <c r="F3261">
        <v>394</v>
      </c>
      <c r="G3261" t="s">
        <v>1833</v>
      </c>
      <c r="H3261" t="s">
        <v>1747</v>
      </c>
      <c r="I3261" t="b">
        <v>0</v>
      </c>
      <c r="J3261" t="s">
        <v>1761</v>
      </c>
      <c r="K3261" t="s">
        <v>1755</v>
      </c>
      <c r="L3261" t="s">
        <v>1750</v>
      </c>
      <c r="N3261" t="b">
        <v>1</v>
      </c>
      <c r="O3261">
        <v>354</v>
      </c>
      <c r="P3261" t="s">
        <v>1819</v>
      </c>
      <c r="Q3261" t="s">
        <v>1753</v>
      </c>
      <c r="R3261" t="s">
        <v>1759</v>
      </c>
    </row>
    <row r="3262" spans="1:18" x14ac:dyDescent="0.25">
      <c r="A3262" t="s">
        <v>6916</v>
      </c>
      <c r="B3262" t="s">
        <v>2071</v>
      </c>
      <c r="C3262" t="s">
        <v>4</v>
      </c>
      <c r="D3262" t="s">
        <v>6915</v>
      </c>
      <c r="E3262" s="2">
        <v>45364</v>
      </c>
      <c r="F3262">
        <v>247</v>
      </c>
      <c r="G3262" t="s">
        <v>1746</v>
      </c>
      <c r="H3262" t="s">
        <v>1747</v>
      </c>
      <c r="I3262" t="b">
        <v>0</v>
      </c>
      <c r="J3262" t="s">
        <v>1748</v>
      </c>
      <c r="K3262" t="s">
        <v>1853</v>
      </c>
      <c r="L3262" t="s">
        <v>1750</v>
      </c>
      <c r="N3262" t="b">
        <v>1</v>
      </c>
      <c r="O3262">
        <v>278</v>
      </c>
      <c r="P3262" t="s">
        <v>2266</v>
      </c>
      <c r="Q3262" t="s">
        <v>1753</v>
      </c>
      <c r="R3262" t="s">
        <v>1759</v>
      </c>
    </row>
    <row r="3263" spans="1:18" x14ac:dyDescent="0.25">
      <c r="A3263" t="s">
        <v>6918</v>
      </c>
      <c r="B3263" t="s">
        <v>3294</v>
      </c>
      <c r="C3263" t="s">
        <v>4</v>
      </c>
      <c r="D3263" t="s">
        <v>6917</v>
      </c>
      <c r="E3263" s="2">
        <v>45210</v>
      </c>
      <c r="F3263">
        <v>401</v>
      </c>
      <c r="G3263" t="s">
        <v>1746</v>
      </c>
      <c r="H3263" t="s">
        <v>1747</v>
      </c>
      <c r="I3263" t="b">
        <v>0</v>
      </c>
      <c r="J3263" t="s">
        <v>1748</v>
      </c>
      <c r="K3263" t="s">
        <v>1868</v>
      </c>
      <c r="L3263" t="s">
        <v>1750</v>
      </c>
      <c r="N3263" t="b">
        <v>1</v>
      </c>
      <c r="O3263">
        <v>134</v>
      </c>
      <c r="P3263" t="s">
        <v>1752</v>
      </c>
      <c r="Q3263" t="s">
        <v>1753</v>
      </c>
      <c r="R3263" t="s">
        <v>1759</v>
      </c>
    </row>
    <row r="3264" spans="1:18" x14ac:dyDescent="0.25">
      <c r="A3264" t="s">
        <v>6920</v>
      </c>
      <c r="B3264" t="s">
        <v>3294</v>
      </c>
      <c r="C3264" t="s">
        <v>4</v>
      </c>
      <c r="D3264" t="s">
        <v>6919</v>
      </c>
      <c r="E3264" s="2">
        <v>45351</v>
      </c>
      <c r="F3264">
        <v>260</v>
      </c>
      <c r="G3264" t="s">
        <v>1746</v>
      </c>
      <c r="H3264" t="s">
        <v>1798</v>
      </c>
      <c r="I3264" t="b">
        <v>1</v>
      </c>
      <c r="J3264" t="s">
        <v>1748</v>
      </c>
      <c r="K3264" t="s">
        <v>1757</v>
      </c>
      <c r="L3264" t="s">
        <v>1750</v>
      </c>
      <c r="N3264" t="b">
        <v>0</v>
      </c>
      <c r="O3264">
        <v>45</v>
      </c>
      <c r="P3264" t="s">
        <v>1752</v>
      </c>
      <c r="Q3264" t="s">
        <v>1753</v>
      </c>
    </row>
    <row r="3265" spans="1:18" x14ac:dyDescent="0.25">
      <c r="A3265" t="s">
        <v>6922</v>
      </c>
      <c r="B3265" t="s">
        <v>1876</v>
      </c>
      <c r="C3265" t="s">
        <v>4</v>
      </c>
      <c r="D3265" t="s">
        <v>6921</v>
      </c>
      <c r="E3265" s="2">
        <v>45539</v>
      </c>
      <c r="F3265">
        <v>72</v>
      </c>
      <c r="G3265" t="s">
        <v>1746</v>
      </c>
      <c r="H3265" t="s">
        <v>1747</v>
      </c>
      <c r="I3265" t="b">
        <v>1</v>
      </c>
      <c r="J3265" t="s">
        <v>1748</v>
      </c>
      <c r="K3265" t="s">
        <v>1755</v>
      </c>
      <c r="L3265" t="s">
        <v>1756</v>
      </c>
      <c r="N3265" t="b">
        <v>0</v>
      </c>
      <c r="O3265">
        <v>1399</v>
      </c>
      <c r="P3265" t="s">
        <v>1752</v>
      </c>
      <c r="Q3265" t="s">
        <v>1753</v>
      </c>
      <c r="R3265" t="s">
        <v>1759</v>
      </c>
    </row>
    <row r="3266" spans="1:18" x14ac:dyDescent="0.25">
      <c r="A3266" t="s">
        <v>6924</v>
      </c>
      <c r="B3266" t="s">
        <v>3294</v>
      </c>
      <c r="C3266" t="s">
        <v>4</v>
      </c>
      <c r="D3266" t="s">
        <v>6923</v>
      </c>
      <c r="E3266" s="2">
        <v>45581</v>
      </c>
      <c r="F3266">
        <v>30</v>
      </c>
      <c r="G3266" t="s">
        <v>1833</v>
      </c>
      <c r="H3266" t="s">
        <v>2001</v>
      </c>
      <c r="I3266" t="b">
        <v>0</v>
      </c>
      <c r="J3266" t="s">
        <v>1748</v>
      </c>
      <c r="K3266" t="s">
        <v>1830</v>
      </c>
      <c r="L3266" t="s">
        <v>1750</v>
      </c>
      <c r="N3266" t="b">
        <v>1</v>
      </c>
      <c r="P3266" t="s">
        <v>1752</v>
      </c>
      <c r="Q3266" t="s">
        <v>1753</v>
      </c>
    </row>
    <row r="3267" spans="1:18" x14ac:dyDescent="0.25">
      <c r="A3267" t="s">
        <v>6926</v>
      </c>
      <c r="B3267" t="s">
        <v>1704</v>
      </c>
      <c r="C3267" t="s">
        <v>2338</v>
      </c>
      <c r="D3267" t="s">
        <v>6925</v>
      </c>
      <c r="E3267" s="2">
        <v>45576</v>
      </c>
      <c r="F3267">
        <v>35</v>
      </c>
      <c r="G3267" t="s">
        <v>1746</v>
      </c>
      <c r="H3267" t="s">
        <v>1798</v>
      </c>
      <c r="I3267" t="b">
        <v>0</v>
      </c>
      <c r="J3267" t="s">
        <v>1748</v>
      </c>
      <c r="K3267" t="s">
        <v>1822</v>
      </c>
      <c r="L3267" t="s">
        <v>2102</v>
      </c>
      <c r="N3267" t="b">
        <v>0</v>
      </c>
      <c r="P3267" t="s">
        <v>1827</v>
      </c>
      <c r="Q3267" t="s">
        <v>1705</v>
      </c>
    </row>
    <row r="3268" spans="1:18" x14ac:dyDescent="0.25">
      <c r="A3268" t="s">
        <v>6928</v>
      </c>
      <c r="B3268" t="s">
        <v>1704</v>
      </c>
      <c r="C3268" t="s">
        <v>572</v>
      </c>
      <c r="D3268" t="s">
        <v>6927</v>
      </c>
      <c r="E3268" s="2">
        <v>44904</v>
      </c>
      <c r="F3268">
        <v>707</v>
      </c>
      <c r="G3268" t="s">
        <v>1746</v>
      </c>
      <c r="H3268" t="s">
        <v>1798</v>
      </c>
      <c r="I3268" t="b">
        <v>0</v>
      </c>
      <c r="J3268" t="s">
        <v>1748</v>
      </c>
      <c r="K3268" t="s">
        <v>1823</v>
      </c>
      <c r="L3268" t="s">
        <v>2102</v>
      </c>
      <c r="N3268" t="b">
        <v>0</v>
      </c>
      <c r="P3268" t="s">
        <v>2070</v>
      </c>
      <c r="Q3268" t="s">
        <v>1779</v>
      </c>
    </row>
    <row r="3269" spans="1:18" x14ac:dyDescent="0.25">
      <c r="A3269" t="s">
        <v>6930</v>
      </c>
      <c r="B3269" t="s">
        <v>1704</v>
      </c>
      <c r="C3269" t="s">
        <v>572</v>
      </c>
      <c r="D3269" t="s">
        <v>6929</v>
      </c>
      <c r="E3269" s="2">
        <v>45014</v>
      </c>
      <c r="F3269">
        <v>597</v>
      </c>
      <c r="G3269" t="s">
        <v>1746</v>
      </c>
      <c r="H3269" t="s">
        <v>1798</v>
      </c>
      <c r="I3269" t="b">
        <v>0</v>
      </c>
      <c r="J3269" t="s">
        <v>1748</v>
      </c>
      <c r="K3269" t="s">
        <v>1823</v>
      </c>
      <c r="L3269" t="s">
        <v>2102</v>
      </c>
      <c r="N3269" t="b">
        <v>0</v>
      </c>
      <c r="P3269" t="s">
        <v>2070</v>
      </c>
      <c r="Q3269" t="s">
        <v>1779</v>
      </c>
    </row>
    <row r="3270" spans="1:18" x14ac:dyDescent="0.25">
      <c r="A3270" t="s">
        <v>6932</v>
      </c>
      <c r="B3270" t="s">
        <v>1704</v>
      </c>
      <c r="C3270" t="s">
        <v>572</v>
      </c>
      <c r="D3270" t="s">
        <v>6931</v>
      </c>
      <c r="E3270" s="2">
        <v>44904</v>
      </c>
      <c r="F3270">
        <v>707</v>
      </c>
      <c r="G3270" t="s">
        <v>1746</v>
      </c>
      <c r="H3270" t="s">
        <v>1798</v>
      </c>
      <c r="I3270" t="b">
        <v>0</v>
      </c>
      <c r="J3270" t="s">
        <v>1748</v>
      </c>
      <c r="K3270" t="s">
        <v>1813</v>
      </c>
      <c r="L3270" t="s">
        <v>2102</v>
      </c>
      <c r="N3270" t="b">
        <v>0</v>
      </c>
      <c r="P3270" t="s">
        <v>1778</v>
      </c>
      <c r="Q3270" t="s">
        <v>1779</v>
      </c>
    </row>
    <row r="3271" spans="1:18" x14ac:dyDescent="0.25">
      <c r="A3271" t="s">
        <v>6934</v>
      </c>
      <c r="B3271" t="s">
        <v>1704</v>
      </c>
      <c r="C3271" t="s">
        <v>572</v>
      </c>
      <c r="D3271" t="s">
        <v>6933</v>
      </c>
      <c r="E3271" s="2">
        <v>44904</v>
      </c>
      <c r="F3271">
        <v>707</v>
      </c>
      <c r="G3271" t="s">
        <v>1746</v>
      </c>
      <c r="H3271" t="s">
        <v>1798</v>
      </c>
      <c r="I3271" t="b">
        <v>0</v>
      </c>
      <c r="J3271" t="s">
        <v>1748</v>
      </c>
      <c r="K3271" t="s">
        <v>1823</v>
      </c>
      <c r="L3271" t="s">
        <v>2102</v>
      </c>
      <c r="N3271" t="b">
        <v>0</v>
      </c>
      <c r="P3271" t="s">
        <v>2070</v>
      </c>
      <c r="Q3271" t="s">
        <v>1779</v>
      </c>
    </row>
    <row r="3272" spans="1:18" x14ac:dyDescent="0.25">
      <c r="A3272" t="s">
        <v>6936</v>
      </c>
      <c r="B3272" t="s">
        <v>1704</v>
      </c>
      <c r="C3272" t="s">
        <v>572</v>
      </c>
      <c r="D3272" t="s">
        <v>6935</v>
      </c>
      <c r="E3272" s="2">
        <v>44904</v>
      </c>
      <c r="F3272">
        <v>707</v>
      </c>
      <c r="G3272" t="s">
        <v>1746</v>
      </c>
      <c r="H3272" t="s">
        <v>1798</v>
      </c>
      <c r="I3272" t="b">
        <v>0</v>
      </c>
      <c r="J3272" t="s">
        <v>1748</v>
      </c>
      <c r="K3272" t="s">
        <v>1801</v>
      </c>
      <c r="L3272" t="s">
        <v>2102</v>
      </c>
      <c r="N3272" t="b">
        <v>0</v>
      </c>
      <c r="P3272" t="s">
        <v>2070</v>
      </c>
      <c r="Q3272" t="s">
        <v>1779</v>
      </c>
    </row>
    <row r="3273" spans="1:18" x14ac:dyDescent="0.25">
      <c r="A3273" t="s">
        <v>6938</v>
      </c>
      <c r="B3273" t="s">
        <v>1704</v>
      </c>
      <c r="C3273" t="s">
        <v>572</v>
      </c>
      <c r="D3273" t="s">
        <v>6937</v>
      </c>
      <c r="E3273" s="2">
        <v>44911</v>
      </c>
      <c r="F3273">
        <v>700</v>
      </c>
      <c r="G3273" t="s">
        <v>1746</v>
      </c>
      <c r="H3273" t="s">
        <v>1798</v>
      </c>
      <c r="I3273" t="b">
        <v>0</v>
      </c>
      <c r="J3273" t="s">
        <v>1748</v>
      </c>
      <c r="K3273" t="s">
        <v>1823</v>
      </c>
      <c r="L3273" t="s">
        <v>2102</v>
      </c>
      <c r="N3273" t="b">
        <v>0</v>
      </c>
      <c r="P3273" t="s">
        <v>2070</v>
      </c>
      <c r="Q3273" t="s">
        <v>1779</v>
      </c>
    </row>
    <row r="3274" spans="1:18" x14ac:dyDescent="0.25">
      <c r="A3274" t="s">
        <v>6940</v>
      </c>
      <c r="B3274" t="s">
        <v>1704</v>
      </c>
      <c r="C3274" t="s">
        <v>572</v>
      </c>
      <c r="D3274" t="s">
        <v>6939</v>
      </c>
      <c r="E3274" s="2">
        <v>44904</v>
      </c>
      <c r="F3274">
        <v>707</v>
      </c>
      <c r="G3274" t="s">
        <v>1746</v>
      </c>
      <c r="H3274" t="s">
        <v>1798</v>
      </c>
      <c r="I3274" t="b">
        <v>0</v>
      </c>
      <c r="J3274" t="s">
        <v>1748</v>
      </c>
      <c r="K3274" t="s">
        <v>1813</v>
      </c>
      <c r="L3274" t="s">
        <v>2102</v>
      </c>
      <c r="N3274" t="b">
        <v>0</v>
      </c>
      <c r="P3274" t="s">
        <v>1778</v>
      </c>
      <c r="Q3274" t="s">
        <v>1779</v>
      </c>
    </row>
    <row r="3275" spans="1:18" x14ac:dyDescent="0.25">
      <c r="A3275" t="s">
        <v>6942</v>
      </c>
      <c r="B3275" t="s">
        <v>2150</v>
      </c>
      <c r="C3275" t="s">
        <v>4</v>
      </c>
      <c r="D3275" t="s">
        <v>6941</v>
      </c>
      <c r="E3275" s="2">
        <v>44441</v>
      </c>
      <c r="F3275">
        <v>1170</v>
      </c>
      <c r="G3275" t="s">
        <v>1746</v>
      </c>
      <c r="H3275" t="s">
        <v>1747</v>
      </c>
      <c r="I3275" t="b">
        <v>0</v>
      </c>
      <c r="J3275" t="s">
        <v>1748</v>
      </c>
      <c r="K3275" t="s">
        <v>2042</v>
      </c>
      <c r="L3275" t="s">
        <v>1750</v>
      </c>
      <c r="N3275" t="b">
        <v>1</v>
      </c>
      <c r="P3275" t="s">
        <v>1819</v>
      </c>
      <c r="Q3275" t="s">
        <v>1753</v>
      </c>
      <c r="R3275" t="s">
        <v>2028</v>
      </c>
    </row>
    <row r="3276" spans="1:18" x14ac:dyDescent="0.25">
      <c r="A3276" t="s">
        <v>6944</v>
      </c>
      <c r="B3276" t="s">
        <v>2150</v>
      </c>
      <c r="C3276" t="s">
        <v>4</v>
      </c>
      <c r="D3276" t="s">
        <v>6943</v>
      </c>
      <c r="E3276" s="2">
        <v>44676</v>
      </c>
      <c r="F3276">
        <v>935</v>
      </c>
      <c r="G3276" t="s">
        <v>1746</v>
      </c>
      <c r="H3276" t="s">
        <v>1805</v>
      </c>
      <c r="I3276" t="b">
        <v>0</v>
      </c>
      <c r="J3276" t="s">
        <v>1748</v>
      </c>
      <c r="K3276" t="s">
        <v>1757</v>
      </c>
      <c r="L3276" t="s">
        <v>1817</v>
      </c>
      <c r="N3276" t="b">
        <v>1</v>
      </c>
      <c r="P3276" t="s">
        <v>1819</v>
      </c>
      <c r="Q3276" t="s">
        <v>1753</v>
      </c>
      <c r="R3276" t="s">
        <v>2028</v>
      </c>
    </row>
    <row r="3277" spans="1:18" x14ac:dyDescent="0.25">
      <c r="A3277" t="s">
        <v>6946</v>
      </c>
      <c r="B3277" t="s">
        <v>2150</v>
      </c>
      <c r="C3277" t="s">
        <v>4</v>
      </c>
      <c r="D3277" t="s">
        <v>6945</v>
      </c>
      <c r="E3277" s="2">
        <v>44720</v>
      </c>
      <c r="F3277">
        <v>891</v>
      </c>
      <c r="G3277" t="s">
        <v>1746</v>
      </c>
      <c r="H3277" t="s">
        <v>1805</v>
      </c>
      <c r="I3277" t="b">
        <v>0</v>
      </c>
      <c r="J3277" t="s">
        <v>1761</v>
      </c>
      <c r="K3277" t="s">
        <v>1757</v>
      </c>
      <c r="L3277" t="s">
        <v>1750</v>
      </c>
      <c r="N3277" t="b">
        <v>1</v>
      </c>
      <c r="P3277" t="s">
        <v>1819</v>
      </c>
      <c r="Q3277" t="s">
        <v>1753</v>
      </c>
      <c r="R3277" t="s">
        <v>2028</v>
      </c>
    </row>
    <row r="3278" spans="1:18" x14ac:dyDescent="0.25">
      <c r="A3278" t="s">
        <v>6948</v>
      </c>
      <c r="B3278" t="s">
        <v>1978</v>
      </c>
      <c r="C3278" t="s">
        <v>4</v>
      </c>
      <c r="D3278" t="s">
        <v>6947</v>
      </c>
      <c r="E3278" s="2">
        <v>45433</v>
      </c>
      <c r="F3278">
        <v>178</v>
      </c>
      <c r="G3278" t="s">
        <v>1746</v>
      </c>
      <c r="H3278" t="s">
        <v>1798</v>
      </c>
      <c r="I3278" t="b">
        <v>0</v>
      </c>
      <c r="J3278" t="s">
        <v>1748</v>
      </c>
      <c r="K3278" t="s">
        <v>1848</v>
      </c>
      <c r="L3278" t="s">
        <v>1775</v>
      </c>
      <c r="N3278" t="b">
        <v>0</v>
      </c>
      <c r="P3278" t="s">
        <v>2070</v>
      </c>
      <c r="Q3278" t="s">
        <v>1779</v>
      </c>
    </row>
    <row r="3279" spans="1:18" x14ac:dyDescent="0.25">
      <c r="A3279" t="s">
        <v>6950</v>
      </c>
      <c r="B3279" t="s">
        <v>2133</v>
      </c>
      <c r="C3279" t="s">
        <v>6</v>
      </c>
      <c r="D3279" t="s">
        <v>6949</v>
      </c>
      <c r="E3279" s="2">
        <v>43901</v>
      </c>
      <c r="F3279">
        <v>1710</v>
      </c>
      <c r="G3279" t="s">
        <v>1746</v>
      </c>
      <c r="H3279" t="s">
        <v>1747</v>
      </c>
      <c r="I3279" t="b">
        <v>1</v>
      </c>
      <c r="J3279" t="s">
        <v>1748</v>
      </c>
      <c r="K3279" t="s">
        <v>1755</v>
      </c>
      <c r="L3279" t="s">
        <v>1817</v>
      </c>
      <c r="N3279" t="b">
        <v>0</v>
      </c>
      <c r="O3279">
        <v>519</v>
      </c>
      <c r="P3279" t="s">
        <v>1819</v>
      </c>
      <c r="Q3279" t="s">
        <v>1753</v>
      </c>
      <c r="R3279" t="s">
        <v>1828</v>
      </c>
    </row>
    <row r="3280" spans="1:18" x14ac:dyDescent="0.25">
      <c r="A3280" t="s">
        <v>6951</v>
      </c>
      <c r="B3280" t="s">
        <v>2106</v>
      </c>
      <c r="C3280" t="s">
        <v>11</v>
      </c>
      <c r="D3280" t="s">
        <v>927</v>
      </c>
      <c r="E3280" s="2">
        <v>38895</v>
      </c>
      <c r="F3280">
        <v>6716</v>
      </c>
      <c r="G3280" t="s">
        <v>6952</v>
      </c>
      <c r="H3280" t="s">
        <v>1798</v>
      </c>
      <c r="I3280" t="b">
        <v>0</v>
      </c>
      <c r="J3280" t="s">
        <v>1748</v>
      </c>
      <c r="K3280" t="s">
        <v>2042</v>
      </c>
      <c r="L3280" t="s">
        <v>1766</v>
      </c>
      <c r="M3280">
        <v>837</v>
      </c>
      <c r="N3280" t="b">
        <v>0</v>
      </c>
      <c r="P3280" t="s">
        <v>1752</v>
      </c>
      <c r="Q3280" t="s">
        <v>1753</v>
      </c>
    </row>
    <row r="3281" spans="1:18" x14ac:dyDescent="0.25">
      <c r="A3281" t="s">
        <v>6953</v>
      </c>
      <c r="B3281" t="s">
        <v>2035</v>
      </c>
      <c r="C3281" t="s">
        <v>11</v>
      </c>
      <c r="D3281" t="s">
        <v>13</v>
      </c>
      <c r="E3281" s="2">
        <v>39980</v>
      </c>
      <c r="F3281">
        <v>5631</v>
      </c>
      <c r="G3281" t="s">
        <v>6952</v>
      </c>
      <c r="H3281" t="s">
        <v>1798</v>
      </c>
      <c r="I3281" t="b">
        <v>0</v>
      </c>
      <c r="J3281" t="s">
        <v>1748</v>
      </c>
      <c r="K3281" t="s">
        <v>1868</v>
      </c>
      <c r="L3281" t="s">
        <v>1766</v>
      </c>
      <c r="M3281">
        <v>820</v>
      </c>
      <c r="N3281" t="b">
        <v>0</v>
      </c>
      <c r="P3281" t="s">
        <v>1752</v>
      </c>
      <c r="Q3281" t="s">
        <v>1753</v>
      </c>
    </row>
    <row r="3282" spans="1:18" x14ac:dyDescent="0.25">
      <c r="A3282" t="s">
        <v>6954</v>
      </c>
      <c r="B3282" t="s">
        <v>1847</v>
      </c>
      <c r="C3282" t="s">
        <v>6</v>
      </c>
      <c r="D3282" t="s">
        <v>952</v>
      </c>
      <c r="E3282" s="2">
        <v>43664</v>
      </c>
      <c r="F3282">
        <v>1947</v>
      </c>
      <c r="G3282" t="s">
        <v>6952</v>
      </c>
      <c r="H3282" t="s">
        <v>1747</v>
      </c>
      <c r="I3282" t="b">
        <v>0</v>
      </c>
      <c r="J3282" t="s">
        <v>1748</v>
      </c>
      <c r="K3282" t="s">
        <v>1853</v>
      </c>
      <c r="L3282" t="s">
        <v>1766</v>
      </c>
      <c r="M3282">
        <v>815</v>
      </c>
      <c r="N3282" t="b">
        <v>0</v>
      </c>
      <c r="P3282" t="s">
        <v>1819</v>
      </c>
      <c r="Q3282" t="s">
        <v>1753</v>
      </c>
    </row>
    <row r="3283" spans="1:18" x14ac:dyDescent="0.25">
      <c r="A3283" t="s">
        <v>6955</v>
      </c>
      <c r="B3283" t="s">
        <v>1936</v>
      </c>
      <c r="C3283" t="s">
        <v>4</v>
      </c>
      <c r="D3283" t="s">
        <v>1422</v>
      </c>
      <c r="E3283" s="2">
        <v>41256</v>
      </c>
      <c r="F3283">
        <v>4355</v>
      </c>
      <c r="G3283" t="s">
        <v>6952</v>
      </c>
      <c r="H3283" t="s">
        <v>1747</v>
      </c>
      <c r="I3283" t="b">
        <v>0</v>
      </c>
      <c r="J3283" t="s">
        <v>1748</v>
      </c>
      <c r="K3283" t="s">
        <v>1848</v>
      </c>
      <c r="L3283" t="s">
        <v>2102</v>
      </c>
      <c r="M3283">
        <v>430</v>
      </c>
      <c r="N3283" t="b">
        <v>0</v>
      </c>
      <c r="P3283" t="s">
        <v>1752</v>
      </c>
      <c r="Q3283" t="s">
        <v>1705</v>
      </c>
    </row>
    <row r="3284" spans="1:18" x14ac:dyDescent="0.25">
      <c r="A3284" t="s">
        <v>6956</v>
      </c>
      <c r="B3284" t="s">
        <v>2060</v>
      </c>
      <c r="C3284" t="s">
        <v>6</v>
      </c>
      <c r="D3284" t="s">
        <v>1669</v>
      </c>
      <c r="E3284" s="2">
        <v>40255</v>
      </c>
      <c r="F3284">
        <v>5356</v>
      </c>
      <c r="G3284" t="s">
        <v>6952</v>
      </c>
      <c r="H3284" t="s">
        <v>1747</v>
      </c>
      <c r="I3284" t="b">
        <v>0</v>
      </c>
      <c r="J3284" t="s">
        <v>1748</v>
      </c>
      <c r="K3284" t="s">
        <v>2042</v>
      </c>
      <c r="L3284" t="s">
        <v>1766</v>
      </c>
      <c r="M3284">
        <v>416</v>
      </c>
      <c r="N3284" t="b">
        <v>0</v>
      </c>
      <c r="P3284" t="s">
        <v>1752</v>
      </c>
      <c r="Q3284" t="s">
        <v>1753</v>
      </c>
    </row>
    <row r="3285" spans="1:18" x14ac:dyDescent="0.25">
      <c r="A3285" t="s">
        <v>6957</v>
      </c>
      <c r="B3285" t="s">
        <v>2035</v>
      </c>
      <c r="C3285" t="s">
        <v>11</v>
      </c>
      <c r="D3285" t="s">
        <v>866</v>
      </c>
      <c r="E3285" s="2">
        <v>39175</v>
      </c>
      <c r="F3285">
        <v>6436</v>
      </c>
      <c r="G3285" t="s">
        <v>6952</v>
      </c>
      <c r="H3285" t="s">
        <v>1798</v>
      </c>
      <c r="I3285" t="b">
        <v>0</v>
      </c>
      <c r="J3285" t="s">
        <v>1748</v>
      </c>
      <c r="K3285" t="s">
        <v>2021</v>
      </c>
      <c r="L3285" t="s">
        <v>6958</v>
      </c>
      <c r="M3285">
        <v>214</v>
      </c>
      <c r="N3285" t="b">
        <v>0</v>
      </c>
      <c r="P3285" t="s">
        <v>1752</v>
      </c>
      <c r="Q3285" t="s">
        <v>1753</v>
      </c>
      <c r="R3285" t="s">
        <v>1828</v>
      </c>
    </row>
    <row r="3286" spans="1:18" x14ac:dyDescent="0.25">
      <c r="A3286" t="s">
        <v>6959</v>
      </c>
      <c r="B3286" t="s">
        <v>1810</v>
      </c>
      <c r="C3286" t="s">
        <v>6</v>
      </c>
      <c r="D3286" t="s">
        <v>1689</v>
      </c>
      <c r="E3286" s="2">
        <v>39238</v>
      </c>
      <c r="F3286">
        <v>6373</v>
      </c>
      <c r="G3286" t="s">
        <v>6952</v>
      </c>
      <c r="H3286" t="s">
        <v>1798</v>
      </c>
      <c r="I3286" t="b">
        <v>0</v>
      </c>
      <c r="J3286" t="s">
        <v>1748</v>
      </c>
      <c r="K3286" t="s">
        <v>2021</v>
      </c>
      <c r="L3286" t="s">
        <v>1766</v>
      </c>
      <c r="M3286">
        <v>191</v>
      </c>
      <c r="N3286" t="b">
        <v>0</v>
      </c>
      <c r="P3286" t="s">
        <v>1752</v>
      </c>
      <c r="Q3286" t="s">
        <v>1753</v>
      </c>
    </row>
    <row r="3287" spans="1:18" x14ac:dyDescent="0.25">
      <c r="A3287" t="s">
        <v>6961</v>
      </c>
      <c r="B3287" t="s">
        <v>2032</v>
      </c>
      <c r="C3287" t="s">
        <v>4</v>
      </c>
      <c r="D3287" t="s">
        <v>6960</v>
      </c>
      <c r="E3287" s="2">
        <v>43846</v>
      </c>
      <c r="F3287">
        <v>1765</v>
      </c>
      <c r="G3287" t="s">
        <v>6952</v>
      </c>
      <c r="H3287" t="s">
        <v>1747</v>
      </c>
      <c r="I3287" t="b">
        <v>0</v>
      </c>
      <c r="J3287" t="s">
        <v>1748</v>
      </c>
      <c r="K3287" t="s">
        <v>1808</v>
      </c>
      <c r="L3287" t="s">
        <v>2102</v>
      </c>
      <c r="M3287">
        <v>179</v>
      </c>
      <c r="N3287" t="b">
        <v>0</v>
      </c>
      <c r="P3287" t="s">
        <v>2070</v>
      </c>
      <c r="Q3287" t="s">
        <v>1753</v>
      </c>
    </row>
    <row r="3288" spans="1:18" x14ac:dyDescent="0.25">
      <c r="A3288" t="s">
        <v>6962</v>
      </c>
      <c r="B3288" t="s">
        <v>1936</v>
      </c>
      <c r="C3288" t="s">
        <v>4</v>
      </c>
      <c r="D3288" t="s">
        <v>1440</v>
      </c>
      <c r="E3288" s="2">
        <v>41256</v>
      </c>
      <c r="F3288">
        <v>4355</v>
      </c>
      <c r="G3288" t="s">
        <v>6952</v>
      </c>
      <c r="H3288" t="s">
        <v>1747</v>
      </c>
      <c r="I3288" t="b">
        <v>0</v>
      </c>
      <c r="J3288" t="s">
        <v>1748</v>
      </c>
      <c r="K3288" t="s">
        <v>1848</v>
      </c>
      <c r="L3288" t="s">
        <v>2102</v>
      </c>
      <c r="M3288">
        <v>142</v>
      </c>
      <c r="N3288" t="b">
        <v>0</v>
      </c>
      <c r="P3288" t="s">
        <v>1752</v>
      </c>
      <c r="Q3288" t="s">
        <v>1705</v>
      </c>
    </row>
    <row r="3289" spans="1:18" x14ac:dyDescent="0.25">
      <c r="A3289" t="s">
        <v>6964</v>
      </c>
      <c r="B3289" t="s">
        <v>2854</v>
      </c>
      <c r="C3289" t="s">
        <v>11</v>
      </c>
      <c r="D3289" t="s">
        <v>6963</v>
      </c>
      <c r="E3289" s="2">
        <v>39608</v>
      </c>
      <c r="F3289">
        <v>6003</v>
      </c>
      <c r="G3289" t="s">
        <v>6952</v>
      </c>
      <c r="H3289" t="s">
        <v>1798</v>
      </c>
      <c r="I3289" t="b">
        <v>0</v>
      </c>
      <c r="J3289" t="s">
        <v>1748</v>
      </c>
      <c r="K3289" t="s">
        <v>2021</v>
      </c>
      <c r="L3289" t="s">
        <v>1766</v>
      </c>
      <c r="M3289">
        <v>141</v>
      </c>
      <c r="N3289" t="b">
        <v>0</v>
      </c>
      <c r="P3289" t="s">
        <v>1752</v>
      </c>
      <c r="Q3289" t="s">
        <v>1753</v>
      </c>
    </row>
    <row r="3290" spans="1:18" x14ac:dyDescent="0.25">
      <c r="A3290" t="s">
        <v>6966</v>
      </c>
      <c r="B3290" t="s">
        <v>2060</v>
      </c>
      <c r="C3290" t="s">
        <v>6</v>
      </c>
      <c r="D3290" t="s">
        <v>6965</v>
      </c>
      <c r="E3290" s="2">
        <v>40255</v>
      </c>
      <c r="F3290">
        <v>5356</v>
      </c>
      <c r="G3290" t="s">
        <v>6952</v>
      </c>
      <c r="H3290" t="s">
        <v>1798</v>
      </c>
      <c r="I3290" t="b">
        <v>0</v>
      </c>
      <c r="J3290" t="s">
        <v>1748</v>
      </c>
      <c r="K3290" t="s">
        <v>2042</v>
      </c>
      <c r="L3290" t="s">
        <v>1766</v>
      </c>
      <c r="M3290">
        <v>120</v>
      </c>
      <c r="N3290" t="b">
        <v>0</v>
      </c>
      <c r="P3290" t="s">
        <v>1752</v>
      </c>
      <c r="Q3290" t="s">
        <v>1753</v>
      </c>
    </row>
    <row r="3291" spans="1:18" x14ac:dyDescent="0.25">
      <c r="A3291" t="s">
        <v>6967</v>
      </c>
      <c r="B3291" t="s">
        <v>1945</v>
      </c>
      <c r="C3291" t="s">
        <v>6</v>
      </c>
      <c r="D3291" t="s">
        <v>842</v>
      </c>
      <c r="E3291" s="2">
        <v>38869</v>
      </c>
      <c r="F3291">
        <v>6742</v>
      </c>
      <c r="G3291" t="s">
        <v>6952</v>
      </c>
      <c r="H3291" t="s">
        <v>1798</v>
      </c>
      <c r="I3291" t="b">
        <v>0</v>
      </c>
      <c r="J3291" t="s">
        <v>1748</v>
      </c>
      <c r="K3291" t="s">
        <v>1880</v>
      </c>
      <c r="L3291" t="s">
        <v>1766</v>
      </c>
      <c r="M3291">
        <v>115</v>
      </c>
      <c r="N3291" t="b">
        <v>0</v>
      </c>
      <c r="P3291" t="s">
        <v>1752</v>
      </c>
      <c r="Q3291" t="s">
        <v>1753</v>
      </c>
    </row>
    <row r="3292" spans="1:18" x14ac:dyDescent="0.25">
      <c r="A3292" t="s">
        <v>6968</v>
      </c>
      <c r="B3292" t="s">
        <v>1945</v>
      </c>
      <c r="C3292" t="s">
        <v>11</v>
      </c>
      <c r="D3292" t="s">
        <v>868</v>
      </c>
      <c r="E3292" s="2">
        <v>39237</v>
      </c>
      <c r="F3292">
        <v>6374</v>
      </c>
      <c r="G3292" t="s">
        <v>6952</v>
      </c>
      <c r="H3292" t="s">
        <v>1798</v>
      </c>
      <c r="I3292" t="b">
        <v>0</v>
      </c>
      <c r="J3292" t="s">
        <v>1748</v>
      </c>
      <c r="K3292" t="s">
        <v>2021</v>
      </c>
      <c r="L3292" t="s">
        <v>1766</v>
      </c>
      <c r="M3292">
        <v>110</v>
      </c>
      <c r="N3292" t="b">
        <v>0</v>
      </c>
      <c r="P3292" t="s">
        <v>1752</v>
      </c>
      <c r="Q3292" t="s">
        <v>1753</v>
      </c>
      <c r="R3292" t="s">
        <v>1828</v>
      </c>
    </row>
    <row r="3293" spans="1:18" x14ac:dyDescent="0.25">
      <c r="A3293" t="s">
        <v>6969</v>
      </c>
      <c r="B3293" t="s">
        <v>2060</v>
      </c>
      <c r="C3293" t="s">
        <v>6</v>
      </c>
      <c r="D3293" t="s">
        <v>1675</v>
      </c>
      <c r="E3293" s="2">
        <v>39462</v>
      </c>
      <c r="F3293">
        <v>6149</v>
      </c>
      <c r="G3293" t="s">
        <v>6952</v>
      </c>
      <c r="H3293" t="s">
        <v>1747</v>
      </c>
      <c r="I3293" t="b">
        <v>0</v>
      </c>
      <c r="J3293" t="s">
        <v>1748</v>
      </c>
      <c r="K3293" t="s">
        <v>1868</v>
      </c>
      <c r="L3293" t="s">
        <v>1766</v>
      </c>
      <c r="M3293">
        <v>97</v>
      </c>
      <c r="N3293" t="b">
        <v>0</v>
      </c>
      <c r="P3293" t="s">
        <v>1752</v>
      </c>
      <c r="Q3293" t="s">
        <v>1753</v>
      </c>
    </row>
    <row r="3294" spans="1:18" x14ac:dyDescent="0.25">
      <c r="A3294" t="s">
        <v>6970</v>
      </c>
      <c r="B3294" t="s">
        <v>1936</v>
      </c>
      <c r="C3294" t="s">
        <v>186</v>
      </c>
      <c r="D3294" t="s">
        <v>1366</v>
      </c>
      <c r="E3294" s="2">
        <v>39518</v>
      </c>
      <c r="F3294">
        <v>6093</v>
      </c>
      <c r="G3294" t="s">
        <v>6952</v>
      </c>
      <c r="H3294" t="s">
        <v>1747</v>
      </c>
      <c r="I3294" t="b">
        <v>0</v>
      </c>
      <c r="J3294" t="s">
        <v>1748</v>
      </c>
      <c r="K3294" t="s">
        <v>1974</v>
      </c>
      <c r="L3294" t="s">
        <v>2102</v>
      </c>
      <c r="M3294">
        <v>86</v>
      </c>
      <c r="N3294" t="b">
        <v>0</v>
      </c>
      <c r="P3294" t="s">
        <v>2070</v>
      </c>
      <c r="Q3294" t="s">
        <v>1779</v>
      </c>
    </row>
    <row r="3295" spans="1:18" x14ac:dyDescent="0.25">
      <c r="A3295" t="s">
        <v>6971</v>
      </c>
      <c r="B3295" t="s">
        <v>2997</v>
      </c>
      <c r="C3295" t="s">
        <v>11</v>
      </c>
      <c r="D3295" t="s">
        <v>880</v>
      </c>
      <c r="E3295" s="2">
        <v>39486</v>
      </c>
      <c r="F3295">
        <v>6125</v>
      </c>
      <c r="G3295" t="s">
        <v>6952</v>
      </c>
      <c r="H3295" t="s">
        <v>1798</v>
      </c>
      <c r="I3295" t="b">
        <v>0</v>
      </c>
      <c r="J3295" t="s">
        <v>1761</v>
      </c>
      <c r="K3295" t="s">
        <v>2042</v>
      </c>
      <c r="L3295" t="s">
        <v>6958</v>
      </c>
      <c r="M3295">
        <v>85</v>
      </c>
      <c r="N3295" t="b">
        <v>0</v>
      </c>
      <c r="P3295" t="s">
        <v>1752</v>
      </c>
      <c r="Q3295" t="s">
        <v>1753</v>
      </c>
    </row>
    <row r="3296" spans="1:18" x14ac:dyDescent="0.25">
      <c r="A3296" t="s">
        <v>6972</v>
      </c>
      <c r="B3296" t="s">
        <v>1781</v>
      </c>
      <c r="C3296" t="s">
        <v>4</v>
      </c>
      <c r="D3296" t="s">
        <v>1444</v>
      </c>
      <c r="E3296" s="2">
        <v>41263</v>
      </c>
      <c r="F3296">
        <v>4348</v>
      </c>
      <c r="G3296" t="s">
        <v>6952</v>
      </c>
      <c r="H3296" t="s">
        <v>1747</v>
      </c>
      <c r="I3296" t="b">
        <v>0</v>
      </c>
      <c r="J3296" t="s">
        <v>1748</v>
      </c>
      <c r="K3296" t="s">
        <v>1777</v>
      </c>
      <c r="L3296" t="s">
        <v>2102</v>
      </c>
      <c r="M3296">
        <v>84</v>
      </c>
      <c r="N3296" t="b">
        <v>0</v>
      </c>
      <c r="P3296" t="s">
        <v>1778</v>
      </c>
      <c r="Q3296" t="s">
        <v>1779</v>
      </c>
    </row>
    <row r="3297" spans="1:18" x14ac:dyDescent="0.25">
      <c r="A3297" t="s">
        <v>6973</v>
      </c>
      <c r="B3297" t="s">
        <v>1936</v>
      </c>
      <c r="C3297" t="s">
        <v>4</v>
      </c>
      <c r="D3297" t="s">
        <v>1423</v>
      </c>
      <c r="E3297" s="2">
        <v>41256</v>
      </c>
      <c r="F3297">
        <v>4355</v>
      </c>
      <c r="G3297" t="s">
        <v>6952</v>
      </c>
      <c r="H3297" t="s">
        <v>1747</v>
      </c>
      <c r="I3297" t="b">
        <v>0</v>
      </c>
      <c r="J3297" t="s">
        <v>1748</v>
      </c>
      <c r="K3297" t="s">
        <v>1834</v>
      </c>
      <c r="L3297" t="s">
        <v>2102</v>
      </c>
      <c r="M3297">
        <v>67</v>
      </c>
      <c r="N3297" t="b">
        <v>0</v>
      </c>
      <c r="P3297" t="s">
        <v>1752</v>
      </c>
      <c r="Q3297" t="s">
        <v>1705</v>
      </c>
    </row>
    <row r="3298" spans="1:18" x14ac:dyDescent="0.25">
      <c r="A3298" t="s">
        <v>6974</v>
      </c>
      <c r="B3298" t="s">
        <v>2071</v>
      </c>
      <c r="C3298" t="s">
        <v>4</v>
      </c>
      <c r="D3298" t="s">
        <v>304</v>
      </c>
      <c r="E3298" s="2">
        <v>44594</v>
      </c>
      <c r="F3298">
        <v>1017</v>
      </c>
      <c r="G3298" t="s">
        <v>6952</v>
      </c>
      <c r="H3298" t="s">
        <v>1747</v>
      </c>
      <c r="I3298" t="b">
        <v>0</v>
      </c>
      <c r="J3298" t="s">
        <v>1748</v>
      </c>
      <c r="K3298" t="s">
        <v>1777</v>
      </c>
      <c r="L3298" t="s">
        <v>2102</v>
      </c>
      <c r="M3298">
        <v>63</v>
      </c>
      <c r="N3298" t="b">
        <v>0</v>
      </c>
      <c r="P3298" t="s">
        <v>1752</v>
      </c>
      <c r="Q3298" t="s">
        <v>1705</v>
      </c>
    </row>
    <row r="3299" spans="1:18" x14ac:dyDescent="0.25">
      <c r="A3299" t="s">
        <v>6975</v>
      </c>
      <c r="B3299" t="s">
        <v>1781</v>
      </c>
      <c r="C3299" t="s">
        <v>4</v>
      </c>
      <c r="D3299" t="s">
        <v>1396</v>
      </c>
      <c r="E3299" s="2">
        <v>41982</v>
      </c>
      <c r="F3299">
        <v>3629</v>
      </c>
      <c r="G3299" t="s">
        <v>6952</v>
      </c>
      <c r="H3299" t="s">
        <v>1798</v>
      </c>
      <c r="I3299" t="b">
        <v>0</v>
      </c>
      <c r="J3299" t="s">
        <v>1748</v>
      </c>
      <c r="K3299" t="s">
        <v>1806</v>
      </c>
      <c r="L3299" t="s">
        <v>2102</v>
      </c>
      <c r="M3299">
        <v>62</v>
      </c>
      <c r="N3299" t="b">
        <v>0</v>
      </c>
      <c r="P3299" t="s">
        <v>1752</v>
      </c>
      <c r="Q3299" t="s">
        <v>1705</v>
      </c>
      <c r="R3299" t="s">
        <v>1828</v>
      </c>
    </row>
    <row r="3300" spans="1:18" x14ac:dyDescent="0.25">
      <c r="A3300" t="s">
        <v>6977</v>
      </c>
      <c r="B3300" t="s">
        <v>1907</v>
      </c>
      <c r="C3300" t="s">
        <v>4</v>
      </c>
      <c r="D3300" t="s">
        <v>6976</v>
      </c>
      <c r="E3300" s="2">
        <v>44218</v>
      </c>
      <c r="F3300">
        <v>1393</v>
      </c>
      <c r="G3300" t="s">
        <v>6952</v>
      </c>
      <c r="H3300" t="s">
        <v>1747</v>
      </c>
      <c r="I3300" t="b">
        <v>0</v>
      </c>
      <c r="J3300" t="s">
        <v>1748</v>
      </c>
      <c r="K3300" t="s">
        <v>1808</v>
      </c>
      <c r="L3300" t="s">
        <v>2102</v>
      </c>
      <c r="M3300">
        <v>61</v>
      </c>
      <c r="N3300" t="b">
        <v>0</v>
      </c>
      <c r="P3300" t="s">
        <v>2070</v>
      </c>
      <c r="Q3300" t="s">
        <v>1753</v>
      </c>
    </row>
    <row r="3301" spans="1:18" x14ac:dyDescent="0.25">
      <c r="A3301" t="s">
        <v>6979</v>
      </c>
      <c r="B3301" t="s">
        <v>6980</v>
      </c>
      <c r="C3301" t="s">
        <v>4</v>
      </c>
      <c r="D3301" t="s">
        <v>6978</v>
      </c>
      <c r="E3301" s="2">
        <v>44011</v>
      </c>
      <c r="F3301">
        <v>1600</v>
      </c>
      <c r="G3301" t="s">
        <v>6952</v>
      </c>
      <c r="H3301" t="s">
        <v>1747</v>
      </c>
      <c r="I3301" t="b">
        <v>0</v>
      </c>
      <c r="J3301" t="s">
        <v>1748</v>
      </c>
      <c r="K3301" t="s">
        <v>1777</v>
      </c>
      <c r="L3301" t="s">
        <v>2102</v>
      </c>
      <c r="M3301">
        <v>58</v>
      </c>
      <c r="N3301" t="b">
        <v>0</v>
      </c>
      <c r="P3301" t="s">
        <v>1752</v>
      </c>
      <c r="Q3301" t="s">
        <v>1705</v>
      </c>
    </row>
    <row r="3302" spans="1:18" x14ac:dyDescent="0.25">
      <c r="A3302" t="s">
        <v>6981</v>
      </c>
      <c r="B3302" t="s">
        <v>6980</v>
      </c>
      <c r="C3302" t="s">
        <v>4</v>
      </c>
      <c r="D3302" t="s">
        <v>305</v>
      </c>
      <c r="E3302" s="2">
        <v>44011</v>
      </c>
      <c r="F3302">
        <v>1600</v>
      </c>
      <c r="G3302" t="s">
        <v>6952</v>
      </c>
      <c r="H3302" t="s">
        <v>1747</v>
      </c>
      <c r="I3302" t="b">
        <v>0</v>
      </c>
      <c r="J3302" t="s">
        <v>1748</v>
      </c>
      <c r="K3302" t="s">
        <v>1777</v>
      </c>
      <c r="L3302" t="s">
        <v>2102</v>
      </c>
      <c r="M3302">
        <v>51</v>
      </c>
      <c r="N3302" t="b">
        <v>0</v>
      </c>
      <c r="P3302" t="s">
        <v>1752</v>
      </c>
      <c r="Q3302" t="s">
        <v>1705</v>
      </c>
    </row>
    <row r="3303" spans="1:18" x14ac:dyDescent="0.25">
      <c r="A3303" t="s">
        <v>6983</v>
      </c>
      <c r="B3303" t="s">
        <v>3294</v>
      </c>
      <c r="C3303" t="s">
        <v>4</v>
      </c>
      <c r="D3303" t="s">
        <v>6982</v>
      </c>
      <c r="E3303" s="2">
        <v>41260</v>
      </c>
      <c r="F3303">
        <v>4351</v>
      </c>
      <c r="G3303" t="s">
        <v>6952</v>
      </c>
      <c r="H3303" t="s">
        <v>1747</v>
      </c>
      <c r="I3303" t="b">
        <v>0</v>
      </c>
      <c r="J3303" t="s">
        <v>1748</v>
      </c>
      <c r="K3303" t="s">
        <v>1777</v>
      </c>
      <c r="L3303" t="s">
        <v>2102</v>
      </c>
      <c r="M3303">
        <v>50</v>
      </c>
      <c r="N3303" t="b">
        <v>0</v>
      </c>
      <c r="P3303" t="s">
        <v>2070</v>
      </c>
      <c r="Q3303" t="s">
        <v>1779</v>
      </c>
    </row>
    <row r="3304" spans="1:18" x14ac:dyDescent="0.25">
      <c r="A3304" t="s">
        <v>6984</v>
      </c>
      <c r="B3304" t="s">
        <v>2997</v>
      </c>
      <c r="C3304" t="s">
        <v>11</v>
      </c>
      <c r="D3304" t="s">
        <v>882</v>
      </c>
      <c r="E3304" s="2">
        <v>39486</v>
      </c>
      <c r="F3304">
        <v>6125</v>
      </c>
      <c r="G3304" t="s">
        <v>6952</v>
      </c>
      <c r="H3304" t="s">
        <v>1798</v>
      </c>
      <c r="I3304" t="b">
        <v>0</v>
      </c>
      <c r="J3304" t="s">
        <v>1748</v>
      </c>
      <c r="K3304" t="s">
        <v>2042</v>
      </c>
      <c r="L3304" t="s">
        <v>6958</v>
      </c>
      <c r="M3304">
        <v>49</v>
      </c>
      <c r="N3304" t="b">
        <v>0</v>
      </c>
      <c r="P3304" t="s">
        <v>1752</v>
      </c>
      <c r="Q3304" t="s">
        <v>1753</v>
      </c>
    </row>
    <row r="3305" spans="1:18" x14ac:dyDescent="0.25">
      <c r="A3305" t="s">
        <v>6986</v>
      </c>
      <c r="B3305" t="s">
        <v>2150</v>
      </c>
      <c r="C3305" t="s">
        <v>6</v>
      </c>
      <c r="D3305" t="s">
        <v>6985</v>
      </c>
      <c r="E3305" s="2">
        <v>45062</v>
      </c>
      <c r="F3305">
        <v>549</v>
      </c>
      <c r="G3305" t="s">
        <v>6952</v>
      </c>
      <c r="H3305" t="s">
        <v>1805</v>
      </c>
      <c r="I3305" t="b">
        <v>0</v>
      </c>
      <c r="J3305" t="s">
        <v>1761</v>
      </c>
      <c r="K3305" t="s">
        <v>1880</v>
      </c>
      <c r="L3305" t="s">
        <v>1766</v>
      </c>
      <c r="M3305">
        <v>49</v>
      </c>
      <c r="N3305" t="b">
        <v>0</v>
      </c>
      <c r="P3305" t="s">
        <v>1819</v>
      </c>
      <c r="Q3305" t="s">
        <v>1753</v>
      </c>
    </row>
    <row r="3306" spans="1:18" x14ac:dyDescent="0.25">
      <c r="A3306" t="s">
        <v>6987</v>
      </c>
      <c r="B3306" t="s">
        <v>2060</v>
      </c>
      <c r="C3306" t="s">
        <v>6</v>
      </c>
      <c r="D3306" t="s">
        <v>1481</v>
      </c>
      <c r="E3306" s="2">
        <v>39238</v>
      </c>
      <c r="F3306">
        <v>6373</v>
      </c>
      <c r="G3306" t="s">
        <v>6952</v>
      </c>
      <c r="H3306" t="s">
        <v>1798</v>
      </c>
      <c r="I3306" t="b">
        <v>0</v>
      </c>
      <c r="J3306" t="s">
        <v>1748</v>
      </c>
      <c r="K3306" t="s">
        <v>2021</v>
      </c>
      <c r="L3306" t="s">
        <v>1766</v>
      </c>
      <c r="M3306">
        <v>45</v>
      </c>
      <c r="N3306" t="b">
        <v>0</v>
      </c>
      <c r="P3306" t="s">
        <v>1752</v>
      </c>
      <c r="Q3306" t="s">
        <v>1753</v>
      </c>
      <c r="R3306" t="s">
        <v>1828</v>
      </c>
    </row>
    <row r="3307" spans="1:18" x14ac:dyDescent="0.25">
      <c r="A3307" t="s">
        <v>6988</v>
      </c>
      <c r="B3307" t="s">
        <v>1781</v>
      </c>
      <c r="C3307" t="s">
        <v>4</v>
      </c>
      <c r="D3307" t="s">
        <v>1411</v>
      </c>
      <c r="E3307" s="2">
        <v>41263</v>
      </c>
      <c r="F3307">
        <v>4348</v>
      </c>
      <c r="G3307" t="s">
        <v>6952</v>
      </c>
      <c r="H3307" t="s">
        <v>1747</v>
      </c>
      <c r="I3307" t="b">
        <v>0</v>
      </c>
      <c r="J3307" t="s">
        <v>1748</v>
      </c>
      <c r="K3307" t="s">
        <v>1777</v>
      </c>
      <c r="L3307" t="s">
        <v>2102</v>
      </c>
      <c r="M3307">
        <v>45</v>
      </c>
      <c r="N3307" t="b">
        <v>0</v>
      </c>
      <c r="P3307" t="s">
        <v>1778</v>
      </c>
      <c r="Q3307" t="s">
        <v>1779</v>
      </c>
    </row>
    <row r="3308" spans="1:18" x14ac:dyDescent="0.25">
      <c r="A3308" t="s">
        <v>6990</v>
      </c>
      <c r="C3308" t="s">
        <v>11</v>
      </c>
      <c r="D3308" t="s">
        <v>6989</v>
      </c>
      <c r="E3308" s="2">
        <v>40665</v>
      </c>
      <c r="F3308">
        <v>4946</v>
      </c>
      <c r="G3308" t="s">
        <v>6952</v>
      </c>
      <c r="H3308" t="s">
        <v>1798</v>
      </c>
      <c r="I3308" t="b">
        <v>0</v>
      </c>
      <c r="J3308" t="s">
        <v>1748</v>
      </c>
      <c r="K3308" t="s">
        <v>2042</v>
      </c>
      <c r="L3308" t="s">
        <v>6958</v>
      </c>
      <c r="M3308">
        <v>41</v>
      </c>
      <c r="N3308" t="b">
        <v>0</v>
      </c>
      <c r="P3308" t="s">
        <v>1752</v>
      </c>
      <c r="Q3308" t="s">
        <v>1753</v>
      </c>
    </row>
    <row r="3309" spans="1:18" x14ac:dyDescent="0.25">
      <c r="A3309" t="s">
        <v>6991</v>
      </c>
      <c r="B3309" t="s">
        <v>2060</v>
      </c>
      <c r="C3309" t="s">
        <v>6</v>
      </c>
      <c r="D3309" t="s">
        <v>1668</v>
      </c>
      <c r="E3309" s="2">
        <v>40255</v>
      </c>
      <c r="F3309">
        <v>5356</v>
      </c>
      <c r="G3309" t="s">
        <v>6952</v>
      </c>
      <c r="H3309" t="s">
        <v>1747</v>
      </c>
      <c r="I3309" t="b">
        <v>0</v>
      </c>
      <c r="J3309" t="s">
        <v>1748</v>
      </c>
      <c r="K3309" t="s">
        <v>1751</v>
      </c>
      <c r="L3309" t="s">
        <v>1766</v>
      </c>
      <c r="M3309">
        <v>41</v>
      </c>
      <c r="N3309" t="b">
        <v>0</v>
      </c>
      <c r="P3309" t="s">
        <v>1752</v>
      </c>
      <c r="Q3309" t="s">
        <v>1753</v>
      </c>
    </row>
    <row r="3310" spans="1:18" x14ac:dyDescent="0.25">
      <c r="A3310" t="s">
        <v>6992</v>
      </c>
      <c r="B3310" t="s">
        <v>1781</v>
      </c>
      <c r="C3310" t="s">
        <v>186</v>
      </c>
      <c r="D3310" t="s">
        <v>1443</v>
      </c>
      <c r="E3310" s="2">
        <v>39518</v>
      </c>
      <c r="F3310">
        <v>6093</v>
      </c>
      <c r="G3310" t="s">
        <v>6952</v>
      </c>
      <c r="H3310" t="s">
        <v>1747</v>
      </c>
      <c r="I3310" t="b">
        <v>0</v>
      </c>
      <c r="J3310" t="s">
        <v>1748</v>
      </c>
      <c r="K3310" t="s">
        <v>1974</v>
      </c>
      <c r="L3310" t="s">
        <v>2102</v>
      </c>
      <c r="M3310">
        <v>41</v>
      </c>
      <c r="N3310" t="b">
        <v>0</v>
      </c>
      <c r="P3310" t="s">
        <v>1778</v>
      </c>
      <c r="Q3310" t="s">
        <v>1779</v>
      </c>
    </row>
    <row r="3311" spans="1:18" x14ac:dyDescent="0.25">
      <c r="A3311" t="s">
        <v>6993</v>
      </c>
      <c r="B3311" t="s">
        <v>2799</v>
      </c>
      <c r="C3311" t="s">
        <v>11</v>
      </c>
      <c r="D3311" t="s">
        <v>827</v>
      </c>
      <c r="E3311" s="2">
        <v>40660</v>
      </c>
      <c r="F3311">
        <v>4951</v>
      </c>
      <c r="G3311" t="s">
        <v>6952</v>
      </c>
      <c r="H3311" t="s">
        <v>1798</v>
      </c>
      <c r="I3311" t="b">
        <v>0</v>
      </c>
      <c r="J3311" t="s">
        <v>1748</v>
      </c>
      <c r="K3311" t="s">
        <v>2021</v>
      </c>
      <c r="L3311" t="s">
        <v>1766</v>
      </c>
      <c r="M3311">
        <v>41</v>
      </c>
      <c r="N3311" t="b">
        <v>0</v>
      </c>
      <c r="P3311" t="s">
        <v>1819</v>
      </c>
      <c r="Q3311" t="s">
        <v>1753</v>
      </c>
    </row>
    <row r="3312" spans="1:18" x14ac:dyDescent="0.25">
      <c r="A3312" t="s">
        <v>6994</v>
      </c>
      <c r="B3312" t="s">
        <v>1945</v>
      </c>
      <c r="C3312" t="s">
        <v>11</v>
      </c>
      <c r="D3312" t="s">
        <v>843</v>
      </c>
      <c r="E3312" s="2">
        <v>40277</v>
      </c>
      <c r="F3312">
        <v>5334</v>
      </c>
      <c r="G3312" t="s">
        <v>6952</v>
      </c>
      <c r="H3312" t="s">
        <v>1798</v>
      </c>
      <c r="I3312" t="b">
        <v>0</v>
      </c>
      <c r="J3312" t="s">
        <v>1748</v>
      </c>
      <c r="K3312" t="s">
        <v>2042</v>
      </c>
      <c r="L3312" t="s">
        <v>1766</v>
      </c>
      <c r="M3312">
        <v>40</v>
      </c>
      <c r="N3312" t="b">
        <v>0</v>
      </c>
      <c r="P3312" t="s">
        <v>1752</v>
      </c>
      <c r="Q3312" t="s">
        <v>1753</v>
      </c>
    </row>
    <row r="3313" spans="1:18" x14ac:dyDescent="0.25">
      <c r="A3313" t="s">
        <v>6995</v>
      </c>
      <c r="B3313" t="s">
        <v>2035</v>
      </c>
      <c r="C3313" t="s">
        <v>11</v>
      </c>
      <c r="D3313" t="s">
        <v>867</v>
      </c>
      <c r="E3313" s="2">
        <v>39175</v>
      </c>
      <c r="F3313">
        <v>6436</v>
      </c>
      <c r="G3313" t="s">
        <v>6952</v>
      </c>
      <c r="H3313" t="s">
        <v>1798</v>
      </c>
      <c r="I3313" t="b">
        <v>0</v>
      </c>
      <c r="J3313" t="s">
        <v>1748</v>
      </c>
      <c r="K3313" t="s">
        <v>2042</v>
      </c>
      <c r="L3313" t="s">
        <v>6958</v>
      </c>
      <c r="M3313">
        <v>39</v>
      </c>
      <c r="N3313" t="b">
        <v>0</v>
      </c>
      <c r="P3313" t="s">
        <v>1752</v>
      </c>
      <c r="Q3313" t="s">
        <v>1753</v>
      </c>
      <c r="R3313" t="s">
        <v>1828</v>
      </c>
    </row>
    <row r="3314" spans="1:18" x14ac:dyDescent="0.25">
      <c r="A3314" t="s">
        <v>6997</v>
      </c>
      <c r="B3314" t="s">
        <v>1810</v>
      </c>
      <c r="C3314" t="s">
        <v>6</v>
      </c>
      <c r="D3314" t="s">
        <v>6996</v>
      </c>
      <c r="E3314" s="2">
        <v>40255</v>
      </c>
      <c r="F3314">
        <v>5356</v>
      </c>
      <c r="G3314" t="s">
        <v>6952</v>
      </c>
      <c r="H3314" t="s">
        <v>1798</v>
      </c>
      <c r="I3314" t="b">
        <v>0</v>
      </c>
      <c r="J3314" t="s">
        <v>1748</v>
      </c>
      <c r="K3314" t="s">
        <v>1880</v>
      </c>
      <c r="L3314" t="s">
        <v>1766</v>
      </c>
      <c r="M3314">
        <v>38</v>
      </c>
      <c r="N3314" t="b">
        <v>0</v>
      </c>
      <c r="P3314" t="s">
        <v>1752</v>
      </c>
      <c r="Q3314" t="s">
        <v>1753</v>
      </c>
    </row>
    <row r="3315" spans="1:18" x14ac:dyDescent="0.25">
      <c r="A3315" t="s">
        <v>6999</v>
      </c>
      <c r="B3315" t="s">
        <v>1907</v>
      </c>
      <c r="C3315" t="s">
        <v>6</v>
      </c>
      <c r="D3315" t="s">
        <v>6998</v>
      </c>
      <c r="E3315" s="2">
        <v>40673</v>
      </c>
      <c r="F3315">
        <v>4938</v>
      </c>
      <c r="G3315" t="s">
        <v>6952</v>
      </c>
      <c r="H3315" t="s">
        <v>1798</v>
      </c>
      <c r="I3315" t="b">
        <v>0</v>
      </c>
      <c r="J3315" t="s">
        <v>1761</v>
      </c>
      <c r="K3315" t="s">
        <v>1853</v>
      </c>
      <c r="L3315" t="s">
        <v>1766</v>
      </c>
      <c r="M3315">
        <v>38</v>
      </c>
      <c r="N3315" t="b">
        <v>0</v>
      </c>
      <c r="P3315" t="s">
        <v>1752</v>
      </c>
      <c r="Q3315" t="s">
        <v>1753</v>
      </c>
    </row>
    <row r="3316" spans="1:18" x14ac:dyDescent="0.25">
      <c r="A3316" t="s">
        <v>7000</v>
      </c>
      <c r="B3316" t="s">
        <v>2106</v>
      </c>
      <c r="C3316" t="s">
        <v>6</v>
      </c>
      <c r="D3316" t="s">
        <v>932</v>
      </c>
      <c r="E3316" s="2">
        <v>42352</v>
      </c>
      <c r="F3316">
        <v>3259</v>
      </c>
      <c r="G3316" t="s">
        <v>6952</v>
      </c>
      <c r="H3316" t="s">
        <v>1747</v>
      </c>
      <c r="I3316" t="b">
        <v>0</v>
      </c>
      <c r="J3316" t="s">
        <v>1748</v>
      </c>
      <c r="K3316" t="s">
        <v>2042</v>
      </c>
      <c r="L3316" t="s">
        <v>1766</v>
      </c>
      <c r="M3316">
        <v>36</v>
      </c>
      <c r="N3316" t="b">
        <v>0</v>
      </c>
      <c r="P3316" t="s">
        <v>1752</v>
      </c>
      <c r="Q3316" t="s">
        <v>1753</v>
      </c>
    </row>
    <row r="3317" spans="1:18" x14ac:dyDescent="0.25">
      <c r="A3317" t="s">
        <v>7002</v>
      </c>
      <c r="C3317" t="s">
        <v>11</v>
      </c>
      <c r="D3317" t="s">
        <v>7001</v>
      </c>
      <c r="E3317" s="2">
        <v>40665</v>
      </c>
      <c r="F3317">
        <v>4946</v>
      </c>
      <c r="G3317" t="s">
        <v>6952</v>
      </c>
      <c r="H3317" t="s">
        <v>1798</v>
      </c>
      <c r="I3317" t="b">
        <v>0</v>
      </c>
      <c r="J3317" t="s">
        <v>1748</v>
      </c>
      <c r="K3317" t="s">
        <v>2021</v>
      </c>
      <c r="L3317" t="s">
        <v>6958</v>
      </c>
      <c r="M3317">
        <v>36</v>
      </c>
      <c r="N3317" t="b">
        <v>0</v>
      </c>
      <c r="P3317" t="s">
        <v>1752</v>
      </c>
      <c r="Q3317" t="s">
        <v>1753</v>
      </c>
    </row>
    <row r="3318" spans="1:18" x14ac:dyDescent="0.25">
      <c r="A3318" t="s">
        <v>7003</v>
      </c>
      <c r="B3318" t="s">
        <v>1781</v>
      </c>
      <c r="C3318" t="s">
        <v>4</v>
      </c>
      <c r="D3318" t="s">
        <v>788</v>
      </c>
      <c r="E3318" s="2">
        <v>39982</v>
      </c>
      <c r="F3318">
        <v>5629</v>
      </c>
      <c r="G3318" t="s">
        <v>6952</v>
      </c>
      <c r="H3318" t="s">
        <v>1798</v>
      </c>
      <c r="I3318" t="b">
        <v>0</v>
      </c>
      <c r="J3318" t="s">
        <v>1748</v>
      </c>
      <c r="K3318" t="s">
        <v>2042</v>
      </c>
      <c r="L3318" t="s">
        <v>1766</v>
      </c>
      <c r="M3318">
        <v>34</v>
      </c>
      <c r="N3318" t="b">
        <v>0</v>
      </c>
      <c r="P3318" t="s">
        <v>1752</v>
      </c>
      <c r="Q3318" t="s">
        <v>1753</v>
      </c>
    </row>
    <row r="3319" spans="1:18" x14ac:dyDescent="0.25">
      <c r="A3319" t="s">
        <v>7004</v>
      </c>
      <c r="B3319" t="s">
        <v>2269</v>
      </c>
      <c r="C3319" t="s">
        <v>6</v>
      </c>
      <c r="D3319" t="s">
        <v>1537</v>
      </c>
      <c r="E3319" s="2">
        <v>39393</v>
      </c>
      <c r="F3319">
        <v>6218</v>
      </c>
      <c r="G3319" t="s">
        <v>6952</v>
      </c>
      <c r="H3319" t="s">
        <v>1798</v>
      </c>
      <c r="I3319" t="b">
        <v>0</v>
      </c>
      <c r="J3319" t="s">
        <v>1748</v>
      </c>
      <c r="K3319" t="s">
        <v>1988</v>
      </c>
      <c r="L3319" t="s">
        <v>1766</v>
      </c>
      <c r="M3319">
        <v>33</v>
      </c>
      <c r="N3319" t="b">
        <v>0</v>
      </c>
      <c r="P3319" t="s">
        <v>1819</v>
      </c>
      <c r="Q3319" t="s">
        <v>1753</v>
      </c>
      <c r="R3319" t="s">
        <v>1828</v>
      </c>
    </row>
    <row r="3320" spans="1:18" x14ac:dyDescent="0.25">
      <c r="A3320" t="s">
        <v>7005</v>
      </c>
      <c r="B3320" t="s">
        <v>1936</v>
      </c>
      <c r="C3320" t="s">
        <v>4</v>
      </c>
      <c r="D3320" t="s">
        <v>1441</v>
      </c>
      <c r="E3320" s="2">
        <v>41256</v>
      </c>
      <c r="F3320">
        <v>4355</v>
      </c>
      <c r="G3320" t="s">
        <v>6952</v>
      </c>
      <c r="H3320" t="s">
        <v>1747</v>
      </c>
      <c r="I3320" t="b">
        <v>0</v>
      </c>
      <c r="J3320" t="s">
        <v>1748</v>
      </c>
      <c r="K3320" t="s">
        <v>1834</v>
      </c>
      <c r="L3320" t="s">
        <v>2102</v>
      </c>
      <c r="M3320">
        <v>30</v>
      </c>
      <c r="N3320" t="b">
        <v>0</v>
      </c>
      <c r="P3320" t="s">
        <v>1752</v>
      </c>
      <c r="Q3320" t="s">
        <v>1705</v>
      </c>
    </row>
    <row r="3321" spans="1:18" x14ac:dyDescent="0.25">
      <c r="A3321" t="s">
        <v>7006</v>
      </c>
      <c r="B3321" t="s">
        <v>2997</v>
      </c>
      <c r="C3321" t="s">
        <v>11</v>
      </c>
      <c r="D3321" t="s">
        <v>881</v>
      </c>
      <c r="E3321" s="2">
        <v>39486</v>
      </c>
      <c r="F3321">
        <v>6125</v>
      </c>
      <c r="G3321" t="s">
        <v>6952</v>
      </c>
      <c r="H3321" t="s">
        <v>1798</v>
      </c>
      <c r="I3321" t="b">
        <v>0</v>
      </c>
      <c r="J3321" t="s">
        <v>1748</v>
      </c>
      <c r="K3321" t="s">
        <v>2042</v>
      </c>
      <c r="L3321" t="s">
        <v>6958</v>
      </c>
      <c r="M3321">
        <v>30</v>
      </c>
      <c r="N3321" t="b">
        <v>0</v>
      </c>
      <c r="P3321" t="s">
        <v>1752</v>
      </c>
      <c r="Q3321" t="s">
        <v>1753</v>
      </c>
    </row>
    <row r="3322" spans="1:18" x14ac:dyDescent="0.25">
      <c r="A3322" t="s">
        <v>7007</v>
      </c>
      <c r="B3322" t="s">
        <v>1781</v>
      </c>
      <c r="C3322" t="s">
        <v>4</v>
      </c>
      <c r="D3322" t="s">
        <v>1381</v>
      </c>
      <c r="E3322" s="2">
        <v>41255</v>
      </c>
      <c r="F3322">
        <v>4356</v>
      </c>
      <c r="G3322" t="s">
        <v>6952</v>
      </c>
      <c r="H3322" t="s">
        <v>1798</v>
      </c>
      <c r="I3322" t="b">
        <v>0</v>
      </c>
      <c r="J3322" t="s">
        <v>1748</v>
      </c>
      <c r="K3322" t="s">
        <v>1834</v>
      </c>
      <c r="L3322" t="s">
        <v>2102</v>
      </c>
      <c r="M3322">
        <v>26</v>
      </c>
      <c r="N3322" t="b">
        <v>0</v>
      </c>
      <c r="P3322" t="s">
        <v>1752</v>
      </c>
      <c r="Q3322" t="s">
        <v>1705</v>
      </c>
    </row>
    <row r="3323" spans="1:18" x14ac:dyDescent="0.25">
      <c r="A3323" t="s">
        <v>7009</v>
      </c>
      <c r="B3323" t="s">
        <v>2150</v>
      </c>
      <c r="C3323" t="s">
        <v>4</v>
      </c>
      <c r="D3323" t="s">
        <v>7008</v>
      </c>
      <c r="E3323" s="2">
        <v>39982</v>
      </c>
      <c r="F3323">
        <v>5629</v>
      </c>
      <c r="G3323" t="s">
        <v>6952</v>
      </c>
      <c r="H3323" t="s">
        <v>1805</v>
      </c>
      <c r="I3323" t="b">
        <v>0</v>
      </c>
      <c r="J3323" t="s">
        <v>1748</v>
      </c>
      <c r="K3323" t="s">
        <v>1868</v>
      </c>
      <c r="L3323" t="s">
        <v>1766</v>
      </c>
      <c r="M3323">
        <v>25</v>
      </c>
      <c r="N3323" t="b">
        <v>0</v>
      </c>
      <c r="P3323" t="s">
        <v>1752</v>
      </c>
      <c r="Q3323" t="s">
        <v>1753</v>
      </c>
    </row>
    <row r="3324" spans="1:18" x14ac:dyDescent="0.25">
      <c r="A3324" t="s">
        <v>7011</v>
      </c>
      <c r="B3324" t="s">
        <v>3294</v>
      </c>
      <c r="C3324" t="s">
        <v>4</v>
      </c>
      <c r="D3324" t="s">
        <v>7010</v>
      </c>
      <c r="E3324" s="2">
        <v>44154</v>
      </c>
      <c r="F3324">
        <v>1457</v>
      </c>
      <c r="G3324" t="s">
        <v>6952</v>
      </c>
      <c r="H3324" t="s">
        <v>1747</v>
      </c>
      <c r="I3324" t="b">
        <v>0</v>
      </c>
      <c r="J3324" t="s">
        <v>1748</v>
      </c>
      <c r="K3324" t="s">
        <v>1777</v>
      </c>
      <c r="L3324" t="s">
        <v>2102</v>
      </c>
      <c r="M3324">
        <v>24</v>
      </c>
      <c r="N3324" t="b">
        <v>0</v>
      </c>
      <c r="P3324" t="s">
        <v>2070</v>
      </c>
      <c r="Q3324" t="s">
        <v>1779</v>
      </c>
    </row>
    <row r="3325" spans="1:18" x14ac:dyDescent="0.25">
      <c r="A3325" t="s">
        <v>7013</v>
      </c>
      <c r="B3325" t="s">
        <v>1907</v>
      </c>
      <c r="C3325" t="s">
        <v>4</v>
      </c>
      <c r="D3325" t="s">
        <v>7012</v>
      </c>
      <c r="E3325" s="2">
        <v>44218</v>
      </c>
      <c r="F3325">
        <v>1393</v>
      </c>
      <c r="G3325" t="s">
        <v>6952</v>
      </c>
      <c r="H3325" t="s">
        <v>1798</v>
      </c>
      <c r="I3325" t="b">
        <v>0</v>
      </c>
      <c r="J3325" t="s">
        <v>1748</v>
      </c>
      <c r="K3325" t="s">
        <v>1808</v>
      </c>
      <c r="L3325" t="s">
        <v>2102</v>
      </c>
      <c r="M3325">
        <v>23</v>
      </c>
      <c r="N3325" t="b">
        <v>0</v>
      </c>
      <c r="P3325" t="s">
        <v>2070</v>
      </c>
      <c r="Q3325" t="s">
        <v>1753</v>
      </c>
    </row>
    <row r="3326" spans="1:18" x14ac:dyDescent="0.25">
      <c r="A3326" t="s">
        <v>7014</v>
      </c>
      <c r="B3326" t="s">
        <v>1781</v>
      </c>
      <c r="C3326" t="s">
        <v>186</v>
      </c>
      <c r="D3326" t="s">
        <v>1336</v>
      </c>
      <c r="E3326" s="2">
        <v>39518</v>
      </c>
      <c r="F3326">
        <v>6093</v>
      </c>
      <c r="G3326" t="s">
        <v>6952</v>
      </c>
      <c r="H3326" t="s">
        <v>1747</v>
      </c>
      <c r="I3326" t="b">
        <v>0</v>
      </c>
      <c r="J3326" t="s">
        <v>1748</v>
      </c>
      <c r="K3326" t="s">
        <v>1974</v>
      </c>
      <c r="L3326" t="s">
        <v>2102</v>
      </c>
      <c r="M3326">
        <v>23</v>
      </c>
      <c r="N3326" t="b">
        <v>0</v>
      </c>
      <c r="P3326" t="s">
        <v>1778</v>
      </c>
      <c r="Q3326" t="s">
        <v>1779</v>
      </c>
    </row>
    <row r="3327" spans="1:18" x14ac:dyDescent="0.25">
      <c r="A3327" t="s">
        <v>7015</v>
      </c>
      <c r="B3327" t="s">
        <v>2035</v>
      </c>
      <c r="C3327" t="s">
        <v>11</v>
      </c>
      <c r="D3327" t="s">
        <v>828</v>
      </c>
      <c r="E3327" s="2">
        <v>40277</v>
      </c>
      <c r="F3327">
        <v>5334</v>
      </c>
      <c r="G3327" t="s">
        <v>6952</v>
      </c>
      <c r="H3327" t="s">
        <v>1798</v>
      </c>
      <c r="I3327" t="b">
        <v>0</v>
      </c>
      <c r="J3327" t="s">
        <v>1748</v>
      </c>
      <c r="K3327" t="s">
        <v>1755</v>
      </c>
      <c r="L3327" t="s">
        <v>1766</v>
      </c>
      <c r="M3327">
        <v>22</v>
      </c>
      <c r="N3327" t="b">
        <v>0</v>
      </c>
      <c r="P3327" t="s">
        <v>1819</v>
      </c>
      <c r="Q3327" t="s">
        <v>1753</v>
      </c>
    </row>
    <row r="3328" spans="1:18" x14ac:dyDescent="0.25">
      <c r="A3328" t="s">
        <v>7016</v>
      </c>
      <c r="B3328" t="s">
        <v>1781</v>
      </c>
      <c r="C3328" t="s">
        <v>4</v>
      </c>
      <c r="D3328" t="s">
        <v>787</v>
      </c>
      <c r="E3328" s="2">
        <v>39982</v>
      </c>
      <c r="F3328">
        <v>5629</v>
      </c>
      <c r="G3328" t="s">
        <v>6952</v>
      </c>
      <c r="H3328" t="s">
        <v>1798</v>
      </c>
      <c r="I3328" t="b">
        <v>0</v>
      </c>
      <c r="J3328" t="s">
        <v>1748</v>
      </c>
      <c r="K3328" t="s">
        <v>2021</v>
      </c>
      <c r="L3328" t="s">
        <v>1766</v>
      </c>
      <c r="M3328">
        <v>21</v>
      </c>
      <c r="N3328" t="b">
        <v>0</v>
      </c>
      <c r="P3328" t="s">
        <v>1752</v>
      </c>
      <c r="Q3328" t="s">
        <v>1753</v>
      </c>
    </row>
    <row r="3329" spans="1:18" x14ac:dyDescent="0.25">
      <c r="A3329" t="s">
        <v>7017</v>
      </c>
      <c r="B3329" t="s">
        <v>1781</v>
      </c>
      <c r="C3329" t="s">
        <v>186</v>
      </c>
      <c r="D3329" t="s">
        <v>1363</v>
      </c>
      <c r="E3329" s="2">
        <v>39518</v>
      </c>
      <c r="F3329">
        <v>6093</v>
      </c>
      <c r="G3329" t="s">
        <v>6952</v>
      </c>
      <c r="H3329" t="s">
        <v>1747</v>
      </c>
      <c r="I3329" t="b">
        <v>0</v>
      </c>
      <c r="J3329" t="s">
        <v>1748</v>
      </c>
      <c r="K3329" t="s">
        <v>1974</v>
      </c>
      <c r="L3329" t="s">
        <v>2102</v>
      </c>
      <c r="M3329">
        <v>21</v>
      </c>
      <c r="N3329" t="b">
        <v>0</v>
      </c>
      <c r="P3329" t="s">
        <v>2070</v>
      </c>
      <c r="Q3329" t="s">
        <v>1779</v>
      </c>
    </row>
    <row r="3330" spans="1:18" x14ac:dyDescent="0.25">
      <c r="A3330" t="s">
        <v>7019</v>
      </c>
      <c r="B3330" t="s">
        <v>1907</v>
      </c>
      <c r="C3330" t="s">
        <v>4</v>
      </c>
      <c r="D3330" t="s">
        <v>7018</v>
      </c>
      <c r="E3330" s="2">
        <v>43993</v>
      </c>
      <c r="F3330">
        <v>1618</v>
      </c>
      <c r="G3330" t="s">
        <v>6952</v>
      </c>
      <c r="H3330" t="s">
        <v>1798</v>
      </c>
      <c r="I3330" t="b">
        <v>0</v>
      </c>
      <c r="J3330" t="s">
        <v>1748</v>
      </c>
      <c r="K3330" t="s">
        <v>1808</v>
      </c>
      <c r="L3330" t="s">
        <v>2102</v>
      </c>
      <c r="M3330">
        <v>20</v>
      </c>
      <c r="N3330" t="b">
        <v>0</v>
      </c>
      <c r="P3330" t="s">
        <v>2070</v>
      </c>
      <c r="Q3330" t="s">
        <v>1753</v>
      </c>
    </row>
    <row r="3331" spans="1:18" x14ac:dyDescent="0.25">
      <c r="A3331" t="s">
        <v>7020</v>
      </c>
      <c r="B3331" t="s">
        <v>1936</v>
      </c>
      <c r="C3331" t="s">
        <v>4</v>
      </c>
      <c r="D3331" t="s">
        <v>1395</v>
      </c>
      <c r="E3331" s="2">
        <v>41256</v>
      </c>
      <c r="F3331">
        <v>4355</v>
      </c>
      <c r="G3331" t="s">
        <v>6952</v>
      </c>
      <c r="H3331" t="s">
        <v>1798</v>
      </c>
      <c r="I3331" t="b">
        <v>0</v>
      </c>
      <c r="J3331" t="s">
        <v>1748</v>
      </c>
      <c r="K3331" t="s">
        <v>1834</v>
      </c>
      <c r="L3331" t="s">
        <v>2102</v>
      </c>
      <c r="M3331">
        <v>20</v>
      </c>
      <c r="N3331" t="b">
        <v>0</v>
      </c>
      <c r="P3331" t="s">
        <v>1752</v>
      </c>
      <c r="Q3331" t="s">
        <v>1705</v>
      </c>
      <c r="R3331" t="s">
        <v>1828</v>
      </c>
    </row>
    <row r="3332" spans="1:18" x14ac:dyDescent="0.25">
      <c r="A3332" t="s">
        <v>7022</v>
      </c>
      <c r="B3332" t="s">
        <v>3294</v>
      </c>
      <c r="C3332" t="s">
        <v>4</v>
      </c>
      <c r="D3332" t="s">
        <v>7021</v>
      </c>
      <c r="E3332" s="2">
        <v>41260</v>
      </c>
      <c r="F3332">
        <v>4351</v>
      </c>
      <c r="G3332" t="s">
        <v>6952</v>
      </c>
      <c r="H3332" t="s">
        <v>1747</v>
      </c>
      <c r="I3332" t="b">
        <v>0</v>
      </c>
      <c r="J3332" t="s">
        <v>1748</v>
      </c>
      <c r="K3332" t="s">
        <v>1777</v>
      </c>
      <c r="L3332" t="s">
        <v>2102</v>
      </c>
      <c r="M3332">
        <v>19</v>
      </c>
      <c r="N3332" t="b">
        <v>0</v>
      </c>
      <c r="P3332" t="s">
        <v>2070</v>
      </c>
      <c r="Q3332" t="s">
        <v>1779</v>
      </c>
    </row>
    <row r="3333" spans="1:18" x14ac:dyDescent="0.25">
      <c r="A3333" t="s">
        <v>7023</v>
      </c>
      <c r="B3333" t="s">
        <v>1936</v>
      </c>
      <c r="C3333" t="s">
        <v>4</v>
      </c>
      <c r="D3333" t="s">
        <v>1394</v>
      </c>
      <c r="E3333" s="2">
        <v>41255</v>
      </c>
      <c r="F3333">
        <v>4356</v>
      </c>
      <c r="G3333" t="s">
        <v>6952</v>
      </c>
      <c r="H3333" t="s">
        <v>1798</v>
      </c>
      <c r="I3333" t="b">
        <v>0</v>
      </c>
      <c r="J3333" t="s">
        <v>1748</v>
      </c>
      <c r="K3333" t="s">
        <v>1848</v>
      </c>
      <c r="L3333" t="s">
        <v>2102</v>
      </c>
      <c r="M3333">
        <v>18</v>
      </c>
      <c r="N3333" t="b">
        <v>0</v>
      </c>
      <c r="P3333" t="s">
        <v>1752</v>
      </c>
      <c r="Q3333" t="s">
        <v>1705</v>
      </c>
      <c r="R3333" t="s">
        <v>1828</v>
      </c>
    </row>
    <row r="3334" spans="1:18" x14ac:dyDescent="0.25">
      <c r="A3334" t="s">
        <v>7024</v>
      </c>
      <c r="B3334" t="s">
        <v>1781</v>
      </c>
      <c r="C3334" t="s">
        <v>4</v>
      </c>
      <c r="D3334" t="s">
        <v>1412</v>
      </c>
      <c r="E3334" s="2">
        <v>41263</v>
      </c>
      <c r="F3334">
        <v>4348</v>
      </c>
      <c r="G3334" t="s">
        <v>6952</v>
      </c>
      <c r="H3334" t="s">
        <v>1747</v>
      </c>
      <c r="I3334" t="b">
        <v>0</v>
      </c>
      <c r="J3334" t="s">
        <v>1748</v>
      </c>
      <c r="K3334" t="s">
        <v>1777</v>
      </c>
      <c r="L3334" t="s">
        <v>2102</v>
      </c>
      <c r="M3334">
        <v>16</v>
      </c>
      <c r="N3334" t="b">
        <v>0</v>
      </c>
      <c r="P3334" t="s">
        <v>1778</v>
      </c>
      <c r="Q3334" t="s">
        <v>1779</v>
      </c>
    </row>
    <row r="3335" spans="1:18" x14ac:dyDescent="0.25">
      <c r="A3335" t="s">
        <v>7026</v>
      </c>
      <c r="B3335" t="s">
        <v>2173</v>
      </c>
      <c r="C3335" t="s">
        <v>4</v>
      </c>
      <c r="D3335" t="s">
        <v>7025</v>
      </c>
      <c r="E3335" s="2">
        <v>43993</v>
      </c>
      <c r="F3335">
        <v>1618</v>
      </c>
      <c r="G3335" t="s">
        <v>6952</v>
      </c>
      <c r="H3335" t="s">
        <v>2231</v>
      </c>
      <c r="I3335" t="b">
        <v>0</v>
      </c>
      <c r="J3335" t="s">
        <v>1748</v>
      </c>
      <c r="K3335" t="s">
        <v>1808</v>
      </c>
      <c r="L3335" t="s">
        <v>2102</v>
      </c>
      <c r="M3335">
        <v>16</v>
      </c>
      <c r="N3335" t="b">
        <v>0</v>
      </c>
      <c r="P3335" t="s">
        <v>2070</v>
      </c>
      <c r="Q3335" t="s">
        <v>1753</v>
      </c>
    </row>
    <row r="3336" spans="1:18" x14ac:dyDescent="0.25">
      <c r="A3336" t="s">
        <v>7028</v>
      </c>
      <c r="B3336" t="s">
        <v>3349</v>
      </c>
      <c r="C3336" t="s">
        <v>4</v>
      </c>
      <c r="D3336" t="s">
        <v>7027</v>
      </c>
      <c r="E3336" s="2">
        <v>42443</v>
      </c>
      <c r="F3336">
        <v>3168</v>
      </c>
      <c r="G3336" t="s">
        <v>6952</v>
      </c>
      <c r="H3336" t="s">
        <v>1747</v>
      </c>
      <c r="I3336" t="b">
        <v>0</v>
      </c>
      <c r="J3336" t="s">
        <v>1748</v>
      </c>
      <c r="K3336" t="s">
        <v>1777</v>
      </c>
      <c r="L3336" t="s">
        <v>2102</v>
      </c>
      <c r="M3336">
        <v>15</v>
      </c>
      <c r="N3336" t="b">
        <v>0</v>
      </c>
      <c r="P3336" t="s">
        <v>1752</v>
      </c>
      <c r="Q3336" t="s">
        <v>1779</v>
      </c>
    </row>
    <row r="3337" spans="1:18" x14ac:dyDescent="0.25">
      <c r="A3337" t="s">
        <v>7029</v>
      </c>
      <c r="B3337" t="s">
        <v>2106</v>
      </c>
      <c r="C3337" t="s">
        <v>6</v>
      </c>
      <c r="D3337" t="s">
        <v>28</v>
      </c>
      <c r="E3337" s="2">
        <v>40458</v>
      </c>
      <c r="F3337">
        <v>5153</v>
      </c>
      <c r="G3337" t="s">
        <v>6952</v>
      </c>
      <c r="H3337" t="s">
        <v>1798</v>
      </c>
      <c r="I3337" t="b">
        <v>0</v>
      </c>
      <c r="J3337" t="s">
        <v>1761</v>
      </c>
      <c r="K3337" t="s">
        <v>1755</v>
      </c>
      <c r="L3337" t="s">
        <v>1766</v>
      </c>
      <c r="M3337">
        <v>15</v>
      </c>
      <c r="N3337" t="b">
        <v>0</v>
      </c>
      <c r="P3337" t="s">
        <v>1819</v>
      </c>
      <c r="Q3337" t="s">
        <v>1753</v>
      </c>
    </row>
    <row r="3338" spans="1:18" x14ac:dyDescent="0.25">
      <c r="A3338" t="s">
        <v>7030</v>
      </c>
      <c r="B3338" t="s">
        <v>1781</v>
      </c>
      <c r="C3338" t="s">
        <v>186</v>
      </c>
      <c r="D3338" t="s">
        <v>1442</v>
      </c>
      <c r="E3338" s="2">
        <v>39500</v>
      </c>
      <c r="F3338">
        <v>6111</v>
      </c>
      <c r="G3338" t="s">
        <v>6952</v>
      </c>
      <c r="H3338" t="s">
        <v>1747</v>
      </c>
      <c r="I3338" t="b">
        <v>0</v>
      </c>
      <c r="J3338" t="s">
        <v>1748</v>
      </c>
      <c r="K3338" t="s">
        <v>1974</v>
      </c>
      <c r="L3338" t="s">
        <v>2102</v>
      </c>
      <c r="M3338">
        <v>14</v>
      </c>
      <c r="N3338" t="b">
        <v>0</v>
      </c>
      <c r="P3338" t="s">
        <v>2070</v>
      </c>
      <c r="Q3338" t="s">
        <v>1779</v>
      </c>
    </row>
    <row r="3339" spans="1:18" x14ac:dyDescent="0.25">
      <c r="A3339" t="s">
        <v>7031</v>
      </c>
      <c r="B3339" t="s">
        <v>1781</v>
      </c>
      <c r="C3339" t="s">
        <v>186</v>
      </c>
      <c r="D3339" t="s">
        <v>1425</v>
      </c>
      <c r="E3339" s="2">
        <v>39518</v>
      </c>
      <c r="F3339">
        <v>6093</v>
      </c>
      <c r="G3339" t="s">
        <v>6952</v>
      </c>
      <c r="H3339" t="s">
        <v>1747</v>
      </c>
      <c r="I3339" t="b">
        <v>0</v>
      </c>
      <c r="J3339" t="s">
        <v>1748</v>
      </c>
      <c r="K3339" t="s">
        <v>1974</v>
      </c>
      <c r="L3339" t="s">
        <v>2102</v>
      </c>
      <c r="M3339">
        <v>14</v>
      </c>
      <c r="N3339" t="b">
        <v>0</v>
      </c>
      <c r="P3339" t="s">
        <v>2070</v>
      </c>
      <c r="Q3339" t="s">
        <v>1779</v>
      </c>
    </row>
    <row r="3340" spans="1:18" x14ac:dyDescent="0.25">
      <c r="A3340" t="s">
        <v>7032</v>
      </c>
      <c r="B3340" t="s">
        <v>1781</v>
      </c>
      <c r="C3340" t="s">
        <v>4</v>
      </c>
      <c r="D3340" t="s">
        <v>1380</v>
      </c>
      <c r="E3340" s="2">
        <v>41255</v>
      </c>
      <c r="F3340">
        <v>4356</v>
      </c>
      <c r="G3340" t="s">
        <v>6952</v>
      </c>
      <c r="H3340" t="s">
        <v>1798</v>
      </c>
      <c r="I3340" t="b">
        <v>0</v>
      </c>
      <c r="J3340" t="s">
        <v>1748</v>
      </c>
      <c r="K3340" t="s">
        <v>1848</v>
      </c>
      <c r="L3340" t="s">
        <v>2102</v>
      </c>
      <c r="M3340">
        <v>14</v>
      </c>
      <c r="N3340" t="b">
        <v>0</v>
      </c>
      <c r="P3340" t="s">
        <v>1752</v>
      </c>
      <c r="Q3340" t="s">
        <v>1705</v>
      </c>
    </row>
    <row r="3341" spans="1:18" x14ac:dyDescent="0.25">
      <c r="A3341" t="s">
        <v>7034</v>
      </c>
      <c r="B3341" t="s">
        <v>2150</v>
      </c>
      <c r="C3341" t="s">
        <v>4</v>
      </c>
      <c r="D3341" t="s">
        <v>7033</v>
      </c>
      <c r="E3341" s="2">
        <v>39982</v>
      </c>
      <c r="F3341">
        <v>5629</v>
      </c>
      <c r="G3341" t="s">
        <v>6952</v>
      </c>
      <c r="H3341" t="s">
        <v>1805</v>
      </c>
      <c r="I3341" t="b">
        <v>0</v>
      </c>
      <c r="J3341" t="s">
        <v>1748</v>
      </c>
      <c r="K3341" t="s">
        <v>2042</v>
      </c>
      <c r="L3341" t="s">
        <v>1766</v>
      </c>
      <c r="M3341">
        <v>13</v>
      </c>
      <c r="N3341" t="b">
        <v>0</v>
      </c>
      <c r="P3341" t="s">
        <v>1752</v>
      </c>
      <c r="Q3341" t="s">
        <v>1753</v>
      </c>
    </row>
    <row r="3342" spans="1:18" x14ac:dyDescent="0.25">
      <c r="A3342" t="s">
        <v>7035</v>
      </c>
      <c r="B3342" t="s">
        <v>1781</v>
      </c>
      <c r="C3342" t="s">
        <v>4</v>
      </c>
      <c r="D3342" t="s">
        <v>1354</v>
      </c>
      <c r="E3342" s="2">
        <v>42293</v>
      </c>
      <c r="F3342">
        <v>3318</v>
      </c>
      <c r="G3342" t="s">
        <v>6952</v>
      </c>
      <c r="H3342" t="s">
        <v>1747</v>
      </c>
      <c r="I3342" t="b">
        <v>0</v>
      </c>
      <c r="J3342" t="s">
        <v>1748</v>
      </c>
      <c r="K3342" t="s">
        <v>1777</v>
      </c>
      <c r="L3342" t="s">
        <v>2102</v>
      </c>
      <c r="M3342">
        <v>12</v>
      </c>
      <c r="N3342" t="b">
        <v>0</v>
      </c>
      <c r="P3342" t="s">
        <v>2070</v>
      </c>
      <c r="Q3342" t="s">
        <v>1779</v>
      </c>
    </row>
    <row r="3343" spans="1:18" x14ac:dyDescent="0.25">
      <c r="A3343" t="s">
        <v>7036</v>
      </c>
      <c r="B3343" t="s">
        <v>1781</v>
      </c>
      <c r="C3343" t="s">
        <v>4</v>
      </c>
      <c r="D3343" t="s">
        <v>1386</v>
      </c>
      <c r="E3343" s="2">
        <v>42446</v>
      </c>
      <c r="F3343">
        <v>3165</v>
      </c>
      <c r="G3343" t="s">
        <v>6952</v>
      </c>
      <c r="H3343" t="s">
        <v>1747</v>
      </c>
      <c r="I3343" t="b">
        <v>0</v>
      </c>
      <c r="J3343" t="s">
        <v>1748</v>
      </c>
      <c r="K3343" t="s">
        <v>1777</v>
      </c>
      <c r="L3343" t="s">
        <v>2102</v>
      </c>
      <c r="M3343">
        <v>12</v>
      </c>
      <c r="N3343" t="b">
        <v>0</v>
      </c>
      <c r="P3343" t="s">
        <v>1752</v>
      </c>
      <c r="Q3343" t="s">
        <v>1705</v>
      </c>
      <c r="R3343" t="s">
        <v>1772</v>
      </c>
    </row>
    <row r="3344" spans="1:18" x14ac:dyDescent="0.25">
      <c r="A3344" t="s">
        <v>7038</v>
      </c>
      <c r="B3344" t="s">
        <v>2173</v>
      </c>
      <c r="C3344" t="s">
        <v>11</v>
      </c>
      <c r="D3344" t="s">
        <v>7037</v>
      </c>
      <c r="E3344" s="2">
        <v>40277</v>
      </c>
      <c r="F3344">
        <v>5334</v>
      </c>
      <c r="G3344" t="s">
        <v>6952</v>
      </c>
      <c r="H3344" t="s">
        <v>2231</v>
      </c>
      <c r="I3344" t="b">
        <v>0</v>
      </c>
      <c r="J3344" t="s">
        <v>1748</v>
      </c>
      <c r="K3344" t="s">
        <v>2042</v>
      </c>
      <c r="L3344" t="s">
        <v>1766</v>
      </c>
      <c r="M3344">
        <v>12</v>
      </c>
      <c r="N3344" t="b">
        <v>0</v>
      </c>
      <c r="P3344" t="s">
        <v>1752</v>
      </c>
      <c r="Q3344" t="s">
        <v>1753</v>
      </c>
    </row>
    <row r="3345" spans="1:18" x14ac:dyDescent="0.25">
      <c r="A3345" t="s">
        <v>7039</v>
      </c>
      <c r="B3345" t="s">
        <v>1781</v>
      </c>
      <c r="C3345" t="s">
        <v>4</v>
      </c>
      <c r="D3345" t="s">
        <v>1445</v>
      </c>
      <c r="E3345" s="2">
        <v>41263</v>
      </c>
      <c r="F3345">
        <v>4348</v>
      </c>
      <c r="G3345" t="s">
        <v>6952</v>
      </c>
      <c r="H3345" t="s">
        <v>1747</v>
      </c>
      <c r="I3345" t="b">
        <v>0</v>
      </c>
      <c r="J3345" t="s">
        <v>1748</v>
      </c>
      <c r="K3345" t="s">
        <v>1777</v>
      </c>
      <c r="L3345" t="s">
        <v>2102</v>
      </c>
      <c r="M3345">
        <v>12</v>
      </c>
      <c r="N3345" t="b">
        <v>0</v>
      </c>
      <c r="P3345" t="s">
        <v>1778</v>
      </c>
      <c r="Q3345" t="s">
        <v>1779</v>
      </c>
    </row>
    <row r="3346" spans="1:18" x14ac:dyDescent="0.25">
      <c r="A3346" t="s">
        <v>7041</v>
      </c>
      <c r="B3346" t="s">
        <v>2269</v>
      </c>
      <c r="C3346" t="s">
        <v>6</v>
      </c>
      <c r="D3346" t="s">
        <v>7040</v>
      </c>
      <c r="E3346" s="2">
        <v>39574</v>
      </c>
      <c r="F3346">
        <v>6037</v>
      </c>
      <c r="G3346" t="s">
        <v>6952</v>
      </c>
      <c r="H3346" t="s">
        <v>1798</v>
      </c>
      <c r="I3346" t="b">
        <v>0</v>
      </c>
      <c r="J3346" t="s">
        <v>1748</v>
      </c>
      <c r="K3346" t="s">
        <v>1824</v>
      </c>
      <c r="L3346" t="s">
        <v>1766</v>
      </c>
      <c r="M3346">
        <v>11</v>
      </c>
      <c r="N3346" t="b">
        <v>0</v>
      </c>
      <c r="P3346" t="s">
        <v>1819</v>
      </c>
      <c r="Q3346" t="s">
        <v>1753</v>
      </c>
      <c r="R3346" t="s">
        <v>1828</v>
      </c>
    </row>
    <row r="3347" spans="1:18" x14ac:dyDescent="0.25">
      <c r="A3347" t="s">
        <v>7043</v>
      </c>
      <c r="B3347" t="s">
        <v>1907</v>
      </c>
      <c r="C3347" t="s">
        <v>6</v>
      </c>
      <c r="D3347" t="s">
        <v>7042</v>
      </c>
      <c r="E3347" s="2">
        <v>44014</v>
      </c>
      <c r="F3347">
        <v>1597</v>
      </c>
      <c r="G3347" t="s">
        <v>6952</v>
      </c>
      <c r="H3347" t="s">
        <v>1798</v>
      </c>
      <c r="I3347" t="b">
        <v>0</v>
      </c>
      <c r="J3347" t="s">
        <v>1761</v>
      </c>
      <c r="K3347" t="s">
        <v>1880</v>
      </c>
      <c r="L3347" t="s">
        <v>1766</v>
      </c>
      <c r="M3347">
        <v>10</v>
      </c>
      <c r="N3347" t="b">
        <v>0</v>
      </c>
      <c r="P3347" t="s">
        <v>1752</v>
      </c>
      <c r="Q3347" t="s">
        <v>1753</v>
      </c>
    </row>
    <row r="3348" spans="1:18" x14ac:dyDescent="0.25">
      <c r="A3348" t="s">
        <v>7044</v>
      </c>
      <c r="B3348" t="s">
        <v>1781</v>
      </c>
      <c r="C3348" t="s">
        <v>186</v>
      </c>
      <c r="D3348" t="s">
        <v>1436</v>
      </c>
      <c r="E3348" s="2">
        <v>39518</v>
      </c>
      <c r="F3348">
        <v>6093</v>
      </c>
      <c r="G3348" t="s">
        <v>6952</v>
      </c>
      <c r="H3348" t="s">
        <v>1747</v>
      </c>
      <c r="I3348" t="b">
        <v>0</v>
      </c>
      <c r="J3348" t="s">
        <v>1748</v>
      </c>
      <c r="K3348" t="s">
        <v>1974</v>
      </c>
      <c r="L3348" t="s">
        <v>2102</v>
      </c>
      <c r="M3348">
        <v>10</v>
      </c>
      <c r="N3348" t="b">
        <v>0</v>
      </c>
      <c r="P3348" t="s">
        <v>1778</v>
      </c>
      <c r="Q3348" t="s">
        <v>1779</v>
      </c>
    </row>
    <row r="3349" spans="1:18" x14ac:dyDescent="0.25">
      <c r="A3349" t="s">
        <v>7045</v>
      </c>
      <c r="B3349" t="s">
        <v>1781</v>
      </c>
      <c r="C3349" t="s">
        <v>186</v>
      </c>
      <c r="D3349" t="s">
        <v>1374</v>
      </c>
      <c r="E3349" s="2">
        <v>39518</v>
      </c>
      <c r="F3349">
        <v>6093</v>
      </c>
      <c r="G3349" t="s">
        <v>6952</v>
      </c>
      <c r="H3349" t="s">
        <v>1747</v>
      </c>
      <c r="I3349" t="b">
        <v>0</v>
      </c>
      <c r="J3349" t="s">
        <v>1748</v>
      </c>
      <c r="K3349" t="s">
        <v>1974</v>
      </c>
      <c r="L3349" t="s">
        <v>2102</v>
      </c>
      <c r="M3349">
        <v>10</v>
      </c>
      <c r="N3349" t="b">
        <v>0</v>
      </c>
      <c r="P3349" t="s">
        <v>2070</v>
      </c>
      <c r="Q3349" t="s">
        <v>1779</v>
      </c>
    </row>
    <row r="3350" spans="1:18" x14ac:dyDescent="0.25">
      <c r="A3350" t="s">
        <v>7047</v>
      </c>
      <c r="B3350" t="s">
        <v>1785</v>
      </c>
      <c r="C3350" t="s">
        <v>6</v>
      </c>
      <c r="D3350" t="s">
        <v>7046</v>
      </c>
      <c r="E3350" s="2">
        <v>39601</v>
      </c>
      <c r="F3350">
        <v>6010</v>
      </c>
      <c r="G3350" t="s">
        <v>6952</v>
      </c>
      <c r="H3350" t="s">
        <v>1805</v>
      </c>
      <c r="I3350" t="b">
        <v>0</v>
      </c>
      <c r="J3350" t="s">
        <v>1748</v>
      </c>
      <c r="K3350" t="s">
        <v>1868</v>
      </c>
      <c r="L3350" t="s">
        <v>1766</v>
      </c>
      <c r="M3350">
        <v>9</v>
      </c>
      <c r="N3350" t="b">
        <v>0</v>
      </c>
      <c r="P3350" t="s">
        <v>1752</v>
      </c>
      <c r="Q3350" t="s">
        <v>1753</v>
      </c>
    </row>
    <row r="3351" spans="1:18" x14ac:dyDescent="0.25">
      <c r="A3351" t="s">
        <v>7048</v>
      </c>
      <c r="B3351" t="s">
        <v>3011</v>
      </c>
      <c r="C3351" t="s">
        <v>11</v>
      </c>
      <c r="D3351" t="s">
        <v>824</v>
      </c>
      <c r="E3351" s="2">
        <v>41647</v>
      </c>
      <c r="F3351">
        <v>3964</v>
      </c>
      <c r="G3351" t="s">
        <v>6952</v>
      </c>
      <c r="H3351" t="s">
        <v>1747</v>
      </c>
      <c r="I3351" t="b">
        <v>0</v>
      </c>
      <c r="J3351" t="s">
        <v>1748</v>
      </c>
      <c r="K3351" t="s">
        <v>1755</v>
      </c>
      <c r="L3351" t="s">
        <v>1766</v>
      </c>
      <c r="M3351">
        <v>9</v>
      </c>
      <c r="N3351" t="b">
        <v>0</v>
      </c>
      <c r="P3351" t="s">
        <v>1819</v>
      </c>
      <c r="Q3351" t="s">
        <v>1753</v>
      </c>
    </row>
    <row r="3352" spans="1:18" x14ac:dyDescent="0.25">
      <c r="A3352" t="s">
        <v>7049</v>
      </c>
      <c r="B3352" t="s">
        <v>1781</v>
      </c>
      <c r="C3352" t="s">
        <v>186</v>
      </c>
      <c r="D3352" t="s">
        <v>1429</v>
      </c>
      <c r="E3352" s="2">
        <v>39518</v>
      </c>
      <c r="F3352">
        <v>6093</v>
      </c>
      <c r="G3352" t="s">
        <v>6952</v>
      </c>
      <c r="H3352" t="s">
        <v>1747</v>
      </c>
      <c r="I3352" t="b">
        <v>0</v>
      </c>
      <c r="J3352" t="s">
        <v>1748</v>
      </c>
      <c r="K3352" t="s">
        <v>1974</v>
      </c>
      <c r="L3352" t="s">
        <v>2102</v>
      </c>
      <c r="M3352">
        <v>8</v>
      </c>
      <c r="N3352" t="b">
        <v>0</v>
      </c>
      <c r="P3352" t="s">
        <v>2070</v>
      </c>
      <c r="Q3352" t="s">
        <v>1779</v>
      </c>
    </row>
    <row r="3353" spans="1:18" x14ac:dyDescent="0.25">
      <c r="A3353" t="s">
        <v>7050</v>
      </c>
      <c r="B3353" t="s">
        <v>1781</v>
      </c>
      <c r="C3353" t="s">
        <v>186</v>
      </c>
      <c r="D3353" t="s">
        <v>1364</v>
      </c>
      <c r="E3353" s="2">
        <v>39518</v>
      </c>
      <c r="F3353">
        <v>6093</v>
      </c>
      <c r="G3353" t="s">
        <v>6952</v>
      </c>
      <c r="H3353" t="s">
        <v>1747</v>
      </c>
      <c r="I3353" t="b">
        <v>0</v>
      </c>
      <c r="J3353" t="s">
        <v>1748</v>
      </c>
      <c r="K3353" t="s">
        <v>1974</v>
      </c>
      <c r="L3353" t="s">
        <v>2102</v>
      </c>
      <c r="M3353">
        <v>7</v>
      </c>
      <c r="N3353" t="b">
        <v>0</v>
      </c>
      <c r="P3353" t="s">
        <v>2070</v>
      </c>
      <c r="Q3353" t="s">
        <v>1779</v>
      </c>
    </row>
    <row r="3354" spans="1:18" x14ac:dyDescent="0.25">
      <c r="A3354" t="s">
        <v>301</v>
      </c>
      <c r="B3354" t="s">
        <v>2071</v>
      </c>
      <c r="C3354" t="s">
        <v>4</v>
      </c>
      <c r="D3354" t="s">
        <v>302</v>
      </c>
      <c r="E3354" s="2">
        <v>44594</v>
      </c>
      <c r="F3354">
        <v>1017</v>
      </c>
      <c r="G3354" t="s">
        <v>6952</v>
      </c>
      <c r="H3354" t="s">
        <v>1747</v>
      </c>
      <c r="I3354" t="b">
        <v>0</v>
      </c>
      <c r="J3354" t="s">
        <v>1748</v>
      </c>
      <c r="K3354" t="s">
        <v>1777</v>
      </c>
      <c r="L3354" t="s">
        <v>2102</v>
      </c>
      <c r="M3354">
        <v>7</v>
      </c>
      <c r="N3354" t="b">
        <v>0</v>
      </c>
      <c r="P3354" t="s">
        <v>1752</v>
      </c>
      <c r="Q3354" t="s">
        <v>1705</v>
      </c>
    </row>
    <row r="3355" spans="1:18" x14ac:dyDescent="0.25">
      <c r="A3355" t="s">
        <v>7051</v>
      </c>
      <c r="B3355" t="s">
        <v>1781</v>
      </c>
      <c r="C3355" t="s">
        <v>186</v>
      </c>
      <c r="D3355" t="s">
        <v>1376</v>
      </c>
      <c r="E3355" s="2">
        <v>39518</v>
      </c>
      <c r="F3355">
        <v>6093</v>
      </c>
      <c r="G3355" t="s">
        <v>6952</v>
      </c>
      <c r="H3355" t="s">
        <v>1747</v>
      </c>
      <c r="I3355" t="b">
        <v>0</v>
      </c>
      <c r="J3355" t="s">
        <v>1748</v>
      </c>
      <c r="K3355" t="s">
        <v>1974</v>
      </c>
      <c r="L3355" t="s">
        <v>2102</v>
      </c>
      <c r="M3355">
        <v>6</v>
      </c>
      <c r="N3355" t="b">
        <v>0</v>
      </c>
      <c r="P3355" t="s">
        <v>2070</v>
      </c>
      <c r="Q3355" t="s">
        <v>1779</v>
      </c>
    </row>
    <row r="3356" spans="1:18" x14ac:dyDescent="0.25">
      <c r="A3356" t="s">
        <v>7052</v>
      </c>
      <c r="B3356" t="s">
        <v>1781</v>
      </c>
      <c r="C3356" t="s">
        <v>186</v>
      </c>
      <c r="D3356" t="s">
        <v>1463</v>
      </c>
      <c r="E3356" s="2">
        <v>39518</v>
      </c>
      <c r="F3356">
        <v>6093</v>
      </c>
      <c r="G3356" t="s">
        <v>6952</v>
      </c>
      <c r="H3356" t="s">
        <v>1747</v>
      </c>
      <c r="I3356" t="b">
        <v>0</v>
      </c>
      <c r="J3356" t="s">
        <v>1748</v>
      </c>
      <c r="K3356" t="s">
        <v>1974</v>
      </c>
      <c r="L3356" t="s">
        <v>2102</v>
      </c>
      <c r="M3356">
        <v>6</v>
      </c>
      <c r="N3356" t="b">
        <v>0</v>
      </c>
      <c r="P3356" t="s">
        <v>2070</v>
      </c>
      <c r="Q3356" t="s">
        <v>1779</v>
      </c>
    </row>
    <row r="3357" spans="1:18" x14ac:dyDescent="0.25">
      <c r="A3357" t="s">
        <v>7053</v>
      </c>
      <c r="B3357" t="s">
        <v>6980</v>
      </c>
      <c r="C3357" t="s">
        <v>4</v>
      </c>
      <c r="D3357" t="s">
        <v>309</v>
      </c>
      <c r="E3357" s="2">
        <v>44011</v>
      </c>
      <c r="F3357">
        <v>1600</v>
      </c>
      <c r="G3357" t="s">
        <v>6952</v>
      </c>
      <c r="H3357" t="s">
        <v>1747</v>
      </c>
      <c r="I3357" t="b">
        <v>0</v>
      </c>
      <c r="J3357" t="s">
        <v>1748</v>
      </c>
      <c r="K3357" t="s">
        <v>1777</v>
      </c>
      <c r="L3357" t="s">
        <v>2102</v>
      </c>
      <c r="M3357">
        <v>5</v>
      </c>
      <c r="N3357" t="b">
        <v>0</v>
      </c>
      <c r="P3357" t="s">
        <v>1752</v>
      </c>
      <c r="Q3357" t="s">
        <v>1705</v>
      </c>
    </row>
    <row r="3358" spans="1:18" x14ac:dyDescent="0.25">
      <c r="A3358" t="s">
        <v>7055</v>
      </c>
      <c r="B3358" t="s">
        <v>2150</v>
      </c>
      <c r="C3358" t="s">
        <v>4</v>
      </c>
      <c r="D3358" t="s">
        <v>7054</v>
      </c>
      <c r="E3358" s="2">
        <v>44154</v>
      </c>
      <c r="F3358">
        <v>1457</v>
      </c>
      <c r="G3358" t="s">
        <v>6952</v>
      </c>
      <c r="H3358" t="s">
        <v>1805</v>
      </c>
      <c r="I3358" t="b">
        <v>0</v>
      </c>
      <c r="J3358" t="s">
        <v>1748</v>
      </c>
      <c r="K3358" t="s">
        <v>1808</v>
      </c>
      <c r="L3358" t="s">
        <v>2102</v>
      </c>
      <c r="M3358">
        <v>5</v>
      </c>
      <c r="N3358" t="b">
        <v>0</v>
      </c>
      <c r="P3358" t="s">
        <v>1819</v>
      </c>
      <c r="Q3358" t="s">
        <v>1753</v>
      </c>
    </row>
    <row r="3359" spans="1:18" x14ac:dyDescent="0.25">
      <c r="A3359" t="s">
        <v>7056</v>
      </c>
      <c r="B3359" t="s">
        <v>1781</v>
      </c>
      <c r="C3359" t="s">
        <v>186</v>
      </c>
      <c r="D3359" t="s">
        <v>1413</v>
      </c>
      <c r="E3359" s="2">
        <v>39500</v>
      </c>
      <c r="F3359">
        <v>6111</v>
      </c>
      <c r="G3359" t="s">
        <v>6952</v>
      </c>
      <c r="H3359" t="s">
        <v>1747</v>
      </c>
      <c r="I3359" t="b">
        <v>0</v>
      </c>
      <c r="J3359" t="s">
        <v>1748</v>
      </c>
      <c r="K3359" t="s">
        <v>1974</v>
      </c>
      <c r="L3359" t="s">
        <v>2102</v>
      </c>
      <c r="M3359">
        <v>5</v>
      </c>
      <c r="N3359" t="b">
        <v>0</v>
      </c>
      <c r="P3359" t="s">
        <v>1778</v>
      </c>
      <c r="Q3359" t="s">
        <v>1779</v>
      </c>
    </row>
    <row r="3360" spans="1:18" x14ac:dyDescent="0.25">
      <c r="A3360" t="s">
        <v>7058</v>
      </c>
      <c r="B3360" t="s">
        <v>2150</v>
      </c>
      <c r="C3360" t="s">
        <v>4</v>
      </c>
      <c r="D3360" t="s">
        <v>7057</v>
      </c>
      <c r="E3360" s="2">
        <v>44126</v>
      </c>
      <c r="F3360">
        <v>1485</v>
      </c>
      <c r="G3360" t="s">
        <v>6952</v>
      </c>
      <c r="H3360" t="s">
        <v>1747</v>
      </c>
      <c r="I3360" t="b">
        <v>0</v>
      </c>
      <c r="J3360" t="s">
        <v>1748</v>
      </c>
      <c r="K3360" t="s">
        <v>1771</v>
      </c>
      <c r="L3360" t="s">
        <v>2102</v>
      </c>
      <c r="M3360">
        <v>4</v>
      </c>
      <c r="N3360" t="b">
        <v>0</v>
      </c>
      <c r="P3360" t="s">
        <v>1819</v>
      </c>
      <c r="Q3360" t="s">
        <v>1753</v>
      </c>
    </row>
    <row r="3361" spans="1:17" x14ac:dyDescent="0.25">
      <c r="A3361" t="s">
        <v>7060</v>
      </c>
      <c r="B3361" t="s">
        <v>6980</v>
      </c>
      <c r="C3361" t="s">
        <v>4</v>
      </c>
      <c r="D3361" t="s">
        <v>7059</v>
      </c>
      <c r="E3361" s="2">
        <v>44011</v>
      </c>
      <c r="F3361">
        <v>1600</v>
      </c>
      <c r="G3361" t="s">
        <v>6952</v>
      </c>
      <c r="H3361" t="s">
        <v>1747</v>
      </c>
      <c r="I3361" t="b">
        <v>0</v>
      </c>
      <c r="J3361" t="s">
        <v>1748</v>
      </c>
      <c r="K3361" t="s">
        <v>1777</v>
      </c>
      <c r="L3361" t="s">
        <v>2102</v>
      </c>
      <c r="M3361">
        <v>4</v>
      </c>
      <c r="N3361" t="b">
        <v>0</v>
      </c>
      <c r="P3361" t="s">
        <v>1752</v>
      </c>
      <c r="Q3361" t="s">
        <v>1705</v>
      </c>
    </row>
    <row r="3362" spans="1:17" x14ac:dyDescent="0.25">
      <c r="A3362" t="s">
        <v>7061</v>
      </c>
      <c r="B3362" t="s">
        <v>6980</v>
      </c>
      <c r="C3362" t="s">
        <v>4</v>
      </c>
      <c r="D3362" t="s">
        <v>303</v>
      </c>
      <c r="E3362" s="2">
        <v>44011</v>
      </c>
      <c r="F3362">
        <v>1600</v>
      </c>
      <c r="G3362" t="s">
        <v>6952</v>
      </c>
      <c r="H3362" t="s">
        <v>1747</v>
      </c>
      <c r="I3362" t="b">
        <v>0</v>
      </c>
      <c r="J3362" t="s">
        <v>1748</v>
      </c>
      <c r="K3362" t="s">
        <v>1777</v>
      </c>
      <c r="L3362" t="s">
        <v>2102</v>
      </c>
      <c r="M3362">
        <v>4</v>
      </c>
      <c r="N3362" t="b">
        <v>0</v>
      </c>
      <c r="P3362" t="s">
        <v>1752</v>
      </c>
      <c r="Q3362" t="s">
        <v>1705</v>
      </c>
    </row>
    <row r="3363" spans="1:17" x14ac:dyDescent="0.25">
      <c r="A3363" t="s">
        <v>7062</v>
      </c>
      <c r="B3363" t="s">
        <v>2997</v>
      </c>
      <c r="C3363" t="s">
        <v>4</v>
      </c>
      <c r="D3363" t="s">
        <v>306</v>
      </c>
      <c r="E3363" s="2">
        <v>44594</v>
      </c>
      <c r="F3363">
        <v>1017</v>
      </c>
      <c r="G3363" t="s">
        <v>6952</v>
      </c>
      <c r="H3363" t="s">
        <v>1798</v>
      </c>
      <c r="I3363" t="b">
        <v>0</v>
      </c>
      <c r="J3363" t="s">
        <v>1748</v>
      </c>
      <c r="K3363" t="s">
        <v>1777</v>
      </c>
      <c r="L3363" t="s">
        <v>2102</v>
      </c>
      <c r="M3363">
        <v>3</v>
      </c>
      <c r="N3363" t="b">
        <v>0</v>
      </c>
      <c r="P3363" t="s">
        <v>1752</v>
      </c>
      <c r="Q3363" t="s">
        <v>1705</v>
      </c>
    </row>
    <row r="3364" spans="1:17" x14ac:dyDescent="0.25">
      <c r="A3364" t="s">
        <v>7064</v>
      </c>
      <c r="B3364" t="s">
        <v>2284</v>
      </c>
      <c r="C3364" t="s">
        <v>2338</v>
      </c>
      <c r="D3364" t="s">
        <v>7063</v>
      </c>
      <c r="E3364" s="2">
        <v>43852</v>
      </c>
      <c r="F3364">
        <v>1759</v>
      </c>
      <c r="G3364" t="s">
        <v>6952</v>
      </c>
      <c r="H3364" t="s">
        <v>1747</v>
      </c>
      <c r="I3364" t="b">
        <v>0</v>
      </c>
      <c r="J3364" t="s">
        <v>1748</v>
      </c>
      <c r="K3364" t="s">
        <v>1935</v>
      </c>
      <c r="L3364" t="s">
        <v>2102</v>
      </c>
      <c r="M3364">
        <v>3</v>
      </c>
      <c r="N3364" t="b">
        <v>0</v>
      </c>
      <c r="P3364" t="s">
        <v>2283</v>
      </c>
      <c r="Q3364" t="s">
        <v>1705</v>
      </c>
    </row>
    <row r="3365" spans="1:17" x14ac:dyDescent="0.25">
      <c r="A3365" t="s">
        <v>7065</v>
      </c>
      <c r="B3365" t="s">
        <v>1781</v>
      </c>
      <c r="C3365" t="s">
        <v>186</v>
      </c>
      <c r="D3365" t="s">
        <v>1379</v>
      </c>
      <c r="E3365" s="2">
        <v>39500</v>
      </c>
      <c r="F3365">
        <v>6111</v>
      </c>
      <c r="G3365" t="s">
        <v>6952</v>
      </c>
      <c r="H3365" t="s">
        <v>1747</v>
      </c>
      <c r="I3365" t="b">
        <v>0</v>
      </c>
      <c r="J3365" t="s">
        <v>1748</v>
      </c>
      <c r="K3365" t="s">
        <v>1974</v>
      </c>
      <c r="L3365" t="s">
        <v>2102</v>
      </c>
      <c r="M3365">
        <v>2</v>
      </c>
      <c r="N3365" t="b">
        <v>0</v>
      </c>
      <c r="P3365" t="s">
        <v>1778</v>
      </c>
      <c r="Q3365" t="s">
        <v>1779</v>
      </c>
    </row>
    <row r="3366" spans="1:17" x14ac:dyDescent="0.25">
      <c r="A3366" t="s">
        <v>7066</v>
      </c>
      <c r="B3366" t="s">
        <v>1847</v>
      </c>
      <c r="C3366" t="s">
        <v>6</v>
      </c>
      <c r="D3366" t="s">
        <v>889</v>
      </c>
      <c r="E3366" s="2">
        <v>43368</v>
      </c>
      <c r="F3366">
        <v>2243</v>
      </c>
      <c r="G3366" t="s">
        <v>6952</v>
      </c>
      <c r="H3366" t="s">
        <v>1747</v>
      </c>
      <c r="I3366" t="b">
        <v>0</v>
      </c>
      <c r="J3366" t="s">
        <v>1748</v>
      </c>
      <c r="K3366" t="s">
        <v>1880</v>
      </c>
      <c r="L3366" t="s">
        <v>1766</v>
      </c>
      <c r="M3366">
        <v>2</v>
      </c>
      <c r="N3366" t="b">
        <v>0</v>
      </c>
      <c r="P3366" t="s">
        <v>1819</v>
      </c>
      <c r="Q3366" t="s">
        <v>1753</v>
      </c>
    </row>
    <row r="3367" spans="1:17" x14ac:dyDescent="0.25">
      <c r="A3367" t="s">
        <v>7067</v>
      </c>
      <c r="B3367" t="s">
        <v>1781</v>
      </c>
      <c r="C3367" t="s">
        <v>186</v>
      </c>
      <c r="D3367" t="s">
        <v>1452</v>
      </c>
      <c r="E3367" s="2">
        <v>39518</v>
      </c>
      <c r="F3367">
        <v>6093</v>
      </c>
      <c r="G3367" t="s">
        <v>6952</v>
      </c>
      <c r="H3367" t="s">
        <v>1747</v>
      </c>
      <c r="I3367" t="b">
        <v>0</v>
      </c>
      <c r="J3367" t="s">
        <v>1748</v>
      </c>
      <c r="K3367" t="s">
        <v>1974</v>
      </c>
      <c r="L3367" t="s">
        <v>2102</v>
      </c>
      <c r="M3367">
        <v>2</v>
      </c>
      <c r="N3367" t="b">
        <v>0</v>
      </c>
      <c r="P3367" t="s">
        <v>2070</v>
      </c>
      <c r="Q3367" t="s">
        <v>1779</v>
      </c>
    </row>
    <row r="3368" spans="1:17" x14ac:dyDescent="0.25">
      <c r="A3368" t="s">
        <v>7068</v>
      </c>
      <c r="B3368" t="s">
        <v>1781</v>
      </c>
      <c r="C3368" t="s">
        <v>186</v>
      </c>
      <c r="D3368" t="s">
        <v>1338</v>
      </c>
      <c r="E3368" s="2">
        <v>39519</v>
      </c>
      <c r="F3368">
        <v>6092</v>
      </c>
      <c r="G3368" t="s">
        <v>6952</v>
      </c>
      <c r="H3368" t="s">
        <v>1747</v>
      </c>
      <c r="I3368" t="b">
        <v>0</v>
      </c>
      <c r="J3368" t="s">
        <v>1748</v>
      </c>
      <c r="K3368" t="s">
        <v>1974</v>
      </c>
      <c r="L3368" t="s">
        <v>2102</v>
      </c>
      <c r="M3368">
        <v>2</v>
      </c>
      <c r="N3368" t="b">
        <v>0</v>
      </c>
      <c r="P3368" t="s">
        <v>2070</v>
      </c>
      <c r="Q3368" t="s">
        <v>1779</v>
      </c>
    </row>
    <row r="3369" spans="1:17" x14ac:dyDescent="0.25">
      <c r="A3369" t="s">
        <v>300</v>
      </c>
      <c r="B3369" t="s">
        <v>2071</v>
      </c>
      <c r="C3369" t="s">
        <v>4</v>
      </c>
      <c r="D3369" t="s">
        <v>7069</v>
      </c>
      <c r="E3369" s="2">
        <v>44594</v>
      </c>
      <c r="F3369">
        <v>1017</v>
      </c>
      <c r="G3369" t="s">
        <v>6952</v>
      </c>
      <c r="H3369" t="s">
        <v>1747</v>
      </c>
      <c r="I3369" t="b">
        <v>0</v>
      </c>
      <c r="J3369" t="s">
        <v>1748</v>
      </c>
      <c r="K3369" t="s">
        <v>1777</v>
      </c>
      <c r="L3369" t="s">
        <v>2102</v>
      </c>
      <c r="M3369">
        <v>2</v>
      </c>
      <c r="N3369" t="b">
        <v>0</v>
      </c>
      <c r="P3369" t="s">
        <v>1752</v>
      </c>
      <c r="Q3369" t="s">
        <v>1705</v>
      </c>
    </row>
    <row r="3370" spans="1:17" x14ac:dyDescent="0.25">
      <c r="A3370" t="s">
        <v>7071</v>
      </c>
      <c r="B3370" t="s">
        <v>2173</v>
      </c>
      <c r="C3370" t="s">
        <v>4</v>
      </c>
      <c r="D3370" t="s">
        <v>7070</v>
      </c>
      <c r="E3370" s="2">
        <v>44246</v>
      </c>
      <c r="F3370">
        <v>1365</v>
      </c>
      <c r="G3370" t="s">
        <v>6952</v>
      </c>
      <c r="H3370" t="s">
        <v>2231</v>
      </c>
      <c r="I3370" t="b">
        <v>0</v>
      </c>
      <c r="J3370" t="s">
        <v>1748</v>
      </c>
      <c r="K3370" t="s">
        <v>1808</v>
      </c>
      <c r="L3370" t="s">
        <v>2102</v>
      </c>
      <c r="M3370">
        <v>2</v>
      </c>
      <c r="N3370" t="b">
        <v>0</v>
      </c>
      <c r="P3370" t="s">
        <v>1819</v>
      </c>
      <c r="Q3370" t="s">
        <v>1753</v>
      </c>
    </row>
    <row r="3371" spans="1:17" x14ac:dyDescent="0.25">
      <c r="A3371" t="s">
        <v>7072</v>
      </c>
      <c r="B3371" t="s">
        <v>1781</v>
      </c>
      <c r="C3371" t="s">
        <v>186</v>
      </c>
      <c r="D3371" t="s">
        <v>1424</v>
      </c>
      <c r="E3371" s="2">
        <v>39500</v>
      </c>
      <c r="F3371">
        <v>6111</v>
      </c>
      <c r="G3371" t="s">
        <v>6952</v>
      </c>
      <c r="H3371" t="s">
        <v>1747</v>
      </c>
      <c r="I3371" t="b">
        <v>0</v>
      </c>
      <c r="J3371" t="s">
        <v>1748</v>
      </c>
      <c r="K3371" t="s">
        <v>1974</v>
      </c>
      <c r="L3371" t="s">
        <v>2102</v>
      </c>
      <c r="M3371">
        <v>2</v>
      </c>
      <c r="N3371" t="b">
        <v>0</v>
      </c>
      <c r="P3371" t="s">
        <v>2070</v>
      </c>
      <c r="Q3371" t="s">
        <v>1779</v>
      </c>
    </row>
    <row r="3372" spans="1:17" x14ac:dyDescent="0.25">
      <c r="A3372" t="s">
        <v>307</v>
      </c>
      <c r="B3372" t="s">
        <v>2071</v>
      </c>
      <c r="C3372" t="s">
        <v>4</v>
      </c>
      <c r="D3372" t="s">
        <v>7073</v>
      </c>
      <c r="E3372" s="2">
        <v>44594</v>
      </c>
      <c r="F3372">
        <v>1017</v>
      </c>
      <c r="G3372" t="s">
        <v>6952</v>
      </c>
      <c r="H3372" t="s">
        <v>1747</v>
      </c>
      <c r="I3372" t="b">
        <v>0</v>
      </c>
      <c r="J3372" t="s">
        <v>1748</v>
      </c>
      <c r="K3372" t="s">
        <v>1777</v>
      </c>
      <c r="L3372" t="s">
        <v>2102</v>
      </c>
      <c r="M3372">
        <v>2</v>
      </c>
      <c r="N3372" t="b">
        <v>0</v>
      </c>
      <c r="P3372" t="s">
        <v>1752</v>
      </c>
      <c r="Q3372" t="s">
        <v>1705</v>
      </c>
    </row>
    <row r="3373" spans="1:17" x14ac:dyDescent="0.25">
      <c r="A3373" t="s">
        <v>7074</v>
      </c>
      <c r="B3373" t="s">
        <v>2353</v>
      </c>
      <c r="C3373" t="s">
        <v>4</v>
      </c>
      <c r="D3373" t="s">
        <v>1358</v>
      </c>
      <c r="E3373" s="2">
        <v>43077</v>
      </c>
      <c r="F3373">
        <v>2534</v>
      </c>
      <c r="G3373" t="s">
        <v>6952</v>
      </c>
      <c r="H3373" t="s">
        <v>1798</v>
      </c>
      <c r="I3373" t="b">
        <v>0</v>
      </c>
      <c r="J3373" t="s">
        <v>1748</v>
      </c>
      <c r="K3373" t="s">
        <v>1853</v>
      </c>
      <c r="L3373" t="s">
        <v>2102</v>
      </c>
      <c r="M3373">
        <v>2</v>
      </c>
      <c r="N3373" t="b">
        <v>0</v>
      </c>
      <c r="P3373" t="s">
        <v>1819</v>
      </c>
      <c r="Q3373" t="s">
        <v>1705</v>
      </c>
    </row>
    <row r="3374" spans="1:17" x14ac:dyDescent="0.25">
      <c r="A3374" t="s">
        <v>7076</v>
      </c>
      <c r="B3374" t="s">
        <v>2997</v>
      </c>
      <c r="C3374" t="s">
        <v>4</v>
      </c>
      <c r="D3374" t="s">
        <v>7075</v>
      </c>
      <c r="E3374" s="2">
        <v>44594</v>
      </c>
      <c r="F3374">
        <v>1017</v>
      </c>
      <c r="G3374" t="s">
        <v>6952</v>
      </c>
      <c r="H3374" t="s">
        <v>1798</v>
      </c>
      <c r="I3374" t="b">
        <v>0</v>
      </c>
      <c r="J3374" t="s">
        <v>1748</v>
      </c>
      <c r="K3374" t="s">
        <v>1777</v>
      </c>
      <c r="L3374" t="s">
        <v>2102</v>
      </c>
      <c r="M3374">
        <v>1</v>
      </c>
      <c r="N3374" t="b">
        <v>0</v>
      </c>
      <c r="P3374" t="s">
        <v>1752</v>
      </c>
      <c r="Q3374" t="s">
        <v>1705</v>
      </c>
    </row>
    <row r="3375" spans="1:17" x14ac:dyDescent="0.25">
      <c r="A3375" t="s">
        <v>7077</v>
      </c>
      <c r="B3375" t="s">
        <v>2353</v>
      </c>
      <c r="C3375" t="s">
        <v>4</v>
      </c>
      <c r="D3375" t="s">
        <v>1357</v>
      </c>
      <c r="E3375" s="2">
        <v>41852</v>
      </c>
      <c r="F3375">
        <v>3759</v>
      </c>
      <c r="G3375" t="s">
        <v>6952</v>
      </c>
      <c r="H3375" t="s">
        <v>1798</v>
      </c>
      <c r="I3375" t="b">
        <v>0</v>
      </c>
      <c r="J3375" t="s">
        <v>1748</v>
      </c>
      <c r="K3375" t="s">
        <v>1853</v>
      </c>
      <c r="L3375" t="s">
        <v>2102</v>
      </c>
      <c r="M3375">
        <v>1</v>
      </c>
      <c r="N3375" t="b">
        <v>0</v>
      </c>
      <c r="P3375" t="s">
        <v>1819</v>
      </c>
      <c r="Q3375" t="s">
        <v>1705</v>
      </c>
    </row>
    <row r="3376" spans="1:17" x14ac:dyDescent="0.25">
      <c r="A3376" t="s">
        <v>7078</v>
      </c>
      <c r="B3376" t="s">
        <v>1781</v>
      </c>
      <c r="C3376" t="s">
        <v>186</v>
      </c>
      <c r="D3376" t="s">
        <v>1428</v>
      </c>
      <c r="E3376" s="2">
        <v>39500</v>
      </c>
      <c r="F3376">
        <v>6111</v>
      </c>
      <c r="G3376" t="s">
        <v>6952</v>
      </c>
      <c r="H3376" t="s">
        <v>1747</v>
      </c>
      <c r="I3376" t="b">
        <v>0</v>
      </c>
      <c r="J3376" t="s">
        <v>1748</v>
      </c>
      <c r="K3376" t="s">
        <v>1974</v>
      </c>
      <c r="L3376" t="s">
        <v>2102</v>
      </c>
      <c r="M3376">
        <v>1</v>
      </c>
      <c r="N3376" t="b">
        <v>0</v>
      </c>
      <c r="P3376" t="s">
        <v>2070</v>
      </c>
      <c r="Q3376" t="s">
        <v>1779</v>
      </c>
    </row>
    <row r="3377" spans="1:18" x14ac:dyDescent="0.25">
      <c r="A3377" t="s">
        <v>7079</v>
      </c>
      <c r="B3377" t="s">
        <v>1781</v>
      </c>
      <c r="C3377" t="s">
        <v>4</v>
      </c>
      <c r="D3377" t="s">
        <v>1387</v>
      </c>
      <c r="E3377" s="2">
        <v>42446</v>
      </c>
      <c r="F3377">
        <v>3165</v>
      </c>
      <c r="G3377" t="s">
        <v>6952</v>
      </c>
      <c r="H3377" t="s">
        <v>1747</v>
      </c>
      <c r="I3377" t="b">
        <v>0</v>
      </c>
      <c r="J3377" t="s">
        <v>1748</v>
      </c>
      <c r="K3377" t="s">
        <v>1777</v>
      </c>
      <c r="L3377" t="s">
        <v>2102</v>
      </c>
      <c r="M3377">
        <v>1</v>
      </c>
      <c r="N3377" t="b">
        <v>0</v>
      </c>
      <c r="P3377" t="s">
        <v>1752</v>
      </c>
      <c r="Q3377" t="s">
        <v>1705</v>
      </c>
      <c r="R3377" t="s">
        <v>1772</v>
      </c>
    </row>
    <row r="3378" spans="1:18" x14ac:dyDescent="0.25">
      <c r="A3378" t="s">
        <v>7080</v>
      </c>
      <c r="B3378" t="s">
        <v>2997</v>
      </c>
      <c r="C3378" t="s">
        <v>4</v>
      </c>
      <c r="D3378" t="s">
        <v>311</v>
      </c>
      <c r="E3378" s="2">
        <v>45086</v>
      </c>
      <c r="F3378">
        <v>525</v>
      </c>
      <c r="G3378" t="s">
        <v>6952</v>
      </c>
      <c r="H3378" t="s">
        <v>1798</v>
      </c>
      <c r="I3378" t="b">
        <v>0</v>
      </c>
      <c r="J3378" t="s">
        <v>1748</v>
      </c>
      <c r="K3378" t="s">
        <v>1884</v>
      </c>
      <c r="L3378" t="s">
        <v>2102</v>
      </c>
      <c r="M3378">
        <v>1</v>
      </c>
      <c r="N3378" t="b">
        <v>0</v>
      </c>
      <c r="P3378" t="s">
        <v>1752</v>
      </c>
      <c r="Q3378" t="s">
        <v>1705</v>
      </c>
    </row>
    <row r="3379" spans="1:18" x14ac:dyDescent="0.25">
      <c r="A3379" t="s">
        <v>7081</v>
      </c>
      <c r="B3379" t="s">
        <v>1781</v>
      </c>
      <c r="C3379" t="s">
        <v>4</v>
      </c>
      <c r="D3379" t="s">
        <v>1461</v>
      </c>
      <c r="E3379" s="2">
        <v>41852</v>
      </c>
      <c r="F3379">
        <v>3759</v>
      </c>
      <c r="G3379" t="s">
        <v>6952</v>
      </c>
      <c r="H3379" t="s">
        <v>1747</v>
      </c>
      <c r="I3379" t="b">
        <v>0</v>
      </c>
      <c r="J3379" t="s">
        <v>1748</v>
      </c>
      <c r="K3379" t="s">
        <v>1853</v>
      </c>
      <c r="L3379" t="s">
        <v>2102</v>
      </c>
      <c r="M3379">
        <v>1</v>
      </c>
      <c r="N3379" t="b">
        <v>0</v>
      </c>
      <c r="P3379" t="s">
        <v>1819</v>
      </c>
      <c r="Q3379" t="s">
        <v>1705</v>
      </c>
    </row>
    <row r="3380" spans="1:18" x14ac:dyDescent="0.25">
      <c r="A3380" t="s">
        <v>7082</v>
      </c>
      <c r="B3380" t="s">
        <v>2997</v>
      </c>
      <c r="C3380" t="s">
        <v>4</v>
      </c>
      <c r="D3380" t="s">
        <v>310</v>
      </c>
      <c r="E3380" s="2">
        <v>45086</v>
      </c>
      <c r="F3380">
        <v>525</v>
      </c>
      <c r="G3380" t="s">
        <v>6952</v>
      </c>
      <c r="H3380" t="s">
        <v>1798</v>
      </c>
      <c r="I3380" t="b">
        <v>0</v>
      </c>
      <c r="J3380" t="s">
        <v>1748</v>
      </c>
      <c r="K3380" t="s">
        <v>1884</v>
      </c>
      <c r="L3380" t="s">
        <v>2102</v>
      </c>
      <c r="M3380">
        <v>1</v>
      </c>
      <c r="N3380" t="b">
        <v>0</v>
      </c>
      <c r="P3380" t="s">
        <v>1752</v>
      </c>
      <c r="Q3380" t="s">
        <v>1705</v>
      </c>
    </row>
    <row r="3381" spans="1:18" x14ac:dyDescent="0.25">
      <c r="A3381" t="s">
        <v>7083</v>
      </c>
      <c r="B3381" t="s">
        <v>6980</v>
      </c>
      <c r="C3381" t="s">
        <v>4</v>
      </c>
      <c r="D3381" t="s">
        <v>308</v>
      </c>
      <c r="E3381" s="2">
        <v>44011</v>
      </c>
      <c r="F3381">
        <v>1600</v>
      </c>
      <c r="G3381" t="s">
        <v>6952</v>
      </c>
      <c r="H3381" t="s">
        <v>1747</v>
      </c>
      <c r="I3381" t="b">
        <v>0</v>
      </c>
      <c r="J3381" t="s">
        <v>1748</v>
      </c>
      <c r="K3381" t="s">
        <v>1777</v>
      </c>
      <c r="L3381" t="s">
        <v>2102</v>
      </c>
      <c r="M3381">
        <v>1</v>
      </c>
      <c r="N3381" t="b">
        <v>0</v>
      </c>
      <c r="P3381" t="s">
        <v>1752</v>
      </c>
      <c r="Q3381" t="s">
        <v>1705</v>
      </c>
    </row>
    <row r="3382" spans="1:18" x14ac:dyDescent="0.25">
      <c r="A3382" t="s">
        <v>7084</v>
      </c>
      <c r="B3382" t="s">
        <v>1781</v>
      </c>
      <c r="C3382" t="s">
        <v>4</v>
      </c>
      <c r="D3382" t="s">
        <v>1448</v>
      </c>
      <c r="E3382" s="2">
        <v>44622</v>
      </c>
      <c r="F3382">
        <v>989</v>
      </c>
      <c r="G3382" t="s">
        <v>6952</v>
      </c>
      <c r="H3382" t="s">
        <v>1798</v>
      </c>
      <c r="I3382" t="b">
        <v>0</v>
      </c>
      <c r="J3382" t="s">
        <v>1748</v>
      </c>
      <c r="K3382" t="s">
        <v>1834</v>
      </c>
      <c r="L3382" t="s">
        <v>6958</v>
      </c>
      <c r="M3382">
        <v>1</v>
      </c>
      <c r="N3382" t="b">
        <v>0</v>
      </c>
      <c r="P3382" t="s">
        <v>1752</v>
      </c>
      <c r="Q3382" t="s">
        <v>1705</v>
      </c>
      <c r="R3382" t="s">
        <v>1828</v>
      </c>
    </row>
    <row r="3383" spans="1:18" x14ac:dyDescent="0.25">
      <c r="A3383" t="s">
        <v>7085</v>
      </c>
      <c r="B3383" t="s">
        <v>1781</v>
      </c>
      <c r="C3383" t="s">
        <v>4</v>
      </c>
      <c r="D3383" t="s">
        <v>1450</v>
      </c>
      <c r="E3383" s="2">
        <v>44622</v>
      </c>
      <c r="F3383">
        <v>989</v>
      </c>
      <c r="G3383" t="s">
        <v>6952</v>
      </c>
      <c r="H3383" t="s">
        <v>1798</v>
      </c>
      <c r="I3383" t="b">
        <v>0</v>
      </c>
      <c r="J3383" t="s">
        <v>1748</v>
      </c>
      <c r="K3383" t="s">
        <v>1834</v>
      </c>
      <c r="L3383" t="s">
        <v>6958</v>
      </c>
      <c r="M3383">
        <v>0</v>
      </c>
      <c r="N3383" t="b">
        <v>0</v>
      </c>
      <c r="P3383" t="s">
        <v>1752</v>
      </c>
      <c r="Q3383" t="s">
        <v>1705</v>
      </c>
      <c r="R3383" t="s">
        <v>1828</v>
      </c>
    </row>
    <row r="3384" spans="1:18" x14ac:dyDescent="0.25">
      <c r="A3384" t="s">
        <v>7086</v>
      </c>
      <c r="B3384" t="s">
        <v>1781</v>
      </c>
      <c r="C3384" t="s">
        <v>4</v>
      </c>
      <c r="D3384" t="s">
        <v>1449</v>
      </c>
      <c r="E3384" s="2">
        <v>44622</v>
      </c>
      <c r="F3384">
        <v>989</v>
      </c>
      <c r="G3384" t="s">
        <v>6952</v>
      </c>
      <c r="H3384" t="s">
        <v>1798</v>
      </c>
      <c r="I3384" t="b">
        <v>0</v>
      </c>
      <c r="J3384" t="s">
        <v>1748</v>
      </c>
      <c r="K3384" t="s">
        <v>2219</v>
      </c>
      <c r="L3384" t="s">
        <v>6958</v>
      </c>
      <c r="M3384">
        <v>0</v>
      </c>
      <c r="N3384" t="b">
        <v>0</v>
      </c>
      <c r="P3384" t="s">
        <v>1752</v>
      </c>
      <c r="Q3384" t="s">
        <v>1705</v>
      </c>
      <c r="R3384" t="s">
        <v>1828</v>
      </c>
    </row>
    <row r="3385" spans="1:18" x14ac:dyDescent="0.25">
      <c r="A3385" t="s">
        <v>7088</v>
      </c>
      <c r="B3385" t="s">
        <v>2071</v>
      </c>
      <c r="C3385" t="s">
        <v>4</v>
      </c>
      <c r="D3385" t="s">
        <v>7087</v>
      </c>
      <c r="E3385" s="2">
        <v>44594</v>
      </c>
      <c r="F3385">
        <v>1017</v>
      </c>
      <c r="G3385" t="s">
        <v>6952</v>
      </c>
      <c r="H3385" t="s">
        <v>1747</v>
      </c>
      <c r="I3385" t="b">
        <v>0</v>
      </c>
      <c r="J3385" t="s">
        <v>1748</v>
      </c>
      <c r="K3385" t="s">
        <v>1777</v>
      </c>
      <c r="L3385" t="s">
        <v>2102</v>
      </c>
      <c r="M3385">
        <v>0</v>
      </c>
      <c r="N3385" t="b">
        <v>0</v>
      </c>
      <c r="P3385" t="s">
        <v>1752</v>
      </c>
      <c r="Q3385" t="s">
        <v>1705</v>
      </c>
    </row>
    <row r="3386" spans="1:18" x14ac:dyDescent="0.25">
      <c r="A3386" t="s">
        <v>7090</v>
      </c>
      <c r="B3386" t="s">
        <v>2144</v>
      </c>
      <c r="C3386" t="s">
        <v>2338</v>
      </c>
      <c r="D3386" t="s">
        <v>7089</v>
      </c>
      <c r="E3386" s="2">
        <v>44824</v>
      </c>
      <c r="F3386">
        <v>787</v>
      </c>
      <c r="G3386" t="s">
        <v>6952</v>
      </c>
      <c r="H3386" t="s">
        <v>1747</v>
      </c>
      <c r="I3386" t="b">
        <v>0</v>
      </c>
      <c r="J3386" t="s">
        <v>1748</v>
      </c>
      <c r="K3386" t="s">
        <v>1935</v>
      </c>
      <c r="L3386" t="s">
        <v>2102</v>
      </c>
      <c r="M3386">
        <v>0</v>
      </c>
      <c r="N3386" t="b">
        <v>0</v>
      </c>
      <c r="P3386" t="s">
        <v>2283</v>
      </c>
      <c r="Q3386" t="s">
        <v>1705</v>
      </c>
    </row>
    <row r="3387" spans="1:18" x14ac:dyDescent="0.25">
      <c r="A3387" t="s">
        <v>7091</v>
      </c>
      <c r="B3387" t="s">
        <v>1781</v>
      </c>
      <c r="C3387" t="s">
        <v>4</v>
      </c>
      <c r="D3387" t="s">
        <v>1451</v>
      </c>
      <c r="E3387" s="2">
        <v>44622</v>
      </c>
      <c r="F3387">
        <v>989</v>
      </c>
      <c r="G3387" t="s">
        <v>6952</v>
      </c>
      <c r="H3387" t="s">
        <v>1798</v>
      </c>
      <c r="I3387" t="b">
        <v>0</v>
      </c>
      <c r="J3387" t="s">
        <v>1748</v>
      </c>
      <c r="K3387" t="s">
        <v>2219</v>
      </c>
      <c r="L3387" t="s">
        <v>6958</v>
      </c>
      <c r="M3387">
        <v>0</v>
      </c>
      <c r="N3387" t="b">
        <v>0</v>
      </c>
      <c r="P3387" t="s">
        <v>1752</v>
      </c>
      <c r="Q3387" t="s">
        <v>1705</v>
      </c>
      <c r="R3387" t="s">
        <v>1828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043A4A-C2A9-486A-B69A-A76C4BAC61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IE00B5BMR087</vt:lpstr>
      <vt:lpstr>PORTAFOGLIO</vt:lpstr>
      <vt:lpstr>GRAFICI</vt:lpstr>
      <vt:lpstr>Lista ETF</vt:lpstr>
      <vt:lpstr>ElencoNuovoETF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davide sorrentino</dc:creator>
  <cp:lastModifiedBy>davide sorrentino</cp:lastModifiedBy>
  <dcterms:created xsi:type="dcterms:W3CDTF">2024-11-12T21:13:04Z</dcterms:created>
  <dcterms:modified xsi:type="dcterms:W3CDTF">2024-11-16T13:31:54Z</dcterms:modified>
</cp:coreProperties>
</file>